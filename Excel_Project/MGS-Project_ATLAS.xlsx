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xr:revisionPtr revIDLastSave="0" documentId="8_{953D0A0D-9978-47E4-8C2C-F0A129F3149C}" xr6:coauthVersionLast="47" xr6:coauthVersionMax="47" xr10:uidLastSave="{00000000-0000-0000-0000-000000000000}"/>
  <bookViews>
    <workbookView xWindow="0" yWindow="0" windowWidth="0" windowHeight="0" firstSheet="2" activeTab="11" xr2:uid="{00000000-000D-0000-FFFF-FFFF00000000}"/>
  </bookViews>
  <sheets>
    <sheet name="MGS_Operations_FY2025" sheetId="1" r:id="rId1"/>
    <sheet name="Business_Analysis" sheetId="14" r:id="rId2"/>
    <sheet name="Revenue by profit per month" sheetId="5" r:id="rId3"/>
    <sheet name="shipment trade lines" sheetId="6" r:id="rId4"/>
    <sheet name="Revenue by trade lane" sheetId="7" r:id="rId5"/>
    <sheet name="Profit by trade lane" sheetId="8" r:id="rId6"/>
    <sheet name="On time delivery" sheetId="9" r:id="rId7"/>
    <sheet name="Fuel cost by trade line" sheetId="10" r:id="rId8"/>
    <sheet name="Aavg Delay by Teade lane" sheetId="11" r:id="rId9"/>
    <sheet name="Co2 Emission" sheetId="12" r:id="rId10"/>
    <sheet name="MGS_Operation Dashboard" sheetId="13" r:id="rId11"/>
    <sheet name="Rough_sheet" sheetId="15" r:id="rId12"/>
  </sheets>
  <definedNames>
    <definedName name="_xlnm._FilterDatabase" localSheetId="0" hidden="1">MGS_Operations_FY2025!$A$1:$AH$1001</definedName>
  </definedNames>
  <calcPr calcId="191028"/>
  <pivotCaches>
    <pivotCache cacheId="392" r:id="rId13"/>
    <pivotCache cacheId="393" r:id="rId14"/>
    <pivotCache cacheId="39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G999" i="1"/>
  <c r="AG985" i="1"/>
  <c r="AG995" i="1"/>
  <c r="AG994" i="1"/>
  <c r="AG990" i="1"/>
  <c r="AG996" i="1"/>
  <c r="AG984" i="1"/>
  <c r="AG1001" i="1"/>
  <c r="AG982" i="1"/>
  <c r="AG981" i="1"/>
  <c r="AG986" i="1"/>
  <c r="AG998" i="1"/>
  <c r="AG989" i="1"/>
  <c r="AG974" i="1"/>
  <c r="AG992" i="1"/>
  <c r="AG1000" i="1"/>
  <c r="AG991" i="1"/>
  <c r="AG958" i="1"/>
  <c r="AG983" i="1"/>
  <c r="AG993" i="1"/>
  <c r="AG987" i="1"/>
  <c r="AG961" i="1"/>
  <c r="AG936" i="1"/>
  <c r="AG940" i="1"/>
  <c r="AG935" i="1"/>
  <c r="AG980" i="1"/>
  <c r="AG988" i="1"/>
  <c r="AG929" i="1"/>
  <c r="AG979" i="1"/>
  <c r="AG939" i="1"/>
  <c r="AG934" i="1"/>
  <c r="AG963" i="1"/>
  <c r="AG977" i="1"/>
  <c r="AG978" i="1"/>
  <c r="AG965" i="1"/>
  <c r="AG923" i="1"/>
  <c r="AG955" i="1"/>
  <c r="AG946" i="1"/>
  <c r="AG976" i="1"/>
  <c r="AG975" i="1"/>
  <c r="AG922" i="1"/>
  <c r="AG913" i="1"/>
  <c r="AG964" i="1"/>
  <c r="AG925" i="1"/>
  <c r="AG966" i="1"/>
  <c r="AG971" i="1"/>
  <c r="AG968" i="1"/>
  <c r="AG969" i="1"/>
  <c r="AG901" i="1"/>
  <c r="AG962" i="1"/>
  <c r="AG905" i="1"/>
  <c r="AG972" i="1"/>
  <c r="AG949" i="1"/>
  <c r="AG970" i="1"/>
  <c r="AG907" i="1"/>
  <c r="AG951" i="1"/>
  <c r="AG918" i="1"/>
  <c r="AG900" i="1"/>
  <c r="AG924" i="1"/>
  <c r="AG952" i="1"/>
  <c r="AG945" i="1"/>
  <c r="AG891" i="1"/>
  <c r="AG959" i="1"/>
  <c r="AG912" i="1"/>
  <c r="AG933" i="1"/>
  <c r="AG888" i="1"/>
  <c r="AG953" i="1"/>
  <c r="AG944" i="1"/>
  <c r="AG950" i="1"/>
  <c r="AG911" i="1"/>
  <c r="AG973" i="1"/>
  <c r="AG960" i="1"/>
  <c r="AG948" i="1"/>
  <c r="AG909" i="1"/>
  <c r="AG967" i="1"/>
  <c r="AG885" i="1"/>
  <c r="AG957" i="1"/>
  <c r="AG921" i="1"/>
  <c r="AG903" i="1"/>
  <c r="AG881" i="1"/>
  <c r="AG916" i="1"/>
  <c r="AG956" i="1"/>
  <c r="AG879" i="1"/>
  <c r="AG872" i="1"/>
  <c r="AG908" i="1"/>
  <c r="AG937" i="1"/>
  <c r="AG880" i="1"/>
  <c r="AG941" i="1"/>
  <c r="AG932" i="1"/>
  <c r="AG890" i="1"/>
  <c r="AG914" i="1"/>
  <c r="AG870" i="1"/>
  <c r="AG943" i="1"/>
  <c r="AG896" i="1"/>
  <c r="AG897" i="1"/>
  <c r="AG928" i="1"/>
  <c r="AG926" i="1"/>
  <c r="AG954" i="1"/>
  <c r="AG906" i="1"/>
  <c r="AG942" i="1"/>
  <c r="AG889" i="1"/>
  <c r="AG866" i="1"/>
  <c r="AG867" i="1"/>
  <c r="AG927" i="1"/>
  <c r="AG894" i="1"/>
  <c r="AG917" i="1"/>
  <c r="AG947" i="1"/>
  <c r="AG930" i="1"/>
  <c r="AG938" i="1"/>
  <c r="AG902" i="1"/>
  <c r="AG873" i="1"/>
  <c r="AG858" i="1"/>
  <c r="AG840" i="1"/>
  <c r="AG877" i="1"/>
  <c r="AG893" i="1"/>
  <c r="AG931" i="1"/>
  <c r="AG822" i="1"/>
  <c r="AG868" i="1"/>
  <c r="AG862" i="1"/>
  <c r="AG844" i="1"/>
  <c r="AG841" i="1"/>
  <c r="AG820" i="1"/>
  <c r="AG899" i="1"/>
  <c r="AG920" i="1"/>
  <c r="AG895" i="1"/>
  <c r="AG863" i="1"/>
  <c r="AG838" i="1"/>
  <c r="AG799" i="1"/>
  <c r="AG860" i="1"/>
  <c r="AG898" i="1"/>
  <c r="AG830" i="1"/>
  <c r="AG794" i="1"/>
  <c r="AG915" i="1"/>
  <c r="AG856" i="1"/>
  <c r="AG795" i="1"/>
  <c r="AG781" i="1"/>
  <c r="AG825" i="1"/>
  <c r="AG788" i="1"/>
  <c r="AG919" i="1"/>
  <c r="AG878" i="1"/>
  <c r="AG887" i="1"/>
  <c r="AG808" i="1"/>
  <c r="AG828" i="1"/>
  <c r="AG835" i="1"/>
  <c r="AG805" i="1"/>
  <c r="AG904" i="1"/>
  <c r="AG883" i="1"/>
  <c r="AG910" i="1"/>
  <c r="AG892" i="1"/>
  <c r="AG875" i="1"/>
  <c r="AG882" i="1"/>
  <c r="AG874" i="1"/>
  <c r="AG787" i="1"/>
  <c r="AG850" i="1"/>
  <c r="AG833" i="1"/>
  <c r="AG810" i="1"/>
  <c r="AG886" i="1"/>
  <c r="AG847" i="1"/>
  <c r="AG864" i="1"/>
  <c r="AG818" i="1"/>
  <c r="AG853" i="1"/>
  <c r="AG861" i="1"/>
  <c r="AG845" i="1"/>
  <c r="AG821" i="1"/>
  <c r="AG884" i="1"/>
  <c r="AG768" i="1"/>
  <c r="AG842" i="1"/>
  <c r="AG726" i="1"/>
  <c r="AG802" i="1"/>
  <c r="AG871" i="1"/>
  <c r="AG724" i="1"/>
  <c r="AG843" i="1"/>
  <c r="AG749" i="1"/>
  <c r="AG857" i="1"/>
  <c r="AG784" i="1"/>
  <c r="AG811" i="1"/>
  <c r="AG807" i="1"/>
  <c r="AG876" i="1"/>
  <c r="AG737" i="1"/>
  <c r="AG748" i="1"/>
  <c r="AG716" i="1"/>
  <c r="AG776" i="1"/>
  <c r="AG812" i="1"/>
  <c r="AG848" i="1"/>
  <c r="AG777" i="1"/>
  <c r="AG789" i="1"/>
  <c r="AG832" i="1"/>
  <c r="AG790" i="1"/>
  <c r="AG707" i="1"/>
  <c r="AG792" i="1"/>
  <c r="AG718" i="1"/>
  <c r="AG694" i="1"/>
  <c r="AG727" i="1"/>
  <c r="AG827" i="1"/>
  <c r="AG675" i="1"/>
  <c r="AG695" i="1"/>
  <c r="AG829" i="1"/>
  <c r="AG746" i="1"/>
  <c r="AG690" i="1"/>
  <c r="AG793" i="1"/>
  <c r="AG700" i="1"/>
  <c r="AG682" i="1"/>
  <c r="AG849" i="1"/>
  <c r="AG865" i="1"/>
  <c r="AG859" i="1"/>
  <c r="AG715" i="1"/>
  <c r="AG729" i="1"/>
  <c r="AG869" i="1"/>
  <c r="AG804" i="1"/>
  <c r="AG851" i="1"/>
  <c r="AG714" i="1"/>
  <c r="AG753" i="1"/>
  <c r="AG801" i="1"/>
  <c r="AG704" i="1"/>
  <c r="AG671" i="1"/>
  <c r="AG751" i="1"/>
  <c r="AG701" i="1"/>
  <c r="AG826" i="1"/>
  <c r="AG770" i="1"/>
  <c r="AG846" i="1"/>
  <c r="AG657" i="1"/>
  <c r="AG750" i="1"/>
  <c r="AG686" i="1"/>
  <c r="AG740" i="1"/>
  <c r="AG684" i="1"/>
  <c r="AG719" i="1"/>
  <c r="AG738" i="1"/>
  <c r="AG854" i="1"/>
  <c r="AG681" i="1"/>
  <c r="AG735" i="1"/>
  <c r="AG813" i="1"/>
  <c r="AG674" i="1"/>
  <c r="AG730" i="1"/>
  <c r="AG771" i="1"/>
  <c r="AG747" i="1"/>
  <c r="AG702" i="1"/>
  <c r="AG852" i="1"/>
  <c r="AG638" i="1"/>
  <c r="AG855" i="1"/>
  <c r="AG837" i="1"/>
  <c r="AG725" i="1"/>
  <c r="AG819" i="1"/>
  <c r="AG664" i="1"/>
  <c r="AG672" i="1"/>
  <c r="AG669" i="1"/>
  <c r="AG815" i="1"/>
  <c r="AG824" i="1"/>
  <c r="AG665" i="1"/>
  <c r="AG691" i="1"/>
  <c r="AG809" i="1"/>
  <c r="AG779" i="1"/>
  <c r="AG661" i="1"/>
  <c r="AG744" i="1"/>
  <c r="AG754" i="1"/>
  <c r="AG645" i="1"/>
  <c r="AG662" i="1"/>
  <c r="AG798" i="1"/>
  <c r="AG783" i="1"/>
  <c r="AG834" i="1"/>
  <c r="AG644" i="1"/>
  <c r="AG814" i="1"/>
  <c r="AG739" i="1"/>
  <c r="AG817" i="1"/>
  <c r="AG643" i="1"/>
  <c r="AG625" i="1"/>
  <c r="AG758" i="1"/>
  <c r="AG839" i="1"/>
  <c r="AG605" i="1"/>
  <c r="AG761" i="1"/>
  <c r="AG689" i="1"/>
  <c r="AG618" i="1"/>
  <c r="AG721" i="1"/>
  <c r="AG782" i="1"/>
  <c r="AG713" i="1"/>
  <c r="AG683" i="1"/>
  <c r="AG660" i="1"/>
  <c r="AG742" i="1"/>
  <c r="AG632" i="1"/>
  <c r="AG745" i="1"/>
  <c r="AG640" i="1"/>
  <c r="AG764" i="1"/>
  <c r="AG836" i="1"/>
  <c r="AG603" i="1"/>
  <c r="AG641" i="1"/>
  <c r="AG659" i="1"/>
  <c r="AG600" i="1"/>
  <c r="AG823" i="1"/>
  <c r="AG775" i="1"/>
  <c r="AG831" i="1"/>
  <c r="AG797" i="1"/>
  <c r="AG572" i="1"/>
  <c r="AG786" i="1"/>
  <c r="AG592" i="1"/>
  <c r="AG646" i="1"/>
  <c r="AG806" i="1"/>
  <c r="AG589" i="1"/>
  <c r="AG577" i="1"/>
  <c r="AG655" i="1"/>
  <c r="AG803" i="1"/>
  <c r="AG699" i="1"/>
  <c r="AG581" i="1"/>
  <c r="AG652" i="1"/>
  <c r="AG791" i="1"/>
  <c r="AG755" i="1"/>
  <c r="AG774" i="1"/>
  <c r="AG597" i="1"/>
  <c r="AG800" i="1"/>
  <c r="AG731" i="1"/>
  <c r="AG565" i="1"/>
  <c r="AG816" i="1"/>
  <c r="AG548" i="1"/>
  <c r="AG612" i="1"/>
  <c r="AG647" i="1"/>
  <c r="AG668" i="1"/>
  <c r="AG602" i="1"/>
  <c r="AG656" i="1"/>
  <c r="AG732" i="1"/>
  <c r="AG590" i="1"/>
  <c r="AG666" i="1"/>
  <c r="AG772" i="1"/>
  <c r="AG588" i="1"/>
  <c r="AG773" i="1"/>
  <c r="AG627" i="1"/>
  <c r="AG765" i="1"/>
  <c r="AG763" i="1"/>
  <c r="AG733" i="1"/>
  <c r="AG594" i="1"/>
  <c r="AG723" i="1"/>
  <c r="AG546" i="1"/>
  <c r="AG648" i="1"/>
  <c r="AG596" i="1"/>
  <c r="AG629" i="1"/>
  <c r="AG670" i="1"/>
  <c r="AG769" i="1"/>
  <c r="AG552" i="1"/>
  <c r="AG796" i="1"/>
  <c r="AG752" i="1"/>
  <c r="AG757" i="1"/>
  <c r="AG743" i="1"/>
  <c r="AG696" i="1"/>
  <c r="AG778" i="1"/>
  <c r="AG570" i="1"/>
  <c r="AG697" i="1"/>
  <c r="AG667" i="1"/>
  <c r="AG517" i="1"/>
  <c r="AG593" i="1"/>
  <c r="AG785" i="1"/>
  <c r="AG610" i="1"/>
  <c r="AG712" i="1"/>
  <c r="AG741" i="1"/>
  <c r="AG578" i="1"/>
  <c r="AG556" i="1"/>
  <c r="AG550" i="1"/>
  <c r="AG515" i="1"/>
  <c r="AG622" i="1"/>
  <c r="AG576" i="1"/>
  <c r="AG611" i="1"/>
  <c r="AG562" i="1"/>
  <c r="AG543" i="1"/>
  <c r="AG520" i="1"/>
  <c r="AG767" i="1"/>
  <c r="AG650" i="1"/>
  <c r="AG559" i="1"/>
  <c r="AG736" i="1"/>
  <c r="AG513" i="1"/>
  <c r="AG506" i="1"/>
  <c r="AG628" i="1"/>
  <c r="AG766" i="1"/>
  <c r="AG677" i="1"/>
  <c r="AG580" i="1"/>
  <c r="AG762" i="1"/>
  <c r="AG717" i="1"/>
  <c r="AG568" i="1"/>
  <c r="AG566" i="1"/>
  <c r="AG759" i="1"/>
  <c r="AG734" i="1"/>
  <c r="AG728" i="1"/>
  <c r="AG692" i="1"/>
  <c r="AG780" i="1"/>
  <c r="AG722" i="1"/>
  <c r="AG563" i="1"/>
  <c r="AG541" i="1"/>
  <c r="AG540" i="1"/>
  <c r="AG756" i="1"/>
  <c r="AG623" i="1"/>
  <c r="AG561" i="1"/>
  <c r="AG527" i="1"/>
  <c r="AG688" i="1"/>
  <c r="AG698" i="1"/>
  <c r="AG693" i="1"/>
  <c r="AG521" i="1"/>
  <c r="AG528" i="1"/>
  <c r="AG569" i="1"/>
  <c r="AG703" i="1"/>
  <c r="AG705" i="1"/>
  <c r="AG564" i="1"/>
  <c r="AG653" i="1"/>
  <c r="AG720" i="1"/>
  <c r="AG760" i="1"/>
  <c r="AG609" i="1"/>
  <c r="AG477" i="1"/>
  <c r="AG706" i="1"/>
  <c r="AG579" i="1"/>
  <c r="AG658" i="1"/>
  <c r="AG514" i="1"/>
  <c r="AG676" i="1"/>
  <c r="AG633" i="1"/>
  <c r="AG557" i="1"/>
  <c r="AG493" i="1"/>
  <c r="AG614" i="1"/>
  <c r="AG626" i="1"/>
  <c r="AG507" i="1"/>
  <c r="AG488" i="1"/>
  <c r="AG678" i="1"/>
  <c r="AG535" i="1"/>
  <c r="AG710" i="1"/>
  <c r="AG453" i="1"/>
  <c r="AG619" i="1"/>
  <c r="AG635" i="1"/>
  <c r="AG547" i="1"/>
  <c r="AG607" i="1"/>
  <c r="AG685" i="1"/>
  <c r="AG537" i="1"/>
  <c r="AG649" i="1"/>
  <c r="AG509" i="1"/>
  <c r="AG438" i="1"/>
  <c r="AG539" i="1"/>
  <c r="AG463" i="1"/>
  <c r="AG430" i="1"/>
  <c r="AG495" i="1"/>
  <c r="AG544" i="1"/>
  <c r="AG526" i="1"/>
  <c r="AG424" i="1"/>
  <c r="AG530" i="1"/>
  <c r="AG496" i="1"/>
  <c r="AG465" i="1"/>
  <c r="AG608" i="1"/>
  <c r="AG523" i="1"/>
  <c r="AG558" i="1"/>
  <c r="AG654" i="1"/>
  <c r="AG469" i="1"/>
  <c r="AG421" i="1"/>
  <c r="AG431" i="1"/>
  <c r="AG460" i="1"/>
  <c r="AG621" i="1"/>
  <c r="AG471" i="1"/>
  <c r="AG711" i="1"/>
  <c r="AG637" i="1"/>
  <c r="AG636" i="1"/>
  <c r="AG518" i="1"/>
  <c r="AG519" i="1"/>
  <c r="AG624" i="1"/>
  <c r="AG642" i="1"/>
  <c r="AG551" i="1"/>
  <c r="AG443" i="1"/>
  <c r="AG663" i="1"/>
  <c r="AG473" i="1"/>
  <c r="AG462" i="1"/>
  <c r="AG673" i="1"/>
  <c r="AG447" i="1"/>
  <c r="AG639" i="1"/>
  <c r="AG416" i="1"/>
  <c r="AG510" i="1"/>
  <c r="AG613" i="1"/>
  <c r="AG620" i="1"/>
  <c r="AG470" i="1"/>
  <c r="AG573" i="1"/>
  <c r="AG534" i="1"/>
  <c r="AG446" i="1"/>
  <c r="AG455" i="1"/>
  <c r="AG630" i="1"/>
  <c r="AG415" i="1"/>
  <c r="AG708" i="1"/>
  <c r="AG490" i="1"/>
  <c r="AG709" i="1"/>
  <c r="AG451" i="1"/>
  <c r="AG606" i="1"/>
  <c r="AG522" i="1"/>
  <c r="AG679" i="1"/>
  <c r="AG505" i="1"/>
  <c r="AG404" i="1"/>
  <c r="AG403" i="1"/>
  <c r="AG586" i="1"/>
  <c r="AG680" i="1"/>
  <c r="AG484" i="1"/>
  <c r="AG532" i="1"/>
  <c r="AG585" i="1"/>
  <c r="AG480" i="1"/>
  <c r="AG687" i="1"/>
  <c r="AG449" i="1"/>
  <c r="AG487" i="1"/>
  <c r="AG442" i="1"/>
  <c r="AG492" i="1"/>
  <c r="AG533" i="1"/>
  <c r="AG464" i="1"/>
  <c r="AG486" i="1"/>
  <c r="AG549" i="1"/>
  <c r="AG634" i="1"/>
  <c r="AG582" i="1"/>
  <c r="AG504" i="1"/>
  <c r="AG598" i="1"/>
  <c r="AG440" i="1"/>
  <c r="AG498" i="1"/>
  <c r="AG445" i="1"/>
  <c r="AG365" i="1"/>
  <c r="AG391" i="1"/>
  <c r="AG419" i="1"/>
  <c r="AG434" i="1"/>
  <c r="AG538" i="1"/>
  <c r="AG439" i="1"/>
  <c r="AG599" i="1"/>
  <c r="AG491" i="1"/>
  <c r="AG500" i="1"/>
  <c r="AG458" i="1"/>
  <c r="AG366" i="1"/>
  <c r="AG468" i="1"/>
  <c r="AG388" i="1"/>
  <c r="AG467" i="1"/>
  <c r="AG508" i="1"/>
  <c r="AG501" i="1"/>
  <c r="AG545" i="1"/>
  <c r="AG651" i="1"/>
  <c r="AG494" i="1"/>
  <c r="AG502" i="1"/>
  <c r="AG369" i="1"/>
  <c r="AG631" i="1"/>
  <c r="AG553" i="1"/>
  <c r="AG591" i="1"/>
  <c r="AG595" i="1"/>
  <c r="AG432" i="1"/>
  <c r="AG616" i="1"/>
  <c r="AG364" i="1"/>
  <c r="AG531" i="1"/>
  <c r="AG319" i="1"/>
  <c r="AG482" i="1"/>
  <c r="AG382" i="1"/>
  <c r="AG357" i="1"/>
  <c r="AG315" i="1"/>
  <c r="AG354" i="1"/>
  <c r="AG503" i="1"/>
  <c r="AG337" i="1"/>
  <c r="AG584" i="1"/>
  <c r="AG529" i="1"/>
  <c r="AG466" i="1"/>
  <c r="AG511" i="1"/>
  <c r="AG426" i="1"/>
  <c r="AG615" i="1"/>
  <c r="AG560" i="1"/>
  <c r="AG346" i="1"/>
  <c r="AG363" i="1"/>
  <c r="AG302" i="1"/>
  <c r="AG375" i="1"/>
  <c r="AG475" i="1"/>
  <c r="AG567" i="1"/>
  <c r="AG379" i="1"/>
  <c r="AG617" i="1"/>
  <c r="AG525" i="1"/>
  <c r="AG461" i="1"/>
  <c r="AG444" i="1"/>
  <c r="AG290" i="1"/>
  <c r="AG402" i="1"/>
  <c r="AG396" i="1"/>
  <c r="AG601" i="1"/>
  <c r="AG328" i="1"/>
  <c r="AG371" i="1"/>
  <c r="AG555" i="1"/>
  <c r="AG476" i="1"/>
  <c r="AG292" i="1"/>
  <c r="AG397" i="1"/>
  <c r="AG409" i="1"/>
  <c r="AG571" i="1"/>
  <c r="AG314" i="1"/>
  <c r="AG575" i="1"/>
  <c r="AG454" i="1"/>
  <c r="AG489" i="1"/>
  <c r="AG483" i="1"/>
  <c r="AG322" i="1"/>
  <c r="AG516" i="1"/>
  <c r="AG274" i="1"/>
  <c r="AG604" i="1"/>
  <c r="AG536" i="1"/>
  <c r="AG312" i="1"/>
  <c r="AG304" i="1"/>
  <c r="AG474" i="1"/>
  <c r="AG311" i="1"/>
  <c r="AG376" i="1"/>
  <c r="AG414" i="1"/>
  <c r="AG288" i="1"/>
  <c r="AG583" i="1"/>
  <c r="AG574" i="1"/>
  <c r="AG408" i="1"/>
  <c r="AG324" i="1"/>
  <c r="AG587" i="1"/>
  <c r="AG423" i="1"/>
  <c r="AG393" i="1"/>
  <c r="AG368" i="1"/>
  <c r="AG413" i="1"/>
  <c r="AG359" i="1"/>
  <c r="AG351" i="1"/>
  <c r="AG283" i="1"/>
  <c r="AG260" i="1"/>
  <c r="AG497" i="1"/>
  <c r="AG398" i="1"/>
  <c r="AG287" i="1"/>
  <c r="AG308" i="1"/>
  <c r="AG339" i="1"/>
  <c r="AG456" i="1"/>
  <c r="AG554" i="1"/>
  <c r="AG542" i="1"/>
  <c r="AG425" i="1"/>
  <c r="AG448" i="1"/>
  <c r="AG317" i="1"/>
  <c r="AG422" i="1"/>
  <c r="AG407" i="1"/>
  <c r="AG327" i="1"/>
  <c r="AG370" i="1"/>
  <c r="AG362" i="1"/>
  <c r="AG249" i="1"/>
  <c r="AG457" i="1"/>
  <c r="AG348" i="1"/>
  <c r="AG383" i="1"/>
  <c r="AG356" i="1"/>
  <c r="AG338" i="1"/>
  <c r="AG450" i="1"/>
  <c r="AG264" i="1"/>
  <c r="AG232" i="1"/>
  <c r="AG267" i="1"/>
  <c r="AG310" i="1"/>
  <c r="AG320" i="1"/>
  <c r="AG276" i="1"/>
  <c r="AG250" i="1"/>
  <c r="AG478" i="1"/>
  <c r="AG303" i="1"/>
  <c r="AG418" i="1"/>
  <c r="AG524" i="1"/>
  <c r="AG246" i="1"/>
  <c r="AG272" i="1"/>
  <c r="AG332" i="1"/>
  <c r="AG405" i="1"/>
  <c r="AG216" i="1"/>
  <c r="AG318" i="1"/>
  <c r="AG330" i="1"/>
  <c r="AG512" i="1"/>
  <c r="AG481" i="1"/>
  <c r="AG301" i="1"/>
  <c r="AG218" i="1"/>
  <c r="AG295" i="1"/>
  <c r="AG401" i="1"/>
  <c r="AG499" i="1"/>
  <c r="AG428" i="1"/>
  <c r="AG271" i="1"/>
  <c r="AG305" i="1"/>
  <c r="AG384" i="1"/>
  <c r="AG358" i="1"/>
  <c r="AG270" i="1"/>
  <c r="AG367" i="1"/>
  <c r="AG285" i="1"/>
  <c r="AG323" i="1"/>
  <c r="AG435" i="1"/>
  <c r="AG221" i="1"/>
  <c r="AG386" i="1"/>
  <c r="AG394" i="1"/>
  <c r="AG331" i="1"/>
  <c r="AG225" i="1"/>
  <c r="AG210" i="1"/>
  <c r="AG429" i="1"/>
  <c r="AG353" i="1"/>
  <c r="AG325" i="1"/>
  <c r="AG300" i="1"/>
  <c r="AG399" i="1"/>
  <c r="AG279" i="1"/>
  <c r="AG289" i="1"/>
  <c r="AG282" i="1"/>
  <c r="AG204" i="1"/>
  <c r="AG485" i="1"/>
  <c r="AG472" i="1"/>
  <c r="AG392" i="1"/>
  <c r="AG235" i="1"/>
  <c r="AG223" i="1"/>
  <c r="AG380" i="1"/>
  <c r="AG296" i="1"/>
  <c r="AG208" i="1"/>
  <c r="AG395" i="1"/>
  <c r="AG202" i="1"/>
  <c r="AG326" i="1"/>
  <c r="AG427" i="1"/>
  <c r="AG265" i="1"/>
  <c r="AG343" i="1"/>
  <c r="AG336" i="1"/>
  <c r="AG436" i="1"/>
  <c r="AG263" i="1"/>
  <c r="AG188" i="1"/>
  <c r="AG459" i="1"/>
  <c r="AG207" i="1"/>
  <c r="AG187" i="1"/>
  <c r="AG293" i="1"/>
  <c r="AG171" i="1"/>
  <c r="AG180" i="1"/>
  <c r="AG209" i="1"/>
  <c r="AG452" i="1"/>
  <c r="AG240" i="1"/>
  <c r="AG479" i="1"/>
  <c r="AG262" i="1"/>
  <c r="AG261" i="1"/>
  <c r="AG236" i="1"/>
  <c r="AG299" i="1"/>
  <c r="AG203" i="1"/>
  <c r="AG257" i="1"/>
  <c r="AG350" i="1"/>
  <c r="AG437" i="1"/>
  <c r="AG342" i="1"/>
  <c r="AG183" i="1"/>
  <c r="AG372" i="1"/>
  <c r="AG233" i="1"/>
  <c r="AG340" i="1"/>
  <c r="AG333" i="1"/>
  <c r="AG417" i="1"/>
  <c r="AG406" i="1"/>
  <c r="AG191" i="1"/>
  <c r="AG433" i="1"/>
  <c r="AG244" i="1"/>
  <c r="AG441" i="1"/>
  <c r="AG253" i="1"/>
  <c r="AG194" i="1"/>
  <c r="AG206" i="1"/>
  <c r="AG329" i="1"/>
  <c r="AG377" i="1"/>
  <c r="AG360" i="1"/>
  <c r="AG389" i="1"/>
  <c r="AG373" i="1"/>
  <c r="AG238" i="1"/>
  <c r="AG280" i="1"/>
  <c r="AG212" i="1"/>
  <c r="AG201" i="1"/>
  <c r="AG275" i="1"/>
  <c r="AG420" i="1"/>
  <c r="AG361" i="1"/>
  <c r="AG258" i="1"/>
  <c r="AG286" i="1"/>
  <c r="AG345" i="1"/>
  <c r="AG297" i="1"/>
  <c r="AG284" i="1"/>
  <c r="AG164" i="1"/>
  <c r="AG193" i="1"/>
  <c r="AG145" i="1"/>
  <c r="AG200" i="1"/>
  <c r="AG400" i="1"/>
  <c r="AG224" i="1"/>
  <c r="AG412" i="1"/>
  <c r="AG215" i="1"/>
  <c r="AG245" i="1"/>
  <c r="AG185" i="1"/>
  <c r="AG140" i="1"/>
  <c r="AG411" i="1"/>
  <c r="AG222" i="1"/>
  <c r="AG147" i="1"/>
  <c r="AG335" i="1"/>
  <c r="AG349" i="1"/>
  <c r="AG385" i="1"/>
  <c r="AG321" i="1"/>
  <c r="AG211" i="1"/>
  <c r="AG252" i="1"/>
  <c r="AG248" i="1"/>
  <c r="AG268" i="1"/>
  <c r="AG239" i="1"/>
  <c r="AG259" i="1"/>
  <c r="AG378" i="1"/>
  <c r="AG136" i="1"/>
  <c r="AG159" i="1"/>
  <c r="AG255" i="1"/>
  <c r="AG387" i="1"/>
  <c r="AG151" i="1"/>
  <c r="AG176" i="1"/>
  <c r="AG186" i="1"/>
  <c r="AG390" i="1"/>
  <c r="AG344" i="1"/>
  <c r="AG177" i="1"/>
  <c r="AG154" i="1"/>
  <c r="AG410" i="1"/>
  <c r="AG298" i="1"/>
  <c r="AG234" i="1"/>
  <c r="AG174" i="1"/>
  <c r="AG138" i="1"/>
  <c r="AG189" i="1"/>
  <c r="AG374" i="1"/>
  <c r="AG125" i="1"/>
  <c r="AG381" i="1"/>
  <c r="AG226" i="1"/>
  <c r="AG155" i="1"/>
  <c r="AG291" i="1"/>
  <c r="AG229" i="1"/>
  <c r="AG148" i="1"/>
  <c r="AG228" i="1"/>
  <c r="AG247" i="1"/>
  <c r="AG230" i="1"/>
  <c r="AG150" i="1"/>
  <c r="AG153" i="1"/>
  <c r="AG355" i="1"/>
  <c r="AG169" i="1"/>
  <c r="AG251" i="1"/>
  <c r="AG130" i="1"/>
  <c r="AG306" i="1"/>
  <c r="AG128" i="1"/>
  <c r="AG127" i="1"/>
  <c r="AG113" i="1"/>
  <c r="AG213" i="1"/>
  <c r="AG266" i="1"/>
  <c r="AG135" i="1"/>
  <c r="AG231" i="1"/>
  <c r="AG309" i="1"/>
  <c r="AG141" i="1"/>
  <c r="AG219" i="1"/>
  <c r="AG347" i="1"/>
  <c r="AG313" i="1"/>
  <c r="AG163" i="1"/>
  <c r="AG131" i="1"/>
  <c r="AG334" i="1"/>
  <c r="AG269" i="1"/>
  <c r="AG162" i="1"/>
  <c r="AG161" i="1"/>
  <c r="AG166" i="1"/>
  <c r="AG195" i="1"/>
  <c r="AG307" i="1"/>
  <c r="AG341" i="1"/>
  <c r="AG352" i="1"/>
  <c r="AG178" i="1"/>
  <c r="AG237" i="1"/>
  <c r="AG243" i="1"/>
  <c r="AG119" i="1"/>
  <c r="AG149" i="1"/>
  <c r="AG281" i="1"/>
  <c r="AG190" i="1"/>
  <c r="AG108" i="1"/>
  <c r="AG277" i="1"/>
  <c r="AG316" i="1"/>
  <c r="AG196" i="1"/>
  <c r="AG139" i="1"/>
  <c r="AG278" i="1"/>
  <c r="AG217" i="1"/>
  <c r="AG105" i="1"/>
  <c r="AG143" i="1"/>
  <c r="AG126" i="1"/>
  <c r="AG156" i="1"/>
  <c r="AG173" i="1"/>
  <c r="AG133" i="1"/>
  <c r="AG256" i="1"/>
  <c r="AG184" i="1"/>
  <c r="AG170" i="1"/>
  <c r="AG294" i="1"/>
  <c r="AG118" i="1"/>
  <c r="AG214" i="1"/>
  <c r="AG227" i="1"/>
  <c r="AG144" i="1"/>
  <c r="AG115" i="1"/>
  <c r="AG102" i="1"/>
  <c r="AG158" i="1"/>
  <c r="AG242" i="1"/>
  <c r="AG182" i="1"/>
  <c r="AG146" i="1"/>
  <c r="AG198" i="1"/>
  <c r="AG175" i="1"/>
  <c r="AG168" i="1"/>
  <c r="AG273" i="1"/>
  <c r="AG254" i="1"/>
  <c r="AG167" i="1"/>
  <c r="AG241" i="1"/>
  <c r="AG104" i="1"/>
  <c r="AG77" i="1"/>
  <c r="AG97" i="1"/>
  <c r="AG220" i="1"/>
  <c r="AG179" i="1"/>
  <c r="AG137" i="1"/>
  <c r="AG106" i="1"/>
  <c r="AG205" i="1"/>
  <c r="AG120" i="1"/>
  <c r="AG78" i="1"/>
  <c r="AG199" i="1"/>
  <c r="AG57" i="1"/>
  <c r="AG157" i="1"/>
  <c r="AG122" i="1"/>
  <c r="AG84" i="1"/>
  <c r="AG86" i="1"/>
  <c r="AG96" i="1"/>
  <c r="AG48" i="1"/>
  <c r="AG100" i="1"/>
  <c r="AG67" i="1"/>
  <c r="AG89" i="1"/>
  <c r="AG181" i="1"/>
  <c r="AG114" i="1"/>
  <c r="AG129" i="1"/>
  <c r="AG165" i="1"/>
  <c r="AG152" i="1"/>
  <c r="AG74" i="1"/>
  <c r="AG72" i="1"/>
  <c r="AG55" i="1"/>
  <c r="AG110" i="1"/>
  <c r="AG92" i="1"/>
  <c r="AG197" i="1"/>
  <c r="AG132" i="1"/>
  <c r="AG192" i="1"/>
  <c r="AG43" i="1"/>
  <c r="AG172" i="1"/>
  <c r="AG103" i="1"/>
  <c r="AG56" i="1"/>
  <c r="AG35" i="1"/>
  <c r="AG94" i="1"/>
  <c r="AG134" i="1"/>
  <c r="AG117" i="1"/>
  <c r="AG68" i="1"/>
  <c r="AG112" i="1"/>
  <c r="AG63" i="1"/>
  <c r="AG116" i="1"/>
  <c r="AG31" i="1"/>
  <c r="AG46" i="1"/>
  <c r="AG109" i="1"/>
  <c r="AG29" i="1"/>
  <c r="AG88" i="1"/>
  <c r="AG81" i="1"/>
  <c r="AG40" i="1"/>
  <c r="AG38" i="1"/>
  <c r="AG160" i="1"/>
  <c r="AG44" i="1"/>
  <c r="AG142" i="1"/>
  <c r="AG95" i="1"/>
  <c r="AG82" i="1"/>
  <c r="AG60" i="1"/>
  <c r="AG98" i="1"/>
  <c r="AG90" i="1"/>
  <c r="AG30" i="1"/>
  <c r="AG34" i="1"/>
  <c r="AG99" i="1"/>
  <c r="AG33" i="1"/>
  <c r="AG49" i="1"/>
  <c r="AG121" i="1"/>
  <c r="AG45" i="1"/>
  <c r="AG52" i="1"/>
  <c r="AG27" i="1"/>
  <c r="AG123" i="1"/>
  <c r="AG83" i="1"/>
  <c r="AG41" i="1"/>
  <c r="AG75" i="1"/>
  <c r="AG51" i="1"/>
  <c r="AG50" i="1"/>
  <c r="AG111" i="1"/>
  <c r="AG53" i="1"/>
  <c r="AG124" i="1"/>
  <c r="AG80" i="1"/>
  <c r="AG91" i="1"/>
  <c r="AG101" i="1"/>
  <c r="AG17" i="1"/>
  <c r="AG62" i="1"/>
  <c r="AG11" i="1"/>
  <c r="AG65" i="1"/>
  <c r="AG20" i="1"/>
  <c r="AG87" i="1"/>
  <c r="AG76" i="1"/>
  <c r="AG24" i="1"/>
  <c r="AG16" i="1"/>
  <c r="AG70" i="1"/>
  <c r="AG36" i="1"/>
  <c r="AG21" i="1"/>
  <c r="AG107" i="1"/>
  <c r="AG14" i="1"/>
  <c r="AG39" i="1"/>
  <c r="AG26" i="1"/>
  <c r="AG69" i="1"/>
  <c r="AG9" i="1"/>
  <c r="AG10" i="1"/>
  <c r="AG23" i="1"/>
  <c r="AG28" i="1"/>
  <c r="AG93" i="1"/>
  <c r="AG85" i="1"/>
  <c r="AG66" i="1"/>
  <c r="AG71" i="1"/>
  <c r="AG54" i="1"/>
  <c r="AG22" i="1"/>
  <c r="AG73" i="1"/>
  <c r="AG37" i="1"/>
  <c r="AG3" i="1"/>
  <c r="AG32" i="1"/>
  <c r="AG64" i="1"/>
  <c r="AG58" i="1"/>
  <c r="AG4" i="1"/>
  <c r="AG61" i="1"/>
  <c r="AG6" i="1"/>
  <c r="AG8" i="1"/>
  <c r="AG15" i="1"/>
  <c r="AG18" i="1"/>
  <c r="AG13" i="1"/>
  <c r="AG25" i="1"/>
  <c r="AG7" i="1"/>
  <c r="AG47" i="1"/>
  <c r="AG42" i="1"/>
  <c r="AG12" i="1"/>
  <c r="AG19" i="1"/>
  <c r="AG79" i="1"/>
  <c r="AG2" i="1"/>
  <c r="AG59" i="1"/>
  <c r="AG5" i="1"/>
  <c r="AG997" i="1"/>
  <c r="B28" i="14"/>
  <c r="AF999" i="1"/>
  <c r="AF985" i="1"/>
  <c r="AF995" i="1"/>
  <c r="AF994" i="1"/>
  <c r="AF990" i="1"/>
  <c r="AF996" i="1"/>
  <c r="AF984" i="1"/>
  <c r="AF1001" i="1"/>
  <c r="AF982" i="1"/>
  <c r="AF981" i="1"/>
  <c r="AF986" i="1"/>
  <c r="AF998" i="1"/>
  <c r="AF989" i="1"/>
  <c r="AF974" i="1"/>
  <c r="AF992" i="1"/>
  <c r="AF1000" i="1"/>
  <c r="AF991" i="1"/>
  <c r="AF958" i="1"/>
  <c r="AF983" i="1"/>
  <c r="AF993" i="1"/>
  <c r="AF987" i="1"/>
  <c r="AF961" i="1"/>
  <c r="AF936" i="1"/>
  <c r="AF940" i="1"/>
  <c r="AF935" i="1"/>
  <c r="AF980" i="1"/>
  <c r="AF988" i="1"/>
  <c r="AF929" i="1"/>
  <c r="AF979" i="1"/>
  <c r="AF939" i="1"/>
  <c r="AF934" i="1"/>
  <c r="AF963" i="1"/>
  <c r="AF977" i="1"/>
  <c r="AF978" i="1"/>
  <c r="AF965" i="1"/>
  <c r="AF923" i="1"/>
  <c r="AF955" i="1"/>
  <c r="AF946" i="1"/>
  <c r="AF976" i="1"/>
  <c r="AF975" i="1"/>
  <c r="AF922" i="1"/>
  <c r="AF913" i="1"/>
  <c r="AF964" i="1"/>
  <c r="AF925" i="1"/>
  <c r="AF966" i="1"/>
  <c r="AF971" i="1"/>
  <c r="AF968" i="1"/>
  <c r="AF969" i="1"/>
  <c r="AF901" i="1"/>
  <c r="AF962" i="1"/>
  <c r="AF905" i="1"/>
  <c r="AF972" i="1"/>
  <c r="AF949" i="1"/>
  <c r="AF970" i="1"/>
  <c r="AF907" i="1"/>
  <c r="AF951" i="1"/>
  <c r="AF918" i="1"/>
  <c r="AF900" i="1"/>
  <c r="AF924" i="1"/>
  <c r="AF952" i="1"/>
  <c r="AF945" i="1"/>
  <c r="AF891" i="1"/>
  <c r="AF959" i="1"/>
  <c r="AF912" i="1"/>
  <c r="AF933" i="1"/>
  <c r="AF888" i="1"/>
  <c r="AF953" i="1"/>
  <c r="AF944" i="1"/>
  <c r="AF950" i="1"/>
  <c r="AF911" i="1"/>
  <c r="AF973" i="1"/>
  <c r="AF960" i="1"/>
  <c r="AF948" i="1"/>
  <c r="AF909" i="1"/>
  <c r="AF967" i="1"/>
  <c r="AF885" i="1"/>
  <c r="AF957" i="1"/>
  <c r="AF921" i="1"/>
  <c r="AF903" i="1"/>
  <c r="AF881" i="1"/>
  <c r="AF916" i="1"/>
  <c r="AF956" i="1"/>
  <c r="AF879" i="1"/>
  <c r="AF872" i="1"/>
  <c r="AF908" i="1"/>
  <c r="AF937" i="1"/>
  <c r="AF880" i="1"/>
  <c r="AF941" i="1"/>
  <c r="AF932" i="1"/>
  <c r="AF890" i="1"/>
  <c r="AF914" i="1"/>
  <c r="AF870" i="1"/>
  <c r="AF943" i="1"/>
  <c r="AF896" i="1"/>
  <c r="AF897" i="1"/>
  <c r="AF928" i="1"/>
  <c r="AF926" i="1"/>
  <c r="AF954" i="1"/>
  <c r="AF906" i="1"/>
  <c r="AF942" i="1"/>
  <c r="AF889" i="1"/>
  <c r="AF866" i="1"/>
  <c r="AF867" i="1"/>
  <c r="AF927" i="1"/>
  <c r="AF894" i="1"/>
  <c r="AF917" i="1"/>
  <c r="AF947" i="1"/>
  <c r="AF930" i="1"/>
  <c r="AF938" i="1"/>
  <c r="AF902" i="1"/>
  <c r="AF873" i="1"/>
  <c r="AF858" i="1"/>
  <c r="AF840" i="1"/>
  <c r="AF877" i="1"/>
  <c r="AF893" i="1"/>
  <c r="AF931" i="1"/>
  <c r="AF822" i="1"/>
  <c r="AF868" i="1"/>
  <c r="AF862" i="1"/>
  <c r="AF844" i="1"/>
  <c r="AF841" i="1"/>
  <c r="AF820" i="1"/>
  <c r="AF899" i="1"/>
  <c r="AF920" i="1"/>
  <c r="AF895" i="1"/>
  <c r="AF863" i="1"/>
  <c r="AF838" i="1"/>
  <c r="AF799" i="1"/>
  <c r="AF860" i="1"/>
  <c r="AF898" i="1"/>
  <c r="AF830" i="1"/>
  <c r="AF794" i="1"/>
  <c r="AF915" i="1"/>
  <c r="AF856" i="1"/>
  <c r="AF795" i="1"/>
  <c r="AF781" i="1"/>
  <c r="AF825" i="1"/>
  <c r="AF788" i="1"/>
  <c r="AF919" i="1"/>
  <c r="AF878" i="1"/>
  <c r="AF887" i="1"/>
  <c r="AF808" i="1"/>
  <c r="AF828" i="1"/>
  <c r="AF835" i="1"/>
  <c r="AF805" i="1"/>
  <c r="AF904" i="1"/>
  <c r="AF883" i="1"/>
  <c r="AF910" i="1"/>
  <c r="AF892" i="1"/>
  <c r="AF875" i="1"/>
  <c r="AF882" i="1"/>
  <c r="AF874" i="1"/>
  <c r="AF787" i="1"/>
  <c r="AF850" i="1"/>
  <c r="AF833" i="1"/>
  <c r="AF810" i="1"/>
  <c r="AF886" i="1"/>
  <c r="AF847" i="1"/>
  <c r="AF864" i="1"/>
  <c r="AF818" i="1"/>
  <c r="AF853" i="1"/>
  <c r="AF861" i="1"/>
  <c r="AF845" i="1"/>
  <c r="AF821" i="1"/>
  <c r="AF884" i="1"/>
  <c r="AF768" i="1"/>
  <c r="AF842" i="1"/>
  <c r="AF726" i="1"/>
  <c r="AF802" i="1"/>
  <c r="AF871" i="1"/>
  <c r="AF724" i="1"/>
  <c r="AF843" i="1"/>
  <c r="AF749" i="1"/>
  <c r="AF857" i="1"/>
  <c r="AF784" i="1"/>
  <c r="AF811" i="1"/>
  <c r="AF807" i="1"/>
  <c r="AF876" i="1"/>
  <c r="AF737" i="1"/>
  <c r="AF748" i="1"/>
  <c r="AF716" i="1"/>
  <c r="AF776" i="1"/>
  <c r="AF812" i="1"/>
  <c r="AF848" i="1"/>
  <c r="AF777" i="1"/>
  <c r="AF789" i="1"/>
  <c r="AF832" i="1"/>
  <c r="AF790" i="1"/>
  <c r="AF707" i="1"/>
  <c r="AF792" i="1"/>
  <c r="AF718" i="1"/>
  <c r="AF694" i="1"/>
  <c r="AF727" i="1"/>
  <c r="AF827" i="1"/>
  <c r="AF675" i="1"/>
  <c r="AF695" i="1"/>
  <c r="AF829" i="1"/>
  <c r="AF746" i="1"/>
  <c r="AF690" i="1"/>
  <c r="AF793" i="1"/>
  <c r="AF700" i="1"/>
  <c r="AF682" i="1"/>
  <c r="AF849" i="1"/>
  <c r="AF865" i="1"/>
  <c r="AF859" i="1"/>
  <c r="AF715" i="1"/>
  <c r="AF729" i="1"/>
  <c r="AF869" i="1"/>
  <c r="AF804" i="1"/>
  <c r="AF851" i="1"/>
  <c r="AF714" i="1"/>
  <c r="AF753" i="1"/>
  <c r="AF801" i="1"/>
  <c r="AF704" i="1"/>
  <c r="AF671" i="1"/>
  <c r="AF751" i="1"/>
  <c r="AF701" i="1"/>
  <c r="AF826" i="1"/>
  <c r="AF770" i="1"/>
  <c r="AF846" i="1"/>
  <c r="AF657" i="1"/>
  <c r="AF750" i="1"/>
  <c r="AF686" i="1"/>
  <c r="AF740" i="1"/>
  <c r="AF684" i="1"/>
  <c r="AF719" i="1"/>
  <c r="AF738" i="1"/>
  <c r="AF854" i="1"/>
  <c r="AF681" i="1"/>
  <c r="AF735" i="1"/>
  <c r="AF813" i="1"/>
  <c r="AF674" i="1"/>
  <c r="AF730" i="1"/>
  <c r="AF771" i="1"/>
  <c r="AF747" i="1"/>
  <c r="AF702" i="1"/>
  <c r="AF852" i="1"/>
  <c r="AF638" i="1"/>
  <c r="AF855" i="1"/>
  <c r="AF837" i="1"/>
  <c r="AF725" i="1"/>
  <c r="AF819" i="1"/>
  <c r="AF664" i="1"/>
  <c r="AF672" i="1"/>
  <c r="AF669" i="1"/>
  <c r="AF815" i="1"/>
  <c r="AF824" i="1"/>
  <c r="AF665" i="1"/>
  <c r="AF691" i="1"/>
  <c r="AF809" i="1"/>
  <c r="AF779" i="1"/>
  <c r="AF661" i="1"/>
  <c r="AF744" i="1"/>
  <c r="AF754" i="1"/>
  <c r="AF645" i="1"/>
  <c r="AF662" i="1"/>
  <c r="AF798" i="1"/>
  <c r="AF783" i="1"/>
  <c r="AF834" i="1"/>
  <c r="AF644" i="1"/>
  <c r="AF814" i="1"/>
  <c r="AF739" i="1"/>
  <c r="AF817" i="1"/>
  <c r="AF643" i="1"/>
  <c r="AF625" i="1"/>
  <c r="AF758" i="1"/>
  <c r="AF839" i="1"/>
  <c r="AF605" i="1"/>
  <c r="AF761" i="1"/>
  <c r="AF689" i="1"/>
  <c r="AF618" i="1"/>
  <c r="AF721" i="1"/>
  <c r="AF782" i="1"/>
  <c r="AF713" i="1"/>
  <c r="AF683" i="1"/>
  <c r="AF660" i="1"/>
  <c r="AF742" i="1"/>
  <c r="AF632" i="1"/>
  <c r="AF745" i="1"/>
  <c r="AF640" i="1"/>
  <c r="AF764" i="1"/>
  <c r="AF836" i="1"/>
  <c r="AF603" i="1"/>
  <c r="AF641" i="1"/>
  <c r="AF659" i="1"/>
  <c r="AF600" i="1"/>
  <c r="AF823" i="1"/>
  <c r="AF775" i="1"/>
  <c r="AF831" i="1"/>
  <c r="AF797" i="1"/>
  <c r="AF572" i="1"/>
  <c r="AF786" i="1"/>
  <c r="AF592" i="1"/>
  <c r="AF646" i="1"/>
  <c r="AF806" i="1"/>
  <c r="AF589" i="1"/>
  <c r="AF577" i="1"/>
  <c r="AF655" i="1"/>
  <c r="AF803" i="1"/>
  <c r="AF699" i="1"/>
  <c r="AF581" i="1"/>
  <c r="AF652" i="1"/>
  <c r="AF791" i="1"/>
  <c r="AF755" i="1"/>
  <c r="AF774" i="1"/>
  <c r="AF597" i="1"/>
  <c r="AF800" i="1"/>
  <c r="AF731" i="1"/>
  <c r="AF565" i="1"/>
  <c r="AF816" i="1"/>
  <c r="AF548" i="1"/>
  <c r="AF612" i="1"/>
  <c r="AF647" i="1"/>
  <c r="AF668" i="1"/>
  <c r="AF602" i="1"/>
  <c r="AF656" i="1"/>
  <c r="AF732" i="1"/>
  <c r="AF590" i="1"/>
  <c r="AF666" i="1"/>
  <c r="AF772" i="1"/>
  <c r="AF588" i="1"/>
  <c r="AF773" i="1"/>
  <c r="AF627" i="1"/>
  <c r="AF765" i="1"/>
  <c r="AF763" i="1"/>
  <c r="AF733" i="1"/>
  <c r="AF594" i="1"/>
  <c r="AF723" i="1"/>
  <c r="AF546" i="1"/>
  <c r="AF648" i="1"/>
  <c r="AF596" i="1"/>
  <c r="AF629" i="1"/>
  <c r="AF670" i="1"/>
  <c r="AF769" i="1"/>
  <c r="AF552" i="1"/>
  <c r="AF796" i="1"/>
  <c r="AF752" i="1"/>
  <c r="AF757" i="1"/>
  <c r="AF743" i="1"/>
  <c r="AF696" i="1"/>
  <c r="AF778" i="1"/>
  <c r="AF570" i="1"/>
  <c r="AF697" i="1"/>
  <c r="AF667" i="1"/>
  <c r="AF517" i="1"/>
  <c r="AF593" i="1"/>
  <c r="AF785" i="1"/>
  <c r="AF610" i="1"/>
  <c r="AF712" i="1"/>
  <c r="AF741" i="1"/>
  <c r="AF578" i="1"/>
  <c r="AF556" i="1"/>
  <c r="AF550" i="1"/>
  <c r="AF515" i="1"/>
  <c r="AF622" i="1"/>
  <c r="AF576" i="1"/>
  <c r="AF611" i="1"/>
  <c r="AF562" i="1"/>
  <c r="AF543" i="1"/>
  <c r="AF520" i="1"/>
  <c r="AF767" i="1"/>
  <c r="AF650" i="1"/>
  <c r="AF559" i="1"/>
  <c r="AF736" i="1"/>
  <c r="AF513" i="1"/>
  <c r="AF506" i="1"/>
  <c r="AF628" i="1"/>
  <c r="AF766" i="1"/>
  <c r="AF677" i="1"/>
  <c r="AF580" i="1"/>
  <c r="AF762" i="1"/>
  <c r="AF717" i="1"/>
  <c r="AF568" i="1"/>
  <c r="AF566" i="1"/>
  <c r="AF759" i="1"/>
  <c r="AF734" i="1"/>
  <c r="AF728" i="1"/>
  <c r="AF692" i="1"/>
  <c r="AF780" i="1"/>
  <c r="AF722" i="1"/>
  <c r="AF563" i="1"/>
  <c r="AF541" i="1"/>
  <c r="AF540" i="1"/>
  <c r="AF756" i="1"/>
  <c r="AF623" i="1"/>
  <c r="AF561" i="1"/>
  <c r="AF527" i="1"/>
  <c r="AF688" i="1"/>
  <c r="AF698" i="1"/>
  <c r="AF693" i="1"/>
  <c r="AF521" i="1"/>
  <c r="AF528" i="1"/>
  <c r="AF569" i="1"/>
  <c r="AF703" i="1"/>
  <c r="AF705" i="1"/>
  <c r="AF564" i="1"/>
  <c r="AF653" i="1"/>
  <c r="AF720" i="1"/>
  <c r="AF760" i="1"/>
  <c r="AF609" i="1"/>
  <c r="AF477" i="1"/>
  <c r="AF706" i="1"/>
  <c r="AF579" i="1"/>
  <c r="AF658" i="1"/>
  <c r="AF514" i="1"/>
  <c r="AF676" i="1"/>
  <c r="AF633" i="1"/>
  <c r="AF557" i="1"/>
  <c r="AF493" i="1"/>
  <c r="AF614" i="1"/>
  <c r="AF626" i="1"/>
  <c r="AF507" i="1"/>
  <c r="AF488" i="1"/>
  <c r="AF678" i="1"/>
  <c r="AF535" i="1"/>
  <c r="AF710" i="1"/>
  <c r="AF453" i="1"/>
  <c r="AF619" i="1"/>
  <c r="AF635" i="1"/>
  <c r="AF547" i="1"/>
  <c r="AF607" i="1"/>
  <c r="AF685" i="1"/>
  <c r="AF537" i="1"/>
  <c r="AF649" i="1"/>
  <c r="AF509" i="1"/>
  <c r="AF438" i="1"/>
  <c r="AF539" i="1"/>
  <c r="AF463" i="1"/>
  <c r="AF430" i="1"/>
  <c r="AF495" i="1"/>
  <c r="AF544" i="1"/>
  <c r="AF526" i="1"/>
  <c r="AF424" i="1"/>
  <c r="AF530" i="1"/>
  <c r="AF496" i="1"/>
  <c r="AF465" i="1"/>
  <c r="AF608" i="1"/>
  <c r="AF523" i="1"/>
  <c r="AF558" i="1"/>
  <c r="AF654" i="1"/>
  <c r="AF469" i="1"/>
  <c r="AF421" i="1"/>
  <c r="AF431" i="1"/>
  <c r="AF460" i="1"/>
  <c r="AF621" i="1"/>
  <c r="AF471" i="1"/>
  <c r="AF711" i="1"/>
  <c r="AF637" i="1"/>
  <c r="AF636" i="1"/>
  <c r="AF518" i="1"/>
  <c r="AF519" i="1"/>
  <c r="AF624" i="1"/>
  <c r="AF642" i="1"/>
  <c r="AF551" i="1"/>
  <c r="AF443" i="1"/>
  <c r="AF663" i="1"/>
  <c r="AF473" i="1"/>
  <c r="AF462" i="1"/>
  <c r="AF673" i="1"/>
  <c r="AF447" i="1"/>
  <c r="AF639" i="1"/>
  <c r="AF416" i="1"/>
  <c r="AF510" i="1"/>
  <c r="AF613" i="1"/>
  <c r="AF620" i="1"/>
  <c r="AF470" i="1"/>
  <c r="AF573" i="1"/>
  <c r="AF534" i="1"/>
  <c r="AF446" i="1"/>
  <c r="AF455" i="1"/>
  <c r="AF630" i="1"/>
  <c r="AF415" i="1"/>
  <c r="AF708" i="1"/>
  <c r="AF490" i="1"/>
  <c r="AF709" i="1"/>
  <c r="AF451" i="1"/>
  <c r="AF606" i="1"/>
  <c r="AF522" i="1"/>
  <c r="AF679" i="1"/>
  <c r="AF505" i="1"/>
  <c r="AF404" i="1"/>
  <c r="AF403" i="1"/>
  <c r="AF586" i="1"/>
  <c r="AF680" i="1"/>
  <c r="AF484" i="1"/>
  <c r="AF532" i="1"/>
  <c r="AF585" i="1"/>
  <c r="AF480" i="1"/>
  <c r="AF687" i="1"/>
  <c r="AF449" i="1"/>
  <c r="AF487" i="1"/>
  <c r="AF442" i="1"/>
  <c r="AF492" i="1"/>
  <c r="AF533" i="1"/>
  <c r="AF464" i="1"/>
  <c r="AF486" i="1"/>
  <c r="AF549" i="1"/>
  <c r="AF634" i="1"/>
  <c r="AF582" i="1"/>
  <c r="AF504" i="1"/>
  <c r="AF598" i="1"/>
  <c r="AF440" i="1"/>
  <c r="AF498" i="1"/>
  <c r="AF445" i="1"/>
  <c r="AF365" i="1"/>
  <c r="AF391" i="1"/>
  <c r="AF419" i="1"/>
  <c r="AF434" i="1"/>
  <c r="AF538" i="1"/>
  <c r="AF439" i="1"/>
  <c r="AF599" i="1"/>
  <c r="AF491" i="1"/>
  <c r="AF500" i="1"/>
  <c r="AF458" i="1"/>
  <c r="AF366" i="1"/>
  <c r="AF468" i="1"/>
  <c r="AF388" i="1"/>
  <c r="AF467" i="1"/>
  <c r="AF508" i="1"/>
  <c r="AF501" i="1"/>
  <c r="AF545" i="1"/>
  <c r="AF651" i="1"/>
  <c r="AF494" i="1"/>
  <c r="AF502" i="1"/>
  <c r="AF369" i="1"/>
  <c r="AF631" i="1"/>
  <c r="AF553" i="1"/>
  <c r="AF591" i="1"/>
  <c r="AF595" i="1"/>
  <c r="AF432" i="1"/>
  <c r="AF616" i="1"/>
  <c r="AF364" i="1"/>
  <c r="AF531" i="1"/>
  <c r="AF319" i="1"/>
  <c r="AF482" i="1"/>
  <c r="AF382" i="1"/>
  <c r="AF357" i="1"/>
  <c r="AF315" i="1"/>
  <c r="AF354" i="1"/>
  <c r="AF503" i="1"/>
  <c r="AF337" i="1"/>
  <c r="AF584" i="1"/>
  <c r="AF529" i="1"/>
  <c r="AF466" i="1"/>
  <c r="AF511" i="1"/>
  <c r="AF426" i="1"/>
  <c r="AF615" i="1"/>
  <c r="AF560" i="1"/>
  <c r="AF346" i="1"/>
  <c r="AF363" i="1"/>
  <c r="AF302" i="1"/>
  <c r="AF375" i="1"/>
  <c r="AF475" i="1"/>
  <c r="AF567" i="1"/>
  <c r="AF379" i="1"/>
  <c r="AF617" i="1"/>
  <c r="AF525" i="1"/>
  <c r="AF461" i="1"/>
  <c r="AF444" i="1"/>
  <c r="AF290" i="1"/>
  <c r="AF402" i="1"/>
  <c r="AF396" i="1"/>
  <c r="AF601" i="1"/>
  <c r="AF328" i="1"/>
  <c r="AF371" i="1"/>
  <c r="AF555" i="1"/>
  <c r="AF476" i="1"/>
  <c r="AF292" i="1"/>
  <c r="AF397" i="1"/>
  <c r="AF409" i="1"/>
  <c r="AF571" i="1"/>
  <c r="AF314" i="1"/>
  <c r="AF575" i="1"/>
  <c r="AF454" i="1"/>
  <c r="AF489" i="1"/>
  <c r="AF483" i="1"/>
  <c r="AF322" i="1"/>
  <c r="AF516" i="1"/>
  <c r="AF274" i="1"/>
  <c r="AF604" i="1"/>
  <c r="AF536" i="1"/>
  <c r="AF312" i="1"/>
  <c r="AF304" i="1"/>
  <c r="AF474" i="1"/>
  <c r="AF311" i="1"/>
  <c r="AF376" i="1"/>
  <c r="AF414" i="1"/>
  <c r="AF288" i="1"/>
  <c r="AF583" i="1"/>
  <c r="AF574" i="1"/>
  <c r="AF408" i="1"/>
  <c r="AF324" i="1"/>
  <c r="AF587" i="1"/>
  <c r="AF423" i="1"/>
  <c r="AF393" i="1"/>
  <c r="AF368" i="1"/>
  <c r="AF413" i="1"/>
  <c r="AF359" i="1"/>
  <c r="AF351" i="1"/>
  <c r="AF283" i="1"/>
  <c r="AF260" i="1"/>
  <c r="AF497" i="1"/>
  <c r="AF398" i="1"/>
  <c r="AF287" i="1"/>
  <c r="AF308" i="1"/>
  <c r="AF339" i="1"/>
  <c r="AF456" i="1"/>
  <c r="AF554" i="1"/>
  <c r="AF542" i="1"/>
  <c r="AF425" i="1"/>
  <c r="AF448" i="1"/>
  <c r="AF317" i="1"/>
  <c r="AF422" i="1"/>
  <c r="AF407" i="1"/>
  <c r="AF327" i="1"/>
  <c r="AF370" i="1"/>
  <c r="AF362" i="1"/>
  <c r="AF249" i="1"/>
  <c r="AF457" i="1"/>
  <c r="AF348" i="1"/>
  <c r="AF383" i="1"/>
  <c r="AF356" i="1"/>
  <c r="AF338" i="1"/>
  <c r="AF450" i="1"/>
  <c r="AF264" i="1"/>
  <c r="AF232" i="1"/>
  <c r="AF267" i="1"/>
  <c r="AF310" i="1"/>
  <c r="AF320" i="1"/>
  <c r="AF276" i="1"/>
  <c r="AF250" i="1"/>
  <c r="AF478" i="1"/>
  <c r="AF303" i="1"/>
  <c r="AF418" i="1"/>
  <c r="AF524" i="1"/>
  <c r="AF246" i="1"/>
  <c r="AF272" i="1"/>
  <c r="AF332" i="1"/>
  <c r="AF405" i="1"/>
  <c r="AF216" i="1"/>
  <c r="AF318" i="1"/>
  <c r="AF330" i="1"/>
  <c r="AF512" i="1"/>
  <c r="AF481" i="1"/>
  <c r="AF301" i="1"/>
  <c r="AF218" i="1"/>
  <c r="AF295" i="1"/>
  <c r="AF401" i="1"/>
  <c r="AF499" i="1"/>
  <c r="AF428" i="1"/>
  <c r="AF271" i="1"/>
  <c r="AF305" i="1"/>
  <c r="AF384" i="1"/>
  <c r="AF358" i="1"/>
  <c r="AF270" i="1"/>
  <c r="AF367" i="1"/>
  <c r="AF285" i="1"/>
  <c r="AF323" i="1"/>
  <c r="AF435" i="1"/>
  <c r="AF221" i="1"/>
  <c r="AF386" i="1"/>
  <c r="AF394" i="1"/>
  <c r="AF331" i="1"/>
  <c r="AF225" i="1"/>
  <c r="AF210" i="1"/>
  <c r="AF429" i="1"/>
  <c r="AF353" i="1"/>
  <c r="AF325" i="1"/>
  <c r="AF300" i="1"/>
  <c r="AF399" i="1"/>
  <c r="AF279" i="1"/>
  <c r="AF289" i="1"/>
  <c r="AF282" i="1"/>
  <c r="AF204" i="1"/>
  <c r="AF485" i="1"/>
  <c r="AF472" i="1"/>
  <c r="AF392" i="1"/>
  <c r="AF235" i="1"/>
  <c r="AF223" i="1"/>
  <c r="AF380" i="1"/>
  <c r="AF296" i="1"/>
  <c r="AF208" i="1"/>
  <c r="AF395" i="1"/>
  <c r="AF202" i="1"/>
  <c r="AF326" i="1"/>
  <c r="AF427" i="1"/>
  <c r="AF265" i="1"/>
  <c r="AF343" i="1"/>
  <c r="AF336" i="1"/>
  <c r="AF436" i="1"/>
  <c r="AF263" i="1"/>
  <c r="AF188" i="1"/>
  <c r="AF459" i="1"/>
  <c r="AF207" i="1"/>
  <c r="AF187" i="1"/>
  <c r="AF293" i="1"/>
  <c r="AF171" i="1"/>
  <c r="AF180" i="1"/>
  <c r="AF209" i="1"/>
  <c r="AF452" i="1"/>
  <c r="AF240" i="1"/>
  <c r="AF479" i="1"/>
  <c r="AF262" i="1"/>
  <c r="AF261" i="1"/>
  <c r="AF236" i="1"/>
  <c r="AF299" i="1"/>
  <c r="AF203" i="1"/>
  <c r="AF257" i="1"/>
  <c r="AF350" i="1"/>
  <c r="AF437" i="1"/>
  <c r="AF342" i="1"/>
  <c r="AF183" i="1"/>
  <c r="AF372" i="1"/>
  <c r="AF233" i="1"/>
  <c r="AF340" i="1"/>
  <c r="AF333" i="1"/>
  <c r="AF417" i="1"/>
  <c r="AF406" i="1"/>
  <c r="AF191" i="1"/>
  <c r="AF433" i="1"/>
  <c r="AF244" i="1"/>
  <c r="AF441" i="1"/>
  <c r="AF253" i="1"/>
  <c r="AF194" i="1"/>
  <c r="AF206" i="1"/>
  <c r="AF329" i="1"/>
  <c r="AF377" i="1"/>
  <c r="AF360" i="1"/>
  <c r="AF389" i="1"/>
  <c r="AF373" i="1"/>
  <c r="AF238" i="1"/>
  <c r="AF280" i="1"/>
  <c r="AF212" i="1"/>
  <c r="AF201" i="1"/>
  <c r="AF275" i="1"/>
  <c r="AF420" i="1"/>
  <c r="AF361" i="1"/>
  <c r="AF258" i="1"/>
  <c r="AF286" i="1"/>
  <c r="AF345" i="1"/>
  <c r="AF297" i="1"/>
  <c r="AF284" i="1"/>
  <c r="AF164" i="1"/>
  <c r="AF193" i="1"/>
  <c r="AF145" i="1"/>
  <c r="AF200" i="1"/>
  <c r="AF400" i="1"/>
  <c r="AF224" i="1"/>
  <c r="AF412" i="1"/>
  <c r="AF215" i="1"/>
  <c r="AF245" i="1"/>
  <c r="AF185" i="1"/>
  <c r="AF140" i="1"/>
  <c r="AF411" i="1"/>
  <c r="AF222" i="1"/>
  <c r="AF147" i="1"/>
  <c r="AF335" i="1"/>
  <c r="AF349" i="1"/>
  <c r="AF385" i="1"/>
  <c r="AF321" i="1"/>
  <c r="AF211" i="1"/>
  <c r="AF252" i="1"/>
  <c r="AF248" i="1"/>
  <c r="AF268" i="1"/>
  <c r="AF239" i="1"/>
  <c r="AF259" i="1"/>
  <c r="AF378" i="1"/>
  <c r="AF136" i="1"/>
  <c r="AF159" i="1"/>
  <c r="AF255" i="1"/>
  <c r="AF387" i="1"/>
  <c r="AF151" i="1"/>
  <c r="AF176" i="1"/>
  <c r="AF186" i="1"/>
  <c r="AF390" i="1"/>
  <c r="AF344" i="1"/>
  <c r="AF177" i="1"/>
  <c r="AF154" i="1"/>
  <c r="AF410" i="1"/>
  <c r="AF298" i="1"/>
  <c r="AF234" i="1"/>
  <c r="AF174" i="1"/>
  <c r="AF138" i="1"/>
  <c r="AF189" i="1"/>
  <c r="AF374" i="1"/>
  <c r="AF125" i="1"/>
  <c r="AF381" i="1"/>
  <c r="AF226" i="1"/>
  <c r="AF155" i="1"/>
  <c r="AF291" i="1"/>
  <c r="AF229" i="1"/>
  <c r="AF148" i="1"/>
  <c r="AF228" i="1"/>
  <c r="AF247" i="1"/>
  <c r="AF230" i="1"/>
  <c r="AF150" i="1"/>
  <c r="AF153" i="1"/>
  <c r="AF355" i="1"/>
  <c r="AF169" i="1"/>
  <c r="AF251" i="1"/>
  <c r="AF130" i="1"/>
  <c r="AF306" i="1"/>
  <c r="AF128" i="1"/>
  <c r="AF127" i="1"/>
  <c r="AF113" i="1"/>
  <c r="AF213" i="1"/>
  <c r="AF266" i="1"/>
  <c r="AF135" i="1"/>
  <c r="AF231" i="1"/>
  <c r="AF309" i="1"/>
  <c r="AF141" i="1"/>
  <c r="AF219" i="1"/>
  <c r="AF347" i="1"/>
  <c r="AF313" i="1"/>
  <c r="AF163" i="1"/>
  <c r="AF131" i="1"/>
  <c r="AF334" i="1"/>
  <c r="AF269" i="1"/>
  <c r="AF162" i="1"/>
  <c r="AF161" i="1"/>
  <c r="AF166" i="1"/>
  <c r="AF195" i="1"/>
  <c r="AF307" i="1"/>
  <c r="AF341" i="1"/>
  <c r="AF352" i="1"/>
  <c r="AF178" i="1"/>
  <c r="AF237" i="1"/>
  <c r="AF243" i="1"/>
  <c r="AF119" i="1"/>
  <c r="AF149" i="1"/>
  <c r="AF281" i="1"/>
  <c r="AF190" i="1"/>
  <c r="AF108" i="1"/>
  <c r="AF277" i="1"/>
  <c r="AF316" i="1"/>
  <c r="AF196" i="1"/>
  <c r="AF139" i="1"/>
  <c r="AF278" i="1"/>
  <c r="AF217" i="1"/>
  <c r="AF105" i="1"/>
  <c r="AF143" i="1"/>
  <c r="AF126" i="1"/>
  <c r="AF156" i="1"/>
  <c r="AF173" i="1"/>
  <c r="AF133" i="1"/>
  <c r="AF256" i="1"/>
  <c r="AF184" i="1"/>
  <c r="AF170" i="1"/>
  <c r="AF294" i="1"/>
  <c r="AF118" i="1"/>
  <c r="AF214" i="1"/>
  <c r="AF227" i="1"/>
  <c r="AF144" i="1"/>
  <c r="AF115" i="1"/>
  <c r="AF102" i="1"/>
  <c r="AF158" i="1"/>
  <c r="AF242" i="1"/>
  <c r="AF182" i="1"/>
  <c r="AF146" i="1"/>
  <c r="AF198" i="1"/>
  <c r="AF175" i="1"/>
  <c r="AF168" i="1"/>
  <c r="AF273" i="1"/>
  <c r="AF254" i="1"/>
  <c r="AF167" i="1"/>
  <c r="AF241" i="1"/>
  <c r="AF104" i="1"/>
  <c r="AF77" i="1"/>
  <c r="AF97" i="1"/>
  <c r="AF220" i="1"/>
  <c r="AF179" i="1"/>
  <c r="AF137" i="1"/>
  <c r="AF106" i="1"/>
  <c r="AF205" i="1"/>
  <c r="AF120" i="1"/>
  <c r="AF78" i="1"/>
  <c r="AF199" i="1"/>
  <c r="AF57" i="1"/>
  <c r="AF157" i="1"/>
  <c r="AF122" i="1"/>
  <c r="AF84" i="1"/>
  <c r="AF86" i="1"/>
  <c r="AF96" i="1"/>
  <c r="AF48" i="1"/>
  <c r="AF100" i="1"/>
  <c r="AF67" i="1"/>
  <c r="AF89" i="1"/>
  <c r="AF181" i="1"/>
  <c r="AF114" i="1"/>
  <c r="AF129" i="1"/>
  <c r="AF165" i="1"/>
  <c r="AF152" i="1"/>
  <c r="AF74" i="1"/>
  <c r="AF72" i="1"/>
  <c r="AF55" i="1"/>
  <c r="AF110" i="1"/>
  <c r="AF92" i="1"/>
  <c r="AF197" i="1"/>
  <c r="AF132" i="1"/>
  <c r="AF192" i="1"/>
  <c r="AF43" i="1"/>
  <c r="AF172" i="1"/>
  <c r="AF103" i="1"/>
  <c r="AF56" i="1"/>
  <c r="AF35" i="1"/>
  <c r="AF94" i="1"/>
  <c r="AF134" i="1"/>
  <c r="AF117" i="1"/>
  <c r="AF68" i="1"/>
  <c r="AF112" i="1"/>
  <c r="AF63" i="1"/>
  <c r="AF116" i="1"/>
  <c r="AF31" i="1"/>
  <c r="AF46" i="1"/>
  <c r="AF109" i="1"/>
  <c r="AF29" i="1"/>
  <c r="AF88" i="1"/>
  <c r="AF81" i="1"/>
  <c r="AF40" i="1"/>
  <c r="AF38" i="1"/>
  <c r="AF160" i="1"/>
  <c r="AF44" i="1"/>
  <c r="AF142" i="1"/>
  <c r="AF95" i="1"/>
  <c r="AF82" i="1"/>
  <c r="AF60" i="1"/>
  <c r="AF98" i="1"/>
  <c r="AF90" i="1"/>
  <c r="AF30" i="1"/>
  <c r="AF34" i="1"/>
  <c r="AF99" i="1"/>
  <c r="AF33" i="1"/>
  <c r="AF49" i="1"/>
  <c r="AF121" i="1"/>
  <c r="AF45" i="1"/>
  <c r="AF52" i="1"/>
  <c r="AF27" i="1"/>
  <c r="AF123" i="1"/>
  <c r="AF83" i="1"/>
  <c r="AF41" i="1"/>
  <c r="AF75" i="1"/>
  <c r="AF51" i="1"/>
  <c r="AF50" i="1"/>
  <c r="AF111" i="1"/>
  <c r="AF53" i="1"/>
  <c r="AF124" i="1"/>
  <c r="AF80" i="1"/>
  <c r="AF91" i="1"/>
  <c r="AF101" i="1"/>
  <c r="AF17" i="1"/>
  <c r="AF62" i="1"/>
  <c r="AF11" i="1"/>
  <c r="AF65" i="1"/>
  <c r="AF20" i="1"/>
  <c r="AF87" i="1"/>
  <c r="AF76" i="1"/>
  <c r="AF24" i="1"/>
  <c r="AF16" i="1"/>
  <c r="AF70" i="1"/>
  <c r="AF36" i="1"/>
  <c r="AF21" i="1"/>
  <c r="AF107" i="1"/>
  <c r="AF14" i="1"/>
  <c r="AF39" i="1"/>
  <c r="AF26" i="1"/>
  <c r="AF69" i="1"/>
  <c r="AF9" i="1"/>
  <c r="AF10" i="1"/>
  <c r="AF23" i="1"/>
  <c r="AF28" i="1"/>
  <c r="AF93" i="1"/>
  <c r="AF85" i="1"/>
  <c r="AF66" i="1"/>
  <c r="AF71" i="1"/>
  <c r="AF54" i="1"/>
  <c r="AF22" i="1"/>
  <c r="AF73" i="1"/>
  <c r="AF37" i="1"/>
  <c r="AF3" i="1"/>
  <c r="AF32" i="1"/>
  <c r="AF64" i="1"/>
  <c r="AF58" i="1"/>
  <c r="AF4" i="1"/>
  <c r="AF61" i="1"/>
  <c r="AF6" i="1"/>
  <c r="AF8" i="1"/>
  <c r="AF15" i="1"/>
  <c r="AF18" i="1"/>
  <c r="AF13" i="1"/>
  <c r="AF25" i="1"/>
  <c r="AF7" i="1"/>
  <c r="AF47" i="1"/>
  <c r="AF42" i="1"/>
  <c r="AF12" i="1"/>
  <c r="AF19" i="1"/>
  <c r="AF79" i="1"/>
  <c r="AF2" i="1"/>
  <c r="AF59" i="1"/>
  <c r="AF5" i="1"/>
  <c r="AF997" i="1"/>
</calcChain>
</file>

<file path=xl/sharedStrings.xml><?xml version="1.0" encoding="utf-8"?>
<sst xmlns="http://schemas.openxmlformats.org/spreadsheetml/2006/main" count="17228" uniqueCount="2154">
  <si>
    <t>Shipment_ID</t>
  </si>
  <si>
    <t>Booking_ID</t>
  </si>
  <si>
    <t>Order_Date</t>
  </si>
  <si>
    <t>Departure_Date</t>
  </si>
  <si>
    <t>Arrival_Date</t>
  </si>
  <si>
    <t>Customer_Name</t>
  </si>
  <si>
    <t>Industry</t>
  </si>
  <si>
    <t>Customer_Country</t>
  </si>
  <si>
    <t>Origin_Port</t>
  </si>
  <si>
    <t>Destination_Port</t>
  </si>
  <si>
    <t>Trade_Lane</t>
  </si>
  <si>
    <t>Vessel_Name</t>
  </si>
  <si>
    <t>Container_Type</t>
  </si>
  <si>
    <t>TEU</t>
  </si>
  <si>
    <t>Cargo_Type</t>
  </si>
  <si>
    <t>Revenue_USD</t>
  </si>
  <si>
    <t>Fuel_Cost_USD</t>
  </si>
  <si>
    <t>Port_Charges_USD</t>
  </si>
  <si>
    <t>Customs_Cost_USD</t>
  </si>
  <si>
    <t>Insurance_USD</t>
  </si>
  <si>
    <t>Maintenance_Allocation_USD</t>
  </si>
  <si>
    <t>Other_Operating_Cost_USD</t>
  </si>
  <si>
    <t>Profit_USD</t>
  </si>
  <si>
    <t>Delay_Hours</t>
  </si>
  <si>
    <t>Delay_Reason</t>
  </si>
  <si>
    <t>CO2_Emission_Tonnes</t>
  </si>
  <si>
    <t>Shipment_Status</t>
  </si>
  <si>
    <t>Payment_Status</t>
  </si>
  <si>
    <t>Priority</t>
  </si>
  <si>
    <t>Sales_Manager</t>
  </si>
  <si>
    <t>Region</t>
  </si>
  <si>
    <t>Month</t>
  </si>
  <si>
    <t>Duration</t>
  </si>
  <si>
    <t>Profit Margin(%)</t>
  </si>
  <si>
    <t>SHP00033</t>
  </si>
  <si>
    <t>BK50033</t>
  </si>
  <si>
    <t>Pfizer</t>
  </si>
  <si>
    <t>Pharma</t>
  </si>
  <si>
    <t>USA</t>
  </si>
  <si>
    <t>New York</t>
  </si>
  <si>
    <t>Jebel Ali</t>
  </si>
  <si>
    <t>Custom</t>
  </si>
  <si>
    <t>Mary Maersk</t>
  </si>
  <si>
    <t>20FT</t>
  </si>
  <si>
    <t>Chemicals</t>
  </si>
  <si>
    <t>None</t>
  </si>
  <si>
    <t>Completed</t>
  </si>
  <si>
    <t>Paid</t>
  </si>
  <si>
    <t>High</t>
  </si>
  <si>
    <t>R. Mehta</t>
  </si>
  <si>
    <t>Middle East</t>
  </si>
  <si>
    <t>SHP00824</t>
  </si>
  <si>
    <t>BK50824</t>
  </si>
  <si>
    <t>Nestlé</t>
  </si>
  <si>
    <t>Food</t>
  </si>
  <si>
    <t>Switzerland</t>
  </si>
  <si>
    <t>Colombo</t>
  </si>
  <si>
    <t>Singapore</t>
  </si>
  <si>
    <t>South Asia</t>
  </si>
  <si>
    <t>Ever Ace</t>
  </si>
  <si>
    <t>Critical</t>
  </si>
  <si>
    <t>M. Ahmed</t>
  </si>
  <si>
    <t>Asia</t>
  </si>
  <si>
    <t>SHP00891</t>
  </si>
  <si>
    <t>BK50891</t>
  </si>
  <si>
    <t>Toyota</t>
  </si>
  <si>
    <t>Automotive</t>
  </si>
  <si>
    <t>Japan</t>
  </si>
  <si>
    <t>40FT</t>
  </si>
  <si>
    <t>Machinery</t>
  </si>
  <si>
    <t>Standard</t>
  </si>
  <si>
    <t>North America</t>
  </si>
  <si>
    <t>SHP00673</t>
  </si>
  <si>
    <t>BK50673</t>
  </si>
  <si>
    <t>Adidas</t>
  </si>
  <si>
    <t>Retail</t>
  </si>
  <si>
    <t>Germany</t>
  </si>
  <si>
    <t>Hamburg</t>
  </si>
  <si>
    <t>MSC Gülsün</t>
  </si>
  <si>
    <t>High Cube</t>
  </si>
  <si>
    <t>Auto Parts</t>
  </si>
  <si>
    <t>SHP00793</t>
  </si>
  <si>
    <t>BK50793</t>
  </si>
  <si>
    <t>Unilever</t>
  </si>
  <si>
    <t>FMCG</t>
  </si>
  <si>
    <t>UK</t>
  </si>
  <si>
    <t>Busan</t>
  </si>
  <si>
    <t>Los Angeles</t>
  </si>
  <si>
    <t>Trans-Pacific</t>
  </si>
  <si>
    <t>Textiles</t>
  </si>
  <si>
    <t>Labor Strike</t>
  </si>
  <si>
    <t>Delayed</t>
  </si>
  <si>
    <t>Pending</t>
  </si>
  <si>
    <t>J. Smith</t>
  </si>
  <si>
    <t>SHP00574</t>
  </si>
  <si>
    <t>BK50574</t>
  </si>
  <si>
    <t>Siemens</t>
  </si>
  <si>
    <t>Engineering</t>
  </si>
  <si>
    <t>Rotterdam</t>
  </si>
  <si>
    <t>Asia-Europe</t>
  </si>
  <si>
    <t>Madrid Maersk</t>
  </si>
  <si>
    <t>Customs</t>
  </si>
  <si>
    <t>Europe</t>
  </si>
  <si>
    <t>SHP00813</t>
  </si>
  <si>
    <t>BK50813</t>
  </si>
  <si>
    <t>Furniture</t>
  </si>
  <si>
    <t>SHP00135</t>
  </si>
  <si>
    <t>BK50135</t>
  </si>
  <si>
    <t>Reefer</t>
  </si>
  <si>
    <t>SHP00833</t>
  </si>
  <si>
    <t>BK50833</t>
  </si>
  <si>
    <t>Electronics</t>
  </si>
  <si>
    <t>Port Congestion</t>
  </si>
  <si>
    <t>SHP00105</t>
  </si>
  <si>
    <t>BK50105</t>
  </si>
  <si>
    <t>Shanghai</t>
  </si>
  <si>
    <t>CMA CGM Jacques Saadé</t>
  </si>
  <si>
    <t>Mechanical</t>
  </si>
  <si>
    <t>SHP00917</t>
  </si>
  <si>
    <t>BK50917</t>
  </si>
  <si>
    <t>Reliance</t>
  </si>
  <si>
    <t>India</t>
  </si>
  <si>
    <t>Nhava Sheva</t>
  </si>
  <si>
    <t>Middle East-India</t>
  </si>
  <si>
    <t>Mumbai Maersk</t>
  </si>
  <si>
    <t>SHP00360</t>
  </si>
  <si>
    <t>BK50360</t>
  </si>
  <si>
    <t>OOCL Hong Kong</t>
  </si>
  <si>
    <t>SHP00172</t>
  </si>
  <si>
    <t>BK50172</t>
  </si>
  <si>
    <t>L. Chen</t>
  </si>
  <si>
    <t>SHP00438</t>
  </si>
  <si>
    <t>BK50438</t>
  </si>
  <si>
    <t>SHP00040</t>
  </si>
  <si>
    <t>BK50040</t>
  </si>
  <si>
    <t>Weather</t>
  </si>
  <si>
    <t>SHP00553</t>
  </si>
  <si>
    <t>BK50553</t>
  </si>
  <si>
    <t>Bosch</t>
  </si>
  <si>
    <t>Manufacturing</t>
  </si>
  <si>
    <t>SHP00559</t>
  </si>
  <si>
    <t>BK50559</t>
  </si>
  <si>
    <t>SHP00810</t>
  </si>
  <si>
    <t>BK50810</t>
  </si>
  <si>
    <t>A. Tan</t>
  </si>
  <si>
    <t>SHP00144</t>
  </si>
  <si>
    <t>BK50144</t>
  </si>
  <si>
    <t>SHP00922</t>
  </si>
  <si>
    <t>BK50922</t>
  </si>
  <si>
    <t>LG</t>
  </si>
  <si>
    <t>South Korea</t>
  </si>
  <si>
    <t>SHP00016</t>
  </si>
  <si>
    <t>BK50016</t>
  </si>
  <si>
    <t>IKEA</t>
  </si>
  <si>
    <t>Sweden</t>
  </si>
  <si>
    <t>Monaco Maersk</t>
  </si>
  <si>
    <t>SHP00924</t>
  </si>
  <si>
    <t>BK50924</t>
  </si>
  <si>
    <t>SHP00657</t>
  </si>
  <si>
    <t>BK50657</t>
  </si>
  <si>
    <t>SHP00025</t>
  </si>
  <si>
    <t>BK50025</t>
  </si>
  <si>
    <t>SHP00496</t>
  </si>
  <si>
    <t>BK50496</t>
  </si>
  <si>
    <t>SHP00419</t>
  </si>
  <si>
    <t>BK50419</t>
  </si>
  <si>
    <t>SHP00770</t>
  </si>
  <si>
    <t>BK50770</t>
  </si>
  <si>
    <t>SHP00272</t>
  </si>
  <si>
    <t>BK50272</t>
  </si>
  <si>
    <t>SHP00103</t>
  </si>
  <si>
    <t>BK50103</t>
  </si>
  <si>
    <t>SHP00237</t>
  </si>
  <si>
    <t>BK50237</t>
  </si>
  <si>
    <t>SHP00747</t>
  </si>
  <si>
    <t>BK50747</t>
  </si>
  <si>
    <t>SHP00411</t>
  </si>
  <si>
    <t>BK50411</t>
  </si>
  <si>
    <t>SHP00682</t>
  </si>
  <si>
    <t>BK50682</t>
  </si>
  <si>
    <t>Amazon</t>
  </si>
  <si>
    <t>E-commerce</t>
  </si>
  <si>
    <t>SHP00370</t>
  </si>
  <si>
    <t>BK50370</t>
  </si>
  <si>
    <t>SHP00088</t>
  </si>
  <si>
    <t>BK50088</t>
  </si>
  <si>
    <t>SHP00537</t>
  </si>
  <si>
    <t>BK50537</t>
  </si>
  <si>
    <t>SHP00008</t>
  </si>
  <si>
    <t>BK50008</t>
  </si>
  <si>
    <t>SHP00301</t>
  </si>
  <si>
    <t>BK50301</t>
  </si>
  <si>
    <t>SHP00264</t>
  </si>
  <si>
    <t>BK50264</t>
  </si>
  <si>
    <t>SHP00263</t>
  </si>
  <si>
    <t>BK50263</t>
  </si>
  <si>
    <t>SHP00339</t>
  </si>
  <si>
    <t>BK50339</t>
  </si>
  <si>
    <t>SHP00691</t>
  </si>
  <si>
    <t>BK50691</t>
  </si>
  <si>
    <t>SHP00484</t>
  </si>
  <si>
    <t>BK50484</t>
  </si>
  <si>
    <t>SHP00173</t>
  </si>
  <si>
    <t>BK50173</t>
  </si>
  <si>
    <t>SHP00221</t>
  </si>
  <si>
    <t>BK50221</t>
  </si>
  <si>
    <t>SHP00306</t>
  </si>
  <si>
    <t>BK50306</t>
  </si>
  <si>
    <t>SHP00734</t>
  </si>
  <si>
    <t>BK50734</t>
  </si>
  <si>
    <t>SHP00428</t>
  </si>
  <si>
    <t>BK50428</t>
  </si>
  <si>
    <t>SHP00639</t>
  </si>
  <si>
    <t>BK50639</t>
  </si>
  <si>
    <t>SHP00317</t>
  </si>
  <si>
    <t>BK50317</t>
  </si>
  <si>
    <t>SHP00054</t>
  </si>
  <si>
    <t>BK50054</t>
  </si>
  <si>
    <t>SHP00796</t>
  </si>
  <si>
    <t>BK50796</t>
  </si>
  <si>
    <t>SHP00233</t>
  </si>
  <si>
    <t>BK50233</t>
  </si>
  <si>
    <t>SHP00767</t>
  </si>
  <si>
    <t>BK50767</t>
  </si>
  <si>
    <t>SHP00759</t>
  </si>
  <si>
    <t>BK50759</t>
  </si>
  <si>
    <t>SHP00434</t>
  </si>
  <si>
    <t>BK50434</t>
  </si>
  <si>
    <t>SHP00255</t>
  </si>
  <si>
    <t>BK50255</t>
  </si>
  <si>
    <t>SHP00740</t>
  </si>
  <si>
    <t>BK50740</t>
  </si>
  <si>
    <t>SHP00100</t>
  </si>
  <si>
    <t>BK50100</t>
  </si>
  <si>
    <t>Samsung</t>
  </si>
  <si>
    <t>SHP00692</t>
  </si>
  <si>
    <t>BK50692</t>
  </si>
  <si>
    <t>SHP00731</t>
  </si>
  <si>
    <t>BK50731</t>
  </si>
  <si>
    <t>SHP00014</t>
  </si>
  <si>
    <t>BK50014</t>
  </si>
  <si>
    <t>SHP00198</t>
  </si>
  <si>
    <t>BK50198</t>
  </si>
  <si>
    <t>SHP00099</t>
  </si>
  <si>
    <t>BK50099</t>
  </si>
  <si>
    <t>SHP00633</t>
  </si>
  <si>
    <t>BK50633</t>
  </si>
  <si>
    <t>SHP00846</t>
  </si>
  <si>
    <t>BK50846</t>
  </si>
  <si>
    <t>SHP00614</t>
  </si>
  <si>
    <t>BK50614</t>
  </si>
  <si>
    <t>SHP00407</t>
  </si>
  <si>
    <t>BK50407</t>
  </si>
  <si>
    <t>SHP00497</t>
  </si>
  <si>
    <t>BK50497</t>
  </si>
  <si>
    <t>SHP00107</t>
  </si>
  <si>
    <t>BK50107</t>
  </si>
  <si>
    <t>SHP00580</t>
  </si>
  <si>
    <t>BK50580</t>
  </si>
  <si>
    <t>SHP00243</t>
  </si>
  <si>
    <t>BK50243</t>
  </si>
  <si>
    <t>SHP00304</t>
  </si>
  <si>
    <t>BK50304</t>
  </si>
  <si>
    <t>SHP00511</t>
  </si>
  <si>
    <t>BK50511</t>
  </si>
  <si>
    <t>SHP00648</t>
  </si>
  <si>
    <t>BK50648</t>
  </si>
  <si>
    <t>SHP00345</t>
  </si>
  <si>
    <t>BK50345</t>
  </si>
  <si>
    <t>SHP00418</t>
  </si>
  <si>
    <t>BK50418</t>
  </si>
  <si>
    <t>SHP00168</t>
  </si>
  <si>
    <t>BK50168</t>
  </si>
  <si>
    <t>SHP00624</t>
  </si>
  <si>
    <t>BK50624</t>
  </si>
  <si>
    <t>SHP00613</t>
  </si>
  <si>
    <t>BK50613</t>
  </si>
  <si>
    <t>SHP00361</t>
  </si>
  <si>
    <t>BK50361</t>
  </si>
  <si>
    <t>SHP00162</t>
  </si>
  <si>
    <t>BK50162</t>
  </si>
  <si>
    <t>SHP00551</t>
  </si>
  <si>
    <t>BK50551</t>
  </si>
  <si>
    <t>SHP00974</t>
  </si>
  <si>
    <t>BK50974</t>
  </si>
  <si>
    <t>SHP00507</t>
  </si>
  <si>
    <t>BK50507</t>
  </si>
  <si>
    <t>SHP00340</t>
  </si>
  <si>
    <t>BK50340</t>
  </si>
  <si>
    <t>SHP00266</t>
  </si>
  <si>
    <t>BK50266</t>
  </si>
  <si>
    <t>SHP00647</t>
  </si>
  <si>
    <t>BK50647</t>
  </si>
  <si>
    <t>SHP00204</t>
  </si>
  <si>
    <t>BK50204</t>
  </si>
  <si>
    <t>SHP00801</t>
  </si>
  <si>
    <t>BK50801</t>
  </si>
  <si>
    <t>SHP00235</t>
  </si>
  <si>
    <t>BK50235</t>
  </si>
  <si>
    <t>SHP00601</t>
  </si>
  <si>
    <t>BK50601</t>
  </si>
  <si>
    <t>SHP00456</t>
  </si>
  <si>
    <t>BK50456</t>
  </si>
  <si>
    <t>SHP00019</t>
  </si>
  <si>
    <t>BK50019</t>
  </si>
  <si>
    <t>SHP00026</t>
  </si>
  <si>
    <t>BK50026</t>
  </si>
  <si>
    <t>SHP00869</t>
  </si>
  <si>
    <t>BK50869</t>
  </si>
  <si>
    <t>SHP00831</t>
  </si>
  <si>
    <t>BK50831</t>
  </si>
  <si>
    <t>SHP00499</t>
  </si>
  <si>
    <t>BK50499</t>
  </si>
  <si>
    <t>SHP00393</t>
  </si>
  <si>
    <t>BK50393</t>
  </si>
  <si>
    <t>SHP00442</t>
  </si>
  <si>
    <t>BK50442</t>
  </si>
  <si>
    <t>SHP00490</t>
  </si>
  <si>
    <t>BK50490</t>
  </si>
  <si>
    <t>SHP00842</t>
  </si>
  <si>
    <t>BK50842</t>
  </si>
  <si>
    <t>SHP00139</t>
  </si>
  <si>
    <t>BK50139</t>
  </si>
  <si>
    <t>SHP00092</t>
  </si>
  <si>
    <t>BK50092</t>
  </si>
  <si>
    <t>SHP00015</t>
  </si>
  <si>
    <t>BK50015</t>
  </si>
  <si>
    <t>SHP00410</t>
  </si>
  <si>
    <t>BK50410</t>
  </si>
  <si>
    <t>SHP00880</t>
  </si>
  <si>
    <t>BK50880</t>
  </si>
  <si>
    <t>SHP00184</t>
  </si>
  <si>
    <t>BK50184</t>
  </si>
  <si>
    <t>SHP00394</t>
  </si>
  <si>
    <t>BK50394</t>
  </si>
  <si>
    <t>SHP00714</t>
  </si>
  <si>
    <t>BK50714</t>
  </si>
  <si>
    <t>SHP00586</t>
  </si>
  <si>
    <t>BK50586</t>
  </si>
  <si>
    <t>SHP00299</t>
  </si>
  <si>
    <t>BK50299</t>
  </si>
  <si>
    <t>SHP00065</t>
  </si>
  <si>
    <t>BK50065</t>
  </si>
  <si>
    <t>SHP00590</t>
  </si>
  <si>
    <t>BK50590</t>
  </si>
  <si>
    <t>SHP00356</t>
  </si>
  <si>
    <t>BK50356</t>
  </si>
  <si>
    <t>SHP00817</t>
  </si>
  <si>
    <t>BK50817</t>
  </si>
  <si>
    <t>SHP00002</t>
  </si>
  <si>
    <t>BK50002</t>
  </si>
  <si>
    <t>SHP00500</t>
  </si>
  <si>
    <t>BK50500</t>
  </si>
  <si>
    <t>SHP00716</t>
  </si>
  <si>
    <t>BK50716</t>
  </si>
  <si>
    <t>SHP00850</t>
  </si>
  <si>
    <t>BK50850</t>
  </si>
  <si>
    <t>SHP00608</t>
  </si>
  <si>
    <t>BK50608</t>
  </si>
  <si>
    <t>SHP00377</t>
  </si>
  <si>
    <t>BK50377</t>
  </si>
  <si>
    <t>SHP00258</t>
  </si>
  <si>
    <t>BK50258</t>
  </si>
  <si>
    <t>SHP00871</t>
  </si>
  <si>
    <t>BK50871</t>
  </si>
  <si>
    <t>SHP00132</t>
  </si>
  <si>
    <t>BK50132</t>
  </si>
  <si>
    <t>SHP00986</t>
  </si>
  <si>
    <t>BK50986</t>
  </si>
  <si>
    <t>SHP00885</t>
  </si>
  <si>
    <t>BK50885</t>
  </si>
  <si>
    <t>SHP00254</t>
  </si>
  <si>
    <t>BK50254</t>
  </si>
  <si>
    <t>SHP00042</t>
  </si>
  <si>
    <t>BK50042</t>
  </si>
  <si>
    <t>SHP00876</t>
  </si>
  <si>
    <t>BK50876</t>
  </si>
  <si>
    <t>SHP00320</t>
  </si>
  <si>
    <t>BK50320</t>
  </si>
  <si>
    <t>SHP00375</t>
  </si>
  <si>
    <t>BK50375</t>
  </si>
  <si>
    <t>SHP00293</t>
  </si>
  <si>
    <t>BK50293</t>
  </si>
  <si>
    <t>SHP00313</t>
  </si>
  <si>
    <t>BK50313</t>
  </si>
  <si>
    <t>SHP00615</t>
  </si>
  <si>
    <t>BK50615</t>
  </si>
  <si>
    <t>SHP00435</t>
  </si>
  <si>
    <t>BK50435</t>
  </si>
  <si>
    <t>SHP00818</t>
  </si>
  <si>
    <t>BK50818</t>
  </si>
  <si>
    <t>SHP00717</t>
  </si>
  <si>
    <t>BK50717</t>
  </si>
  <si>
    <t>SHP00076</t>
  </si>
  <si>
    <t>BK50076</t>
  </si>
  <si>
    <t>SHP00460</t>
  </si>
  <si>
    <t>BK50460</t>
  </si>
  <si>
    <t>SHP00784</t>
  </si>
  <si>
    <t>BK50784</t>
  </si>
  <si>
    <t>SHP00248</t>
  </si>
  <si>
    <t>BK50248</t>
  </si>
  <si>
    <t>SHP00311</t>
  </si>
  <si>
    <t>BK50311</t>
  </si>
  <si>
    <t>SHP00617</t>
  </si>
  <si>
    <t>BK50617</t>
  </si>
  <si>
    <t>SHP00337</t>
  </si>
  <si>
    <t>BK50337</t>
  </si>
  <si>
    <t>SHP00012</t>
  </si>
  <si>
    <t>BK50012</t>
  </si>
  <si>
    <t>SHP00328</t>
  </si>
  <si>
    <t>BK50328</t>
  </si>
  <si>
    <t>SHP00828</t>
  </si>
  <si>
    <t>BK50828</t>
  </si>
  <si>
    <t>SHP00911</t>
  </si>
  <si>
    <t>BK50911</t>
  </si>
  <si>
    <t>SHP00684</t>
  </si>
  <si>
    <t>BK50684</t>
  </si>
  <si>
    <t>SHP00938</t>
  </si>
  <si>
    <t>BK50938</t>
  </si>
  <si>
    <t>SHP00700</t>
  </si>
  <si>
    <t>BK50700</t>
  </si>
  <si>
    <t>SHP00169</t>
  </si>
  <si>
    <t>BK50169</t>
  </si>
  <si>
    <t>SHP00848</t>
  </si>
  <si>
    <t>BK50848</t>
  </si>
  <si>
    <t>SHP00815</t>
  </si>
  <si>
    <t>BK50815</t>
  </si>
  <si>
    <t>SHP00667</t>
  </si>
  <si>
    <t>BK50667</t>
  </si>
  <si>
    <t>SHP00743</t>
  </si>
  <si>
    <t>BK50743</t>
  </si>
  <si>
    <t>SHP00170</t>
  </si>
  <si>
    <t>BK50170</t>
  </si>
  <si>
    <t>SHP00110</t>
  </si>
  <si>
    <t>BK50110</t>
  </si>
  <si>
    <t>SHP00536</t>
  </si>
  <si>
    <t>BK50536</t>
  </si>
  <si>
    <t>SHP00934</t>
  </si>
  <si>
    <t>BK50934</t>
  </si>
  <si>
    <t>SHP00970</t>
  </si>
  <si>
    <t>BK50970</t>
  </si>
  <si>
    <t>SHP00781</t>
  </si>
  <si>
    <t>BK50781</t>
  </si>
  <si>
    <t>SHP00281</t>
  </si>
  <si>
    <t>BK50281</t>
  </si>
  <si>
    <t>SHP00827</t>
  </si>
  <si>
    <t>BK50827</t>
  </si>
  <si>
    <t>SHP00137</t>
  </si>
  <si>
    <t>BK50137</t>
  </si>
  <si>
    <t>SHP00616</t>
  </si>
  <si>
    <t>BK50616</t>
  </si>
  <si>
    <t>SHP00539</t>
  </si>
  <si>
    <t>BK50539</t>
  </si>
  <si>
    <t>SHP00308</t>
  </si>
  <si>
    <t>BK50308</t>
  </si>
  <si>
    <t>SHP00469</t>
  </si>
  <si>
    <t>BK50469</t>
  </si>
  <si>
    <t>SHP00635</t>
  </si>
  <si>
    <t>BK50635</t>
  </si>
  <si>
    <t>SHP00108</t>
  </si>
  <si>
    <t>BK50108</t>
  </si>
  <si>
    <t>SHP00940</t>
  </si>
  <si>
    <t>BK50940</t>
  </si>
  <si>
    <t>SHP00257</t>
  </si>
  <si>
    <t>BK50257</t>
  </si>
  <si>
    <t>SHP00185</t>
  </si>
  <si>
    <t>BK50185</t>
  </si>
  <si>
    <t>SHP00637</t>
  </si>
  <si>
    <t>BK50637</t>
  </si>
  <si>
    <t>SHP00336</t>
  </si>
  <si>
    <t>BK50336</t>
  </si>
  <si>
    <t>SHP00073</t>
  </si>
  <si>
    <t>BK50073</t>
  </si>
  <si>
    <t>SHP00552</t>
  </si>
  <si>
    <t>BK50552</t>
  </si>
  <si>
    <t>SHP00837</t>
  </si>
  <si>
    <t>BK50837</t>
  </si>
  <si>
    <t>SHP00413</t>
  </si>
  <si>
    <t>BK50413</t>
  </si>
  <si>
    <t>SHP00072</t>
  </si>
  <si>
    <t>BK50072</t>
  </si>
  <si>
    <t>SHP00995</t>
  </si>
  <si>
    <t>BK50995</t>
  </si>
  <si>
    <t>SHP00126</t>
  </si>
  <si>
    <t>BK50126</t>
  </si>
  <si>
    <t>SHP00062</t>
  </si>
  <si>
    <t>BK50062</t>
  </si>
  <si>
    <t>SHP00451</t>
  </si>
  <si>
    <t>BK50451</t>
  </si>
  <si>
    <t>SHP00961</t>
  </si>
  <si>
    <t>BK50961</t>
  </si>
  <si>
    <t>SHP00872</t>
  </si>
  <si>
    <t>BK50872</t>
  </si>
  <si>
    <t>SHP00644</t>
  </si>
  <si>
    <t>BK50644</t>
  </si>
  <si>
    <t>SHP00217</t>
  </si>
  <si>
    <t>BK50217</t>
  </si>
  <si>
    <t>SHP00341</t>
  </si>
  <si>
    <t>BK50341</t>
  </si>
  <si>
    <t>SHP00295</t>
  </si>
  <si>
    <t>BK50295</t>
  </si>
  <si>
    <t>SHP00069</t>
  </si>
  <si>
    <t>BK50069</t>
  </si>
  <si>
    <t>SHP00879</t>
  </si>
  <si>
    <t>BK50879</t>
  </si>
  <si>
    <t>SHP00541</t>
  </si>
  <si>
    <t>BK50541</t>
  </si>
  <si>
    <t>SHP00013</t>
  </si>
  <si>
    <t>BK50013</t>
  </si>
  <si>
    <t>SHP00297</t>
  </si>
  <si>
    <t>BK50297</t>
  </si>
  <si>
    <t>SHP00654</t>
  </si>
  <si>
    <t>BK50654</t>
  </si>
  <si>
    <t>SHP00931</t>
  </si>
  <si>
    <t>BK50931</t>
  </si>
  <si>
    <t>SHP00081</t>
  </si>
  <si>
    <t>BK50081</t>
  </si>
  <si>
    <t>SHP00865</t>
  </si>
  <si>
    <t>BK50865</t>
  </si>
  <si>
    <t>SHP00455</t>
  </si>
  <si>
    <t>BK50455</t>
  </si>
  <si>
    <t>SHP00607</t>
  </si>
  <si>
    <t>BK50607</t>
  </si>
  <si>
    <t>SHP00998</t>
  </si>
  <si>
    <t>BK50998</t>
  </si>
  <si>
    <t>SHP00521</t>
  </si>
  <si>
    <t>BK50521</t>
  </si>
  <si>
    <t>SHP00518</t>
  </si>
  <si>
    <t>BK50518</t>
  </si>
  <si>
    <t>SHP00269</t>
  </si>
  <si>
    <t>BK50269</t>
  </si>
  <si>
    <t>SHP00513</t>
  </si>
  <si>
    <t>BK50513</t>
  </si>
  <si>
    <t>SHP00875</t>
  </si>
  <si>
    <t>BK50875</t>
  </si>
  <si>
    <t>SHP00114</t>
  </si>
  <si>
    <t>BK50114</t>
  </si>
  <si>
    <t>SHP00709</t>
  </si>
  <si>
    <t>BK50709</t>
  </si>
  <si>
    <t>SHP00206</t>
  </si>
  <si>
    <t>BK50206</t>
  </si>
  <si>
    <t>SHP00588</t>
  </si>
  <si>
    <t>BK50588</t>
  </si>
  <si>
    <t>SHP00729</t>
  </si>
  <si>
    <t>BK50729</t>
  </si>
  <si>
    <t>SHP00516</t>
  </si>
  <si>
    <t>BK50516</t>
  </si>
  <si>
    <t>SHP00109</t>
  </si>
  <si>
    <t>BK50109</t>
  </si>
  <si>
    <t>SHP00655</t>
  </si>
  <si>
    <t>BK50655</t>
  </si>
  <si>
    <t>SHP00862</t>
  </si>
  <si>
    <t>BK50862</t>
  </si>
  <si>
    <t>SHP00176</t>
  </si>
  <si>
    <t>BK50176</t>
  </si>
  <si>
    <t>SHP00232</t>
  </si>
  <si>
    <t>BK50232</t>
  </si>
  <si>
    <t>SHP00430</t>
  </si>
  <si>
    <t>BK50430</t>
  </si>
  <si>
    <t>SHP00996</t>
  </si>
  <si>
    <t>BK50996</t>
  </si>
  <si>
    <t>SHP00199</t>
  </si>
  <si>
    <t>BK50199</t>
  </si>
  <si>
    <t>SHP00702</t>
  </si>
  <si>
    <t>BK50702</t>
  </si>
  <si>
    <t>SHP00589</t>
  </si>
  <si>
    <t>BK50589</t>
  </si>
  <si>
    <t>SHP00426</t>
  </si>
  <si>
    <t>BK50426</t>
  </si>
  <si>
    <t>SHP00575</t>
  </si>
  <si>
    <t>BK50575</t>
  </si>
  <si>
    <t>SHP00952</t>
  </si>
  <si>
    <t>BK50952</t>
  </si>
  <si>
    <t>SHP00581</t>
  </si>
  <si>
    <t>BK50581</t>
  </si>
  <si>
    <t>SHP00459</t>
  </si>
  <si>
    <t>BK50459</t>
  </si>
  <si>
    <t>SHP00525</t>
  </si>
  <si>
    <t>BK50525</t>
  </si>
  <si>
    <t>SHP00441</t>
  </si>
  <si>
    <t>BK50441</t>
  </si>
  <si>
    <t>SHP00056</t>
  </si>
  <si>
    <t>BK50056</t>
  </si>
  <si>
    <t>SHP00038</t>
  </si>
  <si>
    <t>BK50038</t>
  </si>
  <si>
    <t>SHP00599</t>
  </si>
  <si>
    <t>BK50599</t>
  </si>
  <si>
    <t>SHP00990</t>
  </si>
  <si>
    <t>BK50990</t>
  </si>
  <si>
    <t>SHP00334</t>
  </si>
  <si>
    <t>BK50334</t>
  </si>
  <si>
    <t>SHP00809</t>
  </si>
  <si>
    <t>BK50809</t>
  </si>
  <si>
    <t>SHP00528</t>
  </si>
  <si>
    <t>BK50528</t>
  </si>
  <si>
    <t>SHP00727</t>
  </si>
  <si>
    <t>BK50727</t>
  </si>
  <si>
    <t>SHP00989</t>
  </si>
  <si>
    <t>BK50989</t>
  </si>
  <si>
    <t>SHP00646</t>
  </si>
  <si>
    <t>BK50646</t>
  </si>
  <si>
    <t>SHP00353</t>
  </si>
  <si>
    <t>BK50353</t>
  </si>
  <si>
    <t>SHP00762</t>
  </si>
  <si>
    <t>BK50762</t>
  </si>
  <si>
    <t>SHP00077</t>
  </si>
  <si>
    <t>BK50077</t>
  </si>
  <si>
    <t>SHP00840</t>
  </si>
  <si>
    <t>BK50840</t>
  </si>
  <si>
    <t>SHP00161</t>
  </si>
  <si>
    <t>BK50161</t>
  </si>
  <si>
    <t>SHP00447</t>
  </si>
  <si>
    <t>BK50447</t>
  </si>
  <si>
    <t>SHP00610</t>
  </si>
  <si>
    <t>BK50610</t>
  </si>
  <si>
    <t>SHP00836</t>
  </si>
  <si>
    <t>BK50836</t>
  </si>
  <si>
    <t>SHP00067</t>
  </si>
  <si>
    <t>BK50067</t>
  </si>
  <si>
    <t>SHP00909</t>
  </si>
  <si>
    <t>BK50909</t>
  </si>
  <si>
    <t>SHP00464</t>
  </si>
  <si>
    <t>BK50464</t>
  </si>
  <si>
    <t>SHP00307</t>
  </si>
  <si>
    <t>BK50307</t>
  </si>
  <si>
    <t>SHP00486</t>
  </si>
  <si>
    <t>BK50486</t>
  </si>
  <si>
    <t>SHP00136</t>
  </si>
  <si>
    <t>BK50136</t>
  </si>
  <si>
    <t>SHP00050</t>
  </si>
  <si>
    <t>BK50050</t>
  </si>
  <si>
    <t>SHP00686</t>
  </si>
  <si>
    <t>BK50686</t>
  </si>
  <si>
    <t>SHP00778</t>
  </si>
  <si>
    <t>BK50778</t>
  </si>
  <si>
    <t>SHP00053</t>
  </si>
  <si>
    <t>BK50053</t>
  </si>
  <si>
    <t>SHP00128</t>
  </si>
  <si>
    <t>BK50128</t>
  </si>
  <si>
    <t>SHP00883</t>
  </si>
  <si>
    <t>BK50883</t>
  </si>
  <si>
    <t>SHP00572</t>
  </si>
  <si>
    <t>BK50572</t>
  </si>
  <si>
    <t>SHP00032</t>
  </si>
  <si>
    <t>BK50032</t>
  </si>
  <si>
    <t>SHP00622</t>
  </si>
  <si>
    <t>BK50622</t>
  </si>
  <si>
    <t>SHP00775</t>
  </si>
  <si>
    <t>BK50775</t>
  </si>
  <si>
    <t>SHP00298</t>
  </si>
  <si>
    <t>BK50298</t>
  </si>
  <si>
    <t>SHP00458</t>
  </si>
  <si>
    <t>BK50458</t>
  </si>
  <si>
    <t>SHP00246</t>
  </si>
  <si>
    <t>BK50246</t>
  </si>
  <si>
    <t>SHP00101</t>
  </si>
  <si>
    <t>BK50101</t>
  </si>
  <si>
    <t>SHP00910</t>
  </si>
  <si>
    <t>BK50910</t>
  </si>
  <si>
    <t>SHP00878</t>
  </si>
  <si>
    <t>BK50878</t>
  </si>
  <si>
    <t>SHP00338</t>
  </si>
  <si>
    <t>BK50338</t>
  </si>
  <si>
    <t>SHP00625</t>
  </si>
  <si>
    <t>BK50625</t>
  </si>
  <si>
    <t>SHP00780</t>
  </si>
  <si>
    <t>BK50780</t>
  </si>
  <si>
    <t>SHP00386</t>
  </si>
  <si>
    <t>BK50386</t>
  </si>
  <si>
    <t>SHP00923</t>
  </si>
  <si>
    <t>BK50923</t>
  </si>
  <si>
    <t>SHP00562</t>
  </si>
  <si>
    <t>BK50562</t>
  </si>
  <si>
    <t>SHP00017</t>
  </si>
  <si>
    <t>BK50017</t>
  </si>
  <si>
    <t>SHP00063</t>
  </si>
  <si>
    <t>BK50063</t>
  </si>
  <si>
    <t>SHP00860</t>
  </si>
  <si>
    <t>BK50860</t>
  </si>
  <si>
    <t>SHP00445</t>
  </si>
  <si>
    <t>BK50445</t>
  </si>
  <si>
    <t>SHP00446</t>
  </si>
  <si>
    <t>BK50446</t>
  </si>
  <si>
    <t>SHP00882</t>
  </si>
  <si>
    <t>BK50882</t>
  </si>
  <si>
    <t>SHP00238</t>
  </si>
  <si>
    <t>BK50238</t>
  </si>
  <si>
    <t>SHP00968</t>
  </si>
  <si>
    <t>BK50968</t>
  </si>
  <si>
    <t>SHP00873</t>
  </si>
  <si>
    <t>BK50873</t>
  </si>
  <si>
    <t>SHP00116</t>
  </si>
  <si>
    <t>BK50116</t>
  </si>
  <si>
    <t>SHP00316</t>
  </si>
  <si>
    <t>BK50316</t>
  </si>
  <si>
    <t>SHP00207</t>
  </si>
  <si>
    <t>BK50207</t>
  </si>
  <si>
    <t>SHP00344</t>
  </si>
  <si>
    <t>BK50344</t>
  </si>
  <si>
    <t>SHP00533</t>
  </si>
  <si>
    <t>BK50533</t>
  </si>
  <si>
    <t>SHP00602</t>
  </si>
  <si>
    <t>BK50602</t>
  </si>
  <si>
    <t>SHP00544</t>
  </si>
  <si>
    <t>BK50544</t>
  </si>
  <si>
    <t>SHP00583</t>
  </si>
  <si>
    <t>BK50583</t>
  </si>
  <si>
    <t>SHP00785</t>
  </si>
  <si>
    <t>BK50785</t>
  </si>
  <si>
    <t>SHP00498</t>
  </si>
  <si>
    <t>BK50498</t>
  </si>
  <si>
    <t>SHP00212</t>
  </si>
  <si>
    <t>BK50212</t>
  </si>
  <si>
    <t>SHP00746</t>
  </si>
  <si>
    <t>BK50746</t>
  </si>
  <si>
    <t>SHP00897</t>
  </si>
  <si>
    <t>BK50897</t>
  </si>
  <si>
    <t>SHP00187</t>
  </si>
  <si>
    <t>BK50187</t>
  </si>
  <si>
    <t>SHP00074</t>
  </si>
  <si>
    <t>BK50074</t>
  </si>
  <si>
    <t>SHP00666</t>
  </si>
  <si>
    <t>BK50666</t>
  </si>
  <si>
    <t>SHP00283</t>
  </si>
  <si>
    <t>BK50283</t>
  </si>
  <si>
    <t>SHP00115</t>
  </si>
  <si>
    <t>BK50115</t>
  </si>
  <si>
    <t>SHP00791</t>
  </si>
  <si>
    <t>BK50791</t>
  </si>
  <si>
    <t>SHP00523</t>
  </si>
  <si>
    <t>BK50523</t>
  </si>
  <si>
    <t>SHP00467</t>
  </si>
  <si>
    <t>BK50467</t>
  </si>
  <si>
    <t>SHP00303</t>
  </si>
  <si>
    <t>BK50303</t>
  </si>
  <si>
    <t>SHP00023</t>
  </si>
  <si>
    <t>BK50023</t>
  </si>
  <si>
    <t>SHP00529</t>
  </si>
  <si>
    <t>BK50529</t>
  </si>
  <si>
    <t>SHP00847</t>
  </si>
  <si>
    <t>BK50847</t>
  </si>
  <si>
    <t>SHP00457</t>
  </si>
  <si>
    <t>BK50457</t>
  </si>
  <si>
    <t>SHP00907</t>
  </si>
  <si>
    <t>BK50907</t>
  </si>
  <si>
    <t>SHP00044</t>
  </si>
  <si>
    <t>BK50044</t>
  </si>
  <si>
    <t>SHP00166</t>
  </si>
  <si>
    <t>BK50166</t>
  </si>
  <si>
    <t>SHP00980</t>
  </si>
  <si>
    <t>BK50980</t>
  </si>
  <si>
    <t>SHP00465</t>
  </si>
  <si>
    <t>BK50465</t>
  </si>
  <si>
    <t>SHP00098</t>
  </si>
  <si>
    <t>BK50098</t>
  </si>
  <si>
    <t>SHP00975</t>
  </si>
  <si>
    <t>BK50975</t>
  </si>
  <si>
    <t>SHP00273</t>
  </si>
  <si>
    <t>BK50273</t>
  </si>
  <si>
    <t>SHP00492</t>
  </si>
  <si>
    <t>BK50492</t>
  </si>
  <si>
    <t>SHP00696</t>
  </si>
  <si>
    <t>BK50696</t>
  </si>
  <si>
    <t>SHP00611</t>
  </si>
  <si>
    <t>BK50611</t>
  </si>
  <si>
    <t>SHP00963</t>
  </si>
  <si>
    <t>BK50963</t>
  </si>
  <si>
    <t>SHP00609</t>
  </si>
  <si>
    <t>BK50609</t>
  </si>
  <si>
    <t>SHP00678</t>
  </si>
  <si>
    <t>BK50678</t>
  </si>
  <si>
    <t>SHP00148</t>
  </si>
  <si>
    <t>BK50148</t>
  </si>
  <si>
    <t>SHP00070</t>
  </si>
  <si>
    <t>BK50070</t>
  </si>
  <si>
    <t>SHP00369</t>
  </si>
  <si>
    <t>BK50369</t>
  </si>
  <si>
    <t>SHP00288</t>
  </si>
  <si>
    <t>BK50288</t>
  </si>
  <si>
    <t>SHP00568</t>
  </si>
  <si>
    <t>BK50568</t>
  </si>
  <si>
    <t>SHP00302</t>
  </si>
  <si>
    <t>BK50302</t>
  </si>
  <si>
    <t>SHP00723</t>
  </si>
  <si>
    <t>BK50723</t>
  </si>
  <si>
    <t>SHP00902</t>
  </si>
  <si>
    <t>BK50902</t>
  </si>
  <si>
    <t>SHP00564</t>
  </si>
  <si>
    <t>BK50564</t>
  </si>
  <si>
    <t>SHP00706</t>
  </si>
  <si>
    <t>BK50706</t>
  </si>
  <si>
    <t>SHP00085</t>
  </si>
  <si>
    <t>BK50085</t>
  </si>
  <si>
    <t>SHP00348</t>
  </si>
  <si>
    <t>BK50348</t>
  </si>
  <si>
    <t>SHP00046</t>
  </si>
  <si>
    <t>BK50046</t>
  </si>
  <si>
    <t>SHP00543</t>
  </si>
  <si>
    <t>BK50543</t>
  </si>
  <si>
    <t>SHP00955</t>
  </si>
  <si>
    <t>BK50955</t>
  </si>
  <si>
    <t>SHP00440</t>
  </si>
  <si>
    <t>BK50440</t>
  </si>
  <si>
    <t>SHP00421</t>
  </si>
  <si>
    <t>BK50421</t>
  </si>
  <si>
    <t>SHP00841</t>
  </si>
  <si>
    <t>BK50841</t>
  </si>
  <si>
    <t>SHP00029</t>
  </si>
  <si>
    <t>BK50029</t>
  </si>
  <si>
    <t>SHP00059</t>
  </si>
  <si>
    <t>BK50059</t>
  </si>
  <si>
    <t>SHP00829</t>
  </si>
  <si>
    <t>BK50829</t>
  </si>
  <si>
    <t>SHP00697</t>
  </si>
  <si>
    <t>BK50697</t>
  </si>
  <si>
    <t>SHP00192</t>
  </si>
  <si>
    <t>BK50192</t>
  </si>
  <si>
    <t>SHP00503</t>
  </si>
  <si>
    <t>BK50503</t>
  </si>
  <si>
    <t>SHP00476</t>
  </si>
  <si>
    <t>BK50476</t>
  </si>
  <si>
    <t>SHP00906</t>
  </si>
  <si>
    <t>BK50906</t>
  </si>
  <si>
    <t>SHP00754</t>
  </si>
  <si>
    <t>BK50754</t>
  </si>
  <si>
    <t>SHP00282</t>
  </si>
  <si>
    <t>BK50282</t>
  </si>
  <si>
    <t>SHP00123</t>
  </si>
  <si>
    <t>BK50123</t>
  </si>
  <si>
    <t>SHP00656</t>
  </si>
  <si>
    <t>BK50656</t>
  </si>
  <si>
    <t>SHP00662</t>
  </si>
  <si>
    <t>BK50662</t>
  </si>
  <si>
    <t>SHP00422</t>
  </si>
  <si>
    <t>BK50422</t>
  </si>
  <si>
    <t>SHP00197</t>
  </si>
  <si>
    <t>BK50197</t>
  </si>
  <si>
    <t>SHP00502</t>
  </si>
  <si>
    <t>BK50502</t>
  </si>
  <si>
    <t>SHP00773</t>
  </si>
  <si>
    <t>BK50773</t>
  </si>
  <si>
    <t>SHP00146</t>
  </si>
  <si>
    <t>BK50146</t>
  </si>
  <si>
    <t>SHP00335</t>
  </si>
  <si>
    <t>BK50335</t>
  </si>
  <si>
    <t>SHP00554</t>
  </si>
  <si>
    <t>BK50554</t>
  </si>
  <si>
    <t>SHP00738</t>
  </si>
  <si>
    <t>BK50738</t>
  </si>
  <si>
    <t>SHP00397</t>
  </si>
  <si>
    <t>BK50397</t>
  </si>
  <si>
    <t>SHP00003</t>
  </si>
  <si>
    <t>BK50003</t>
  </si>
  <si>
    <t>SHP00244</t>
  </si>
  <si>
    <t>BK50244</t>
  </si>
  <si>
    <t>SHP00669</t>
  </si>
  <si>
    <t>BK50669</t>
  </si>
  <si>
    <t>SHP00960</t>
  </si>
  <si>
    <t>BK50960</t>
  </si>
  <si>
    <t>SHP00287</t>
  </si>
  <si>
    <t>BK50287</t>
  </si>
  <si>
    <t>SHP00183</t>
  </si>
  <si>
    <t>BK50183</t>
  </si>
  <si>
    <t>SHP00853</t>
  </si>
  <si>
    <t>BK50853</t>
  </si>
  <si>
    <t>SHP00389</t>
  </si>
  <si>
    <t>BK50389</t>
  </si>
  <si>
    <t>SHP00245</t>
  </si>
  <si>
    <t>BK50245</t>
  </si>
  <si>
    <t>SHP00756</t>
  </si>
  <si>
    <t>BK50756</t>
  </si>
  <si>
    <t>SHP00102</t>
  </si>
  <si>
    <t>BK50102</t>
  </si>
  <si>
    <t>SHP00598</t>
  </si>
  <si>
    <t>BK50598</t>
  </si>
  <si>
    <t>SHP00978</t>
  </si>
  <si>
    <t>BK50978</t>
  </si>
  <si>
    <t>SHP00612</t>
  </si>
  <si>
    <t>BK50612</t>
  </si>
  <si>
    <t>SHP00140</t>
  </si>
  <si>
    <t>BK50140</t>
  </si>
  <si>
    <t>SHP00461</t>
  </si>
  <si>
    <t>BK50461</t>
  </si>
  <si>
    <t>SHP00977</t>
  </si>
  <si>
    <t>BK50977</t>
  </si>
  <si>
    <t>SHP00881</t>
  </si>
  <si>
    <t>BK50881</t>
  </si>
  <si>
    <t>SHP00470</t>
  </si>
  <si>
    <t>BK50470</t>
  </si>
  <si>
    <t>SHP00259</t>
  </si>
  <si>
    <t>BK50259</t>
  </si>
  <si>
    <t>SHP00226</t>
  </si>
  <si>
    <t>BK50226</t>
  </si>
  <si>
    <t>SHP00265</t>
  </si>
  <si>
    <t>BK50265</t>
  </si>
  <si>
    <t>SHP00774</t>
  </si>
  <si>
    <t>BK50774</t>
  </si>
  <si>
    <t>SHP00935</t>
  </si>
  <si>
    <t>BK50935</t>
  </si>
  <si>
    <t>SHP00689</t>
  </si>
  <si>
    <t>BK50689</t>
  </si>
  <si>
    <t>SHP00798</t>
  </si>
  <si>
    <t>BK50798</t>
  </si>
  <si>
    <t>SHP00381</t>
  </si>
  <si>
    <t>BK50381</t>
  </si>
  <si>
    <t>SHP00822</t>
  </si>
  <si>
    <t>BK50822</t>
  </si>
  <si>
    <t>SHP00052</t>
  </si>
  <si>
    <t>BK50052</t>
  </si>
  <si>
    <t>SHP00971</t>
  </si>
  <si>
    <t>BK50971</t>
  </si>
  <si>
    <t>SHP00384</t>
  </si>
  <si>
    <t>BK50384</t>
  </si>
  <si>
    <t>SHP00843</t>
  </si>
  <si>
    <t>BK50843</t>
  </si>
  <si>
    <t>SHP00806</t>
  </si>
  <si>
    <t>BK50806</t>
  </si>
  <si>
    <t>SHP00777</t>
  </si>
  <si>
    <t>BK50777</t>
  </si>
  <si>
    <t>SHP00468</t>
  </si>
  <si>
    <t>BK50468</t>
  </si>
  <si>
    <t>SHP00084</t>
  </si>
  <si>
    <t>BK50084</t>
  </si>
  <si>
    <t>SHP00330</t>
  </si>
  <si>
    <t>BK50330</t>
  </si>
  <si>
    <t>SHP00022</t>
  </si>
  <si>
    <t>BK50022</t>
  </si>
  <si>
    <t>SHP00936</t>
  </si>
  <si>
    <t>BK50936</t>
  </si>
  <si>
    <t>SHP00859</t>
  </si>
  <si>
    <t>BK50859</t>
  </si>
  <si>
    <t>SHP00571</t>
  </si>
  <si>
    <t>BK50571</t>
  </si>
  <si>
    <t>SHP00106</t>
  </si>
  <si>
    <t>BK50106</t>
  </si>
  <si>
    <t>SHP00763</t>
  </si>
  <si>
    <t>BK50763</t>
  </si>
  <si>
    <t>SHP00739</t>
  </si>
  <si>
    <t>BK50739</t>
  </si>
  <si>
    <t>SHP00954</t>
  </si>
  <si>
    <t>BK50954</t>
  </si>
  <si>
    <t>SHP00745</t>
  </si>
  <si>
    <t>BK50745</t>
  </si>
  <si>
    <t>SHP00279</t>
  </si>
  <si>
    <t>BK50279</t>
  </si>
  <si>
    <t>SHP00089</t>
  </si>
  <si>
    <t>BK50089</t>
  </si>
  <si>
    <t>SHP00941</t>
  </si>
  <si>
    <t>BK50941</t>
  </si>
  <si>
    <t>SHP00965</t>
  </si>
  <si>
    <t>BK50965</t>
  </si>
  <si>
    <t>SHP00290</t>
  </si>
  <si>
    <t>BK50290</t>
  </si>
  <si>
    <t>SHP00491</t>
  </si>
  <si>
    <t>BK50491</t>
  </si>
  <si>
    <t>SHP00749</t>
  </si>
  <si>
    <t>BK50749</t>
  </si>
  <si>
    <t>SHP00811</t>
  </si>
  <si>
    <t>BK50811</t>
  </si>
  <si>
    <t>SHP00220</t>
  </si>
  <si>
    <t>BK50220</t>
  </si>
  <si>
    <t>SHP00289</t>
  </si>
  <si>
    <t>BK50289</t>
  </si>
  <si>
    <t>SHP00710</t>
  </si>
  <si>
    <t>BK50710</t>
  </si>
  <si>
    <t>SHP00890</t>
  </si>
  <si>
    <t>BK50890</t>
  </si>
  <si>
    <t>SHP00585</t>
  </si>
  <si>
    <t>BK50585</t>
  </si>
  <si>
    <t>SHP00378</t>
  </si>
  <si>
    <t>BK50378</t>
  </si>
  <si>
    <t>SHP00329</t>
  </si>
  <si>
    <t>BK50329</t>
  </si>
  <si>
    <t>SHP00956</t>
  </si>
  <si>
    <t>BK50956</t>
  </si>
  <si>
    <t>SHP00227</t>
  </si>
  <si>
    <t>BK50227</t>
  </si>
  <si>
    <t>SHP00475</t>
  </si>
  <si>
    <t>BK50475</t>
  </si>
  <si>
    <t>SHP00620</t>
  </si>
  <si>
    <t>BK50620</t>
  </si>
  <si>
    <t>SHP00347</t>
  </si>
  <si>
    <t>BK50347</t>
  </si>
  <si>
    <t>SHP00387</t>
  </si>
  <si>
    <t>BK50387</t>
  </si>
  <si>
    <t>SHP00346</t>
  </si>
  <si>
    <t>BK50346</t>
  </si>
  <si>
    <t>SHP00713</t>
  </si>
  <si>
    <t>BK50713</t>
  </si>
  <si>
    <t>SHP00321</t>
  </si>
  <si>
    <t>BK50321</t>
  </si>
  <si>
    <t>SHP00230</t>
  </si>
  <si>
    <t>BK50230</t>
  </si>
  <si>
    <t>SHP00095</t>
  </si>
  <si>
    <t>BK50095</t>
  </si>
  <si>
    <t>SHP00852</t>
  </si>
  <si>
    <t>BK50852</t>
  </si>
  <si>
    <t>SHP00605</t>
  </si>
  <si>
    <t>BK50605</t>
  </si>
  <si>
    <t>SHP00399</t>
  </si>
  <si>
    <t>BK50399</t>
  </si>
  <si>
    <t>SHP00867</t>
  </si>
  <si>
    <t>BK50867</t>
  </si>
  <si>
    <t>SHP00748</t>
  </si>
  <si>
    <t>BK50748</t>
  </si>
  <si>
    <t>SHP00630</t>
  </si>
  <si>
    <t>BK50630</t>
  </si>
  <si>
    <t>SHP00786</t>
  </si>
  <si>
    <t>BK50786</t>
  </si>
  <si>
    <t>SHP00152</t>
  </si>
  <si>
    <t>BK50152</t>
  </si>
  <si>
    <t>SHP00901</t>
  </si>
  <si>
    <t>BK50901</t>
  </si>
  <si>
    <t>SHP00286</t>
  </si>
  <si>
    <t>BK50286</t>
  </si>
  <si>
    <t>SHP00932</t>
  </si>
  <si>
    <t>BK50932</t>
  </si>
  <si>
    <t>SHP00868</t>
  </si>
  <si>
    <t>BK50868</t>
  </si>
  <si>
    <t>SHP00222</t>
  </si>
  <si>
    <t>BK50222</t>
  </si>
  <si>
    <t>SHP00209</t>
  </si>
  <si>
    <t>BK50209</t>
  </si>
  <si>
    <t>SHP00532</t>
  </si>
  <si>
    <t>BK50532</t>
  </si>
  <si>
    <t>SHP00661</t>
  </si>
  <si>
    <t>BK50661</t>
  </si>
  <si>
    <t>SHP00886</t>
  </si>
  <si>
    <t>BK50886</t>
  </si>
  <si>
    <t>SHP00660</t>
  </si>
  <si>
    <t>BK50660</t>
  </si>
  <si>
    <t>SHP00751</t>
  </si>
  <si>
    <t>BK50751</t>
  </si>
  <si>
    <t>SHP00071</t>
  </si>
  <si>
    <t>BK50071</t>
  </si>
  <si>
    <t>SHP00560</t>
  </si>
  <si>
    <t>BK50560</t>
  </si>
  <si>
    <t>SHP00167</t>
  </si>
  <si>
    <t>BK50167</t>
  </si>
  <si>
    <t>SHP00133</t>
  </si>
  <si>
    <t>BK50133</t>
  </si>
  <si>
    <t>SHP00362</t>
  </si>
  <si>
    <t>BK50362</t>
  </si>
  <si>
    <t>SHP00688</t>
  </si>
  <si>
    <t>BK50688</t>
  </si>
  <si>
    <t>SHP00082</t>
  </si>
  <si>
    <t>BK50082</t>
  </si>
  <si>
    <t>SHP00474</t>
  </si>
  <si>
    <t>BK50474</t>
  </si>
  <si>
    <t>SHP00156</t>
  </si>
  <si>
    <t>BK50156</t>
  </si>
  <si>
    <t>SHP00363</t>
  </si>
  <si>
    <t>BK50363</t>
  </si>
  <si>
    <t>SHP00425</t>
  </si>
  <si>
    <t>BK50425</t>
  </si>
  <si>
    <t>SHP00404</t>
  </si>
  <si>
    <t>BK50404</t>
  </si>
  <si>
    <t>SHP00874</t>
  </si>
  <si>
    <t>BK50874</t>
  </si>
  <si>
    <t>SHP00343</t>
  </si>
  <si>
    <t>BK50343</t>
  </si>
  <si>
    <t>SHP00171</t>
  </si>
  <si>
    <t>BK50171</t>
  </si>
  <si>
    <t>SHP00888</t>
  </si>
  <si>
    <t>BK50888</t>
  </si>
  <si>
    <t>SHP00547</t>
  </si>
  <si>
    <t>BK50547</t>
  </si>
  <si>
    <t>SHP00699</t>
  </si>
  <si>
    <t>BK50699</t>
  </si>
  <si>
    <t>SHP00918</t>
  </si>
  <si>
    <t>BK50918</t>
  </si>
  <si>
    <t>SHP00531</t>
  </si>
  <si>
    <t>BK50531</t>
  </si>
  <si>
    <t>SHP00705</t>
  </si>
  <si>
    <t>BK50705</t>
  </si>
  <si>
    <t>SHP00471</t>
  </si>
  <si>
    <t>BK50471</t>
  </si>
  <si>
    <t>SHP00898</t>
  </si>
  <si>
    <t>BK50898</t>
  </si>
  <si>
    <t>SHP00694</t>
  </si>
  <si>
    <t>BK50694</t>
  </si>
  <si>
    <t>SHP00933</t>
  </si>
  <si>
    <t>BK50933</t>
  </si>
  <si>
    <t>SHP00658</t>
  </si>
  <si>
    <t>BK50658</t>
  </si>
  <si>
    <t>SHP00352</t>
  </si>
  <si>
    <t>BK50352</t>
  </si>
  <si>
    <t>SHP00376</t>
  </si>
  <si>
    <t>BK50376</t>
  </si>
  <si>
    <t>SHP00480</t>
  </si>
  <si>
    <t>BK50480</t>
  </si>
  <si>
    <t>SHP00680</t>
  </si>
  <si>
    <t>BK50680</t>
  </si>
  <si>
    <t>SHP00477</t>
  </si>
  <si>
    <t>BK50477</t>
  </si>
  <si>
    <t>SHP00493</t>
  </si>
  <si>
    <t>BK50493</t>
  </si>
  <si>
    <t>SHP00354</t>
  </si>
  <si>
    <t>BK50354</t>
  </si>
  <si>
    <t>SHP00889</t>
  </si>
  <si>
    <t>BK50889</t>
  </si>
  <si>
    <t>SHP00517</t>
  </si>
  <si>
    <t>BK50517</t>
  </si>
  <si>
    <t>SHP00322</t>
  </si>
  <si>
    <t>BK50322</t>
  </si>
  <si>
    <t>SHP00783</t>
  </si>
  <si>
    <t>BK50783</t>
  </si>
  <si>
    <t>SHP00427</t>
  </si>
  <si>
    <t>BK50427</t>
  </si>
  <si>
    <t>SHP00487</t>
  </si>
  <si>
    <t>BK50487</t>
  </si>
  <si>
    <t>SHP00851</t>
  </si>
  <si>
    <t>BK50851</t>
  </si>
  <si>
    <t>SHP00576</t>
  </si>
  <si>
    <t>BK50576</t>
  </si>
  <si>
    <t>SHP00276</t>
  </si>
  <si>
    <t>BK50276</t>
  </si>
  <si>
    <t>SHP00051</t>
  </si>
  <si>
    <t>BK50051</t>
  </si>
  <si>
    <t>SHP00280</t>
  </si>
  <si>
    <t>BK50280</t>
  </si>
  <si>
    <t>SHP00175</t>
  </si>
  <si>
    <t>BK50175</t>
  </si>
  <si>
    <t>SHP00627</t>
  </si>
  <si>
    <t>BK50627</t>
  </si>
  <si>
    <t>SHP00887</t>
  </si>
  <si>
    <t>BK50887</t>
  </si>
  <si>
    <t>SHP00423</t>
  </si>
  <si>
    <t>BK50423</t>
  </si>
  <si>
    <t>SHP00326</t>
  </si>
  <si>
    <t>BK50326</t>
  </si>
  <si>
    <t>SHP00736</t>
  </si>
  <si>
    <t>BK50736</t>
  </si>
  <si>
    <t>SHP00131</t>
  </si>
  <si>
    <t>BK50131</t>
  </si>
  <si>
    <t>SHP00973</t>
  </si>
  <si>
    <t>BK50973</t>
  </si>
  <si>
    <t>SHP00834</t>
  </si>
  <si>
    <t>BK50834</t>
  </si>
  <si>
    <t>SHP00160</t>
  </si>
  <si>
    <t>BK50160</t>
  </si>
  <si>
    <t>SHP00508</t>
  </si>
  <si>
    <t>BK50508</t>
  </si>
  <si>
    <t>SHP00864</t>
  </si>
  <si>
    <t>BK50864</t>
  </si>
  <si>
    <t>SHP00730</t>
  </si>
  <si>
    <t>BK50730</t>
  </si>
  <si>
    <t>SHP00794</t>
  </si>
  <si>
    <t>BK50794</t>
  </si>
  <si>
    <t>SHP00826</t>
  </si>
  <si>
    <t>BK50826</t>
  </si>
  <si>
    <t>SHP00808</t>
  </si>
  <si>
    <t>BK50808</t>
  </si>
  <si>
    <t>SHP00905</t>
  </si>
  <si>
    <t>BK50905</t>
  </si>
  <si>
    <t>SHP00285</t>
  </si>
  <si>
    <t>BK50285</t>
  </si>
  <si>
    <t>SHP00125</t>
  </si>
  <si>
    <t>BK50125</t>
  </si>
  <si>
    <t>SHP00241</t>
  </si>
  <si>
    <t>BK50241</t>
  </si>
  <si>
    <t>SHP00436</t>
  </si>
  <si>
    <t>BK50436</t>
  </si>
  <si>
    <t>SHP00324</t>
  </si>
  <si>
    <t>BK50324</t>
  </si>
  <si>
    <t>SHP00504</t>
  </si>
  <si>
    <t>BK50504</t>
  </si>
  <si>
    <t>SHP00766</t>
  </si>
  <si>
    <t>BK50766</t>
  </si>
  <si>
    <t>SHP00415</t>
  </si>
  <si>
    <t>BK50415</t>
  </si>
  <si>
    <t>SHP00693</t>
  </si>
  <si>
    <t>BK50693</t>
  </si>
  <si>
    <t>SHP00239</t>
  </si>
  <si>
    <t>BK50239</t>
  </si>
  <si>
    <t>SHP00305</t>
  </si>
  <si>
    <t>BK50305</t>
  </si>
  <si>
    <t>SHP00194</t>
  </si>
  <si>
    <t>BK50194</t>
  </si>
  <si>
    <t>SHP00355</t>
  </si>
  <si>
    <t>BK50355</t>
  </si>
  <si>
    <t>SHP00358</t>
  </si>
  <si>
    <t>BK50358</t>
  </si>
  <si>
    <t>SHP00712</t>
  </si>
  <si>
    <t>BK50712</t>
  </si>
  <si>
    <t>SHP00659</t>
  </si>
  <si>
    <t>BK50659</t>
  </si>
  <si>
    <t>SHP00927</t>
  </si>
  <si>
    <t>BK50927</t>
  </si>
  <si>
    <t>SHP00819</t>
  </si>
  <si>
    <t>BK50819</t>
  </si>
  <si>
    <t>SHP00180</t>
  </si>
  <si>
    <t>BK50180</t>
  </si>
  <si>
    <t>SHP00505</t>
  </si>
  <si>
    <t>BK50505</t>
  </si>
  <si>
    <t>SHP00119</t>
  </si>
  <si>
    <t>BK50119</t>
  </si>
  <si>
    <t>SHP00800</t>
  </si>
  <si>
    <t>BK50800</t>
  </si>
  <si>
    <t>SHP00483</t>
  </si>
  <si>
    <t>BK50483</t>
  </si>
  <si>
    <t>SHP00186</t>
  </si>
  <si>
    <t>BK50186</t>
  </si>
  <si>
    <t>SHP00600</t>
  </si>
  <si>
    <t>BK50600</t>
  </si>
  <si>
    <t>SHP00858</t>
  </si>
  <si>
    <t>BK50858</t>
  </si>
  <si>
    <t>SHP00196</t>
  </si>
  <si>
    <t>BK50196</t>
  </si>
  <si>
    <t>SHP00201</t>
  </si>
  <si>
    <t>BK50201</t>
  </si>
  <si>
    <t>SHP00550</t>
  </si>
  <si>
    <t>BK50550</t>
  </si>
  <si>
    <t>SHP00776</t>
  </si>
  <si>
    <t>BK50776</t>
  </si>
  <si>
    <t>SHP00677</t>
  </si>
  <si>
    <t>BK50677</t>
  </si>
  <si>
    <t>SHP00950</t>
  </si>
  <si>
    <t>BK50950</t>
  </si>
  <si>
    <t>SHP00857</t>
  </si>
  <si>
    <t>BK50857</t>
  </si>
  <si>
    <t>SHP00006</t>
  </si>
  <si>
    <t>BK50006</t>
  </si>
  <si>
    <t>SHP00728</t>
  </si>
  <si>
    <t>BK50728</t>
  </si>
  <si>
    <t>SHP00944</t>
  </si>
  <si>
    <t>BK50944</t>
  </si>
  <si>
    <t>SHP00764</t>
  </si>
  <si>
    <t>BK50764</t>
  </si>
  <si>
    <t>SHP00403</t>
  </si>
  <si>
    <t>BK50403</t>
  </si>
  <si>
    <t>SHP00670</t>
  </si>
  <si>
    <t>BK50670</t>
  </si>
  <si>
    <t>SHP00380</t>
  </si>
  <si>
    <t>BK50380</t>
  </si>
  <si>
    <t>SHP00877</t>
  </si>
  <si>
    <t>BK50877</t>
  </si>
  <si>
    <t>SHP00720</t>
  </si>
  <si>
    <t>BK50720</t>
  </si>
  <si>
    <t>SHP00240</t>
  </si>
  <si>
    <t>BK50240</t>
  </si>
  <si>
    <t>SHP00037</t>
  </si>
  <si>
    <t>BK50037</t>
  </si>
  <si>
    <t>SHP00664</t>
  </si>
  <si>
    <t>BK50664</t>
  </si>
  <si>
    <t>SHP00284</t>
  </si>
  <si>
    <t>BK50284</t>
  </si>
  <si>
    <t>SHP00761</t>
  </si>
  <si>
    <t>BK50761</t>
  </si>
  <si>
    <t>SHP00218</t>
  </si>
  <si>
    <t>BK50218</t>
  </si>
  <si>
    <t>SHP00020</t>
  </si>
  <si>
    <t>BK50020</t>
  </si>
  <si>
    <t>SHP00530</t>
  </si>
  <si>
    <t>BK50530</t>
  </si>
  <si>
    <t>SHP00296</t>
  </si>
  <si>
    <t>BK50296</t>
  </si>
  <si>
    <t>SHP00064</t>
  </si>
  <si>
    <t>BK50064</t>
  </si>
  <si>
    <t>SHP00594</t>
  </si>
  <si>
    <t>BK50594</t>
  </si>
  <si>
    <t>SHP00406</t>
  </si>
  <si>
    <t>BK50406</t>
  </si>
  <si>
    <t>SHP00653</t>
  </si>
  <si>
    <t>BK50653</t>
  </si>
  <si>
    <t>SHP00165</t>
  </si>
  <si>
    <t>BK50165</t>
  </si>
  <si>
    <t>SHP00618</t>
  </si>
  <si>
    <t>BK50618</t>
  </si>
  <si>
    <t>SHP00542</t>
  </si>
  <si>
    <t>BK50542</t>
  </si>
  <si>
    <t>SHP00485</t>
  </si>
  <si>
    <t>BK50485</t>
  </si>
  <si>
    <t>SHP00121</t>
  </si>
  <si>
    <t>BK50121</t>
  </si>
  <si>
    <t>SHP00011</t>
  </si>
  <si>
    <t>BK50011</t>
  </si>
  <si>
    <t>SHP00640</t>
  </si>
  <si>
    <t>BK50640</t>
  </si>
  <si>
    <t>SHP00788</t>
  </si>
  <si>
    <t>BK50788</t>
  </si>
  <si>
    <t>SHP00225</t>
  </si>
  <si>
    <t>BK50225</t>
  </si>
  <si>
    <t>SHP00061</t>
  </si>
  <si>
    <t>BK50061</t>
  </si>
  <si>
    <t>SHP00178</t>
  </si>
  <si>
    <t>BK50178</t>
  </si>
  <si>
    <t>SHP00223</t>
  </si>
  <si>
    <t>BK50223</t>
  </si>
  <si>
    <t>SHP00211</t>
  </si>
  <si>
    <t>BK50211</t>
  </si>
  <si>
    <t>SHP00805</t>
  </si>
  <si>
    <t>BK50805</t>
  </si>
  <si>
    <t>SHP00382</t>
  </si>
  <si>
    <t>BK50382</t>
  </si>
  <si>
    <t>SHP00159</t>
  </si>
  <si>
    <t>BK50159</t>
  </si>
  <si>
    <t>SHP00489</t>
  </si>
  <si>
    <t>BK50489</t>
  </si>
  <si>
    <t>SHP00145</t>
  </si>
  <si>
    <t>BK50145</t>
  </si>
  <si>
    <t>SHP00501</t>
  </si>
  <si>
    <t>BK50501</t>
  </si>
  <si>
    <t>SHP00047</t>
  </si>
  <si>
    <t>BK50047</t>
  </si>
  <si>
    <t>SHP00372</t>
  </si>
  <si>
    <t>BK50372</t>
  </si>
  <si>
    <t>SHP00892</t>
  </si>
  <si>
    <t>BK50892</t>
  </si>
  <si>
    <t>SHP00983</t>
  </si>
  <si>
    <t>BK50983</t>
  </si>
  <si>
    <t>SHP00832</t>
  </si>
  <si>
    <t>BK50832</t>
  </si>
  <si>
    <t>SHP00708</t>
  </si>
  <si>
    <t>BK50708</t>
  </si>
  <si>
    <t>SHP00143</t>
  </si>
  <si>
    <t>BK50143</t>
  </si>
  <si>
    <t>SHP00652</t>
  </si>
  <si>
    <t>BK50652</t>
  </si>
  <si>
    <t>SHP00177</t>
  </si>
  <si>
    <t>BK50177</t>
  </si>
  <si>
    <t>SHP00964</t>
  </si>
  <si>
    <t>BK50964</t>
  </si>
  <si>
    <t>SHP00214</t>
  </si>
  <si>
    <t>BK50214</t>
  </si>
  <si>
    <t>SHP00929</t>
  </si>
  <si>
    <t>BK50929</t>
  </si>
  <si>
    <t>SHP00724</t>
  </si>
  <si>
    <t>BK50724</t>
  </si>
  <si>
    <t>SHP00450</t>
  </si>
  <si>
    <t>BK50450</t>
  </si>
  <si>
    <t>SHP00249</t>
  </si>
  <si>
    <t>BK50249</t>
  </si>
  <si>
    <t>SHP00228</t>
  </si>
  <si>
    <t>BK50228</t>
  </si>
  <si>
    <t>SHP00203</t>
  </si>
  <si>
    <t>BK50203</t>
  </si>
  <si>
    <t>SHP00676</t>
  </si>
  <si>
    <t>BK50676</t>
  </si>
  <si>
    <t>SHP00291</t>
  </si>
  <si>
    <t>BK50291</t>
  </si>
  <si>
    <t>SHP00966</t>
  </si>
  <si>
    <t>BK50966</t>
  </si>
  <si>
    <t>SHP00462</t>
  </si>
  <si>
    <t>BK50462</t>
  </si>
  <si>
    <t>SHP00267</t>
  </si>
  <si>
    <t>BK50267</t>
  </si>
  <si>
    <t>SHP00866</t>
  </si>
  <si>
    <t>BK50866</t>
  </si>
  <si>
    <t>SHP00524</t>
  </si>
  <si>
    <t>BK50524</t>
  </si>
  <si>
    <t>SHP00737</t>
  </si>
  <si>
    <t>BK50737</t>
  </si>
  <si>
    <t>SHP00733</t>
  </si>
  <si>
    <t>BK50733</t>
  </si>
  <si>
    <t>SHP00150</t>
  </si>
  <si>
    <t>BK50150</t>
  </si>
  <si>
    <t>SHP00429</t>
  </si>
  <si>
    <t>BK50429</t>
  </si>
  <si>
    <t>SHP00036</t>
  </si>
  <si>
    <t>BK50036</t>
  </si>
  <si>
    <t>SHP00383</t>
  </si>
  <si>
    <t>BK50383</t>
  </si>
  <si>
    <t>SHP00675</t>
  </si>
  <si>
    <t>BK50675</t>
  </si>
  <si>
    <t>SHP00277</t>
  </si>
  <si>
    <t>BK50277</t>
  </si>
  <si>
    <t>SHP00849</t>
  </si>
  <si>
    <t>BK50849</t>
  </si>
  <si>
    <t>SHP00179</t>
  </si>
  <si>
    <t>BK50179</t>
  </si>
  <si>
    <t>SHP00634</t>
  </si>
  <si>
    <t>BK50634</t>
  </si>
  <si>
    <t>SHP00821</t>
  </si>
  <si>
    <t>BK50821</t>
  </si>
  <si>
    <t>SHP00448</t>
  </si>
  <si>
    <t>BK50448</t>
  </si>
  <si>
    <t>SHP00546</t>
  </si>
  <si>
    <t>BK50546</t>
  </si>
  <si>
    <t>SHP00325</t>
  </si>
  <si>
    <t>BK50325</t>
  </si>
  <si>
    <t>SHP00247</t>
  </si>
  <si>
    <t>BK50247</t>
  </si>
  <si>
    <t>SHP00010</t>
  </si>
  <si>
    <t>BK50010</t>
  </si>
  <si>
    <t>SHP00629</t>
  </si>
  <si>
    <t>BK50629</t>
  </si>
  <si>
    <t>SHP00414</t>
  </si>
  <si>
    <t>BK50414</t>
  </si>
  <si>
    <t>SHP00479</t>
  </si>
  <si>
    <t>BK50479</t>
  </si>
  <si>
    <t>SHP00210</t>
  </si>
  <si>
    <t>BK50210</t>
  </si>
  <si>
    <t>SHP00557</t>
  </si>
  <si>
    <t>BK50557</t>
  </si>
  <si>
    <t>SHP00545</t>
  </si>
  <si>
    <t>BK50545</t>
  </si>
  <si>
    <t>SHP00473</t>
  </si>
  <si>
    <t>BK50473</t>
  </si>
  <si>
    <t>SHP00312</t>
  </si>
  <si>
    <t>BK50312</t>
  </si>
  <si>
    <t>SHP00155</t>
  </si>
  <si>
    <t>BK50155</t>
  </si>
  <si>
    <t>SHP00958</t>
  </si>
  <si>
    <t>BK50958</t>
  </si>
  <si>
    <t>SHP00535</t>
  </si>
  <si>
    <t>BK50535</t>
  </si>
  <si>
    <t>SHP00519</t>
  </si>
  <si>
    <t>BK50519</t>
  </si>
  <si>
    <t>SHP00005</t>
  </si>
  <si>
    <t>BK50005</t>
  </si>
  <si>
    <t>SHP00154</t>
  </si>
  <si>
    <t>BK50154</t>
  </si>
  <si>
    <t>SHP00595</t>
  </si>
  <si>
    <t>BK50595</t>
  </si>
  <si>
    <t>SHP00466</t>
  </si>
  <si>
    <t>BK50466</t>
  </si>
  <si>
    <t>SHP00083</t>
  </si>
  <si>
    <t>BK50083</t>
  </si>
  <si>
    <t>SHP00117</t>
  </si>
  <si>
    <t>BK50117</t>
  </si>
  <si>
    <t>SHP00593</t>
  </si>
  <si>
    <t>BK50593</t>
  </si>
  <si>
    <t>SHP00556</t>
  </si>
  <si>
    <t>BK50556</t>
  </si>
  <si>
    <t>SHP00078</t>
  </si>
  <si>
    <t>BK50078</t>
  </si>
  <si>
    <t>SHP00278</t>
  </si>
  <si>
    <t>BK50278</t>
  </si>
  <si>
    <t>SHP00342</t>
  </si>
  <si>
    <t>BK50342</t>
  </si>
  <si>
    <t>SHP00514</t>
  </si>
  <si>
    <t>BK50514</t>
  </si>
  <si>
    <t>SHP00028</t>
  </si>
  <si>
    <t>BK50028</t>
  </si>
  <si>
    <t>SHP00332</t>
  </si>
  <si>
    <t>BK50332</t>
  </si>
  <si>
    <t>SHP00942</t>
  </si>
  <si>
    <t>BK50942</t>
  </si>
  <si>
    <t>SHP00632</t>
  </si>
  <si>
    <t>BK50632</t>
  </si>
  <si>
    <t>SHP00948</t>
  </si>
  <si>
    <t>BK50948</t>
  </si>
  <si>
    <t>SHP00792</t>
  </si>
  <si>
    <t>BK50792</t>
  </si>
  <si>
    <t>SHP00937</t>
  </si>
  <si>
    <t>BK50937</t>
  </si>
  <si>
    <t>SHP00300</t>
  </si>
  <si>
    <t>BK50300</t>
  </si>
  <si>
    <t>SHP00698</t>
  </si>
  <si>
    <t>BK50698</t>
  </si>
  <si>
    <t>SHP00215</t>
  </si>
  <si>
    <t>BK50215</t>
  </si>
  <si>
    <t>SHP00962</t>
  </si>
  <si>
    <t>BK50962</t>
  </si>
  <si>
    <t>SHP00947</t>
  </si>
  <si>
    <t>BK50947</t>
  </si>
  <si>
    <t>SHP00048</t>
  </si>
  <si>
    <t>BK50048</t>
  </si>
  <si>
    <t>SHP00722</t>
  </si>
  <si>
    <t>BK50722</t>
  </si>
  <si>
    <t>SHP00364</t>
  </si>
  <si>
    <t>BK50364</t>
  </si>
  <si>
    <t>SHP00060</t>
  </si>
  <si>
    <t>BK50060</t>
  </si>
  <si>
    <t>SHP00671</t>
  </si>
  <si>
    <t>BK50671</t>
  </si>
  <si>
    <t>SHP00453</t>
  </si>
  <si>
    <t>BK50453</t>
  </si>
  <si>
    <t>SHP00992</t>
  </si>
  <si>
    <t>BK50992</t>
  </si>
  <si>
    <t>SHP00274</t>
  </si>
  <si>
    <t>BK50274</t>
  </si>
  <si>
    <t>SHP00416</t>
  </si>
  <si>
    <t>BK50416</t>
  </si>
  <si>
    <t>SHP00839</t>
  </si>
  <si>
    <t>BK50839</t>
  </si>
  <si>
    <t>SHP00916</t>
  </si>
  <si>
    <t>BK50916</t>
  </si>
  <si>
    <t>SHP00268</t>
  </si>
  <si>
    <t>BK50268</t>
  </si>
  <si>
    <t>SHP00558</t>
  </si>
  <si>
    <t>BK50558</t>
  </si>
  <si>
    <t>SHP00252</t>
  </si>
  <si>
    <t>BK50252</t>
  </si>
  <si>
    <t>SHP00797</t>
  </si>
  <si>
    <t>BK50797</t>
  </si>
  <si>
    <t>SHP00993</t>
  </si>
  <si>
    <t>BK50993</t>
  </si>
  <si>
    <t>SHP00943</t>
  </si>
  <si>
    <t>BK50943</t>
  </si>
  <si>
    <t>SHP00494</t>
  </si>
  <si>
    <t>BK50494</t>
  </si>
  <si>
    <t>SHP00787</t>
  </si>
  <si>
    <t>BK50787</t>
  </si>
  <si>
    <t>SHP00540</t>
  </si>
  <si>
    <t>BK50540</t>
  </si>
  <si>
    <t>SHP00004</t>
  </si>
  <si>
    <t>BK50004</t>
  </si>
  <si>
    <t>SHP00802</t>
  </si>
  <si>
    <t>BK50802</t>
  </si>
  <si>
    <t>SHP00357</t>
  </si>
  <si>
    <t>BK50357</t>
  </si>
  <si>
    <t>SHP00189</t>
  </si>
  <si>
    <t>BK50189</t>
  </si>
  <si>
    <t>SHP00420</t>
  </si>
  <si>
    <t>BK50420</t>
  </si>
  <si>
    <t>SHP00395</t>
  </si>
  <si>
    <t>BK50395</t>
  </si>
  <si>
    <t>SHP00412</t>
  </si>
  <si>
    <t>BK50412</t>
  </si>
  <si>
    <t>SHP00695</t>
  </si>
  <si>
    <t>BK50695</t>
  </si>
  <si>
    <t>SHP00820</t>
  </si>
  <si>
    <t>BK50820</t>
  </si>
  <si>
    <t>SHP00972</t>
  </si>
  <si>
    <t>BK50972</t>
  </si>
  <si>
    <t>SHP00758</t>
  </si>
  <si>
    <t>BK50758</t>
  </si>
  <si>
    <t>SHP00488</t>
  </si>
  <si>
    <t>BK50488</t>
  </si>
  <si>
    <t>SHP00741</t>
  </si>
  <si>
    <t>BK50741</t>
  </si>
  <si>
    <t>SHP00141</t>
  </si>
  <si>
    <t>BK50141</t>
  </si>
  <si>
    <t>SHP00895</t>
  </si>
  <si>
    <t>BK50895</t>
  </si>
  <si>
    <t>SHP00795</t>
  </si>
  <si>
    <t>BK50795</t>
  </si>
  <si>
    <t>SHP00679</t>
  </si>
  <si>
    <t>BK50679</t>
  </si>
  <si>
    <t>SHP00181</t>
  </si>
  <si>
    <t>BK50181</t>
  </si>
  <si>
    <t>SHP00271</t>
  </si>
  <si>
    <t>BK50271</t>
  </si>
  <si>
    <t>SHP00365</t>
  </si>
  <si>
    <t>BK50365</t>
  </si>
  <si>
    <t>SHP00409</t>
  </si>
  <si>
    <t>BK50409</t>
  </si>
  <si>
    <t>SHP00863</t>
  </si>
  <si>
    <t>BK50863</t>
  </si>
  <si>
    <t>SHP00668</t>
  </si>
  <si>
    <t>BK50668</t>
  </si>
  <si>
    <t>SHP00396</t>
  </si>
  <si>
    <t>BK50396</t>
  </si>
  <si>
    <t>SHP00388</t>
  </si>
  <si>
    <t>BK50388</t>
  </si>
  <si>
    <t>SHP00957</t>
  </si>
  <si>
    <t>BK50957</t>
  </si>
  <si>
    <t>SHP00452</t>
  </si>
  <si>
    <t>BK50452</t>
  </si>
  <si>
    <t>SHP00087</t>
  </si>
  <si>
    <t>BK50087</t>
  </si>
  <si>
    <t>SHP00129</t>
  </si>
  <si>
    <t>BK50129</t>
  </si>
  <si>
    <t>SHP00515</t>
  </si>
  <si>
    <t>BK50515</t>
  </si>
  <si>
    <t>SHP00765</t>
  </si>
  <si>
    <t>BK50765</t>
  </si>
  <si>
    <t>SHP00621</t>
  </si>
  <si>
    <t>BK50621</t>
  </si>
  <si>
    <t>SHP00401</t>
  </si>
  <si>
    <t>BK50401</t>
  </si>
  <si>
    <t>SHP00587</t>
  </si>
  <si>
    <t>BK50587</t>
  </si>
  <si>
    <t>SHP00744</t>
  </si>
  <si>
    <t>BK50744</t>
  </si>
  <si>
    <t>SHP00893</t>
  </si>
  <si>
    <t>BK50893</t>
  </si>
  <si>
    <t>SHP00431</t>
  </si>
  <si>
    <t>BK50431</t>
  </si>
  <si>
    <t>SHP00130</t>
  </si>
  <si>
    <t>BK50130</t>
  </si>
  <si>
    <t>SHP00711</t>
  </si>
  <si>
    <t>BK50711</t>
  </si>
  <si>
    <t>SHP00750</t>
  </si>
  <si>
    <t>BK50750</t>
  </si>
  <si>
    <t>SHP00949</t>
  </si>
  <si>
    <t>BK50949</t>
  </si>
  <si>
    <t>SHP00683</t>
  </si>
  <si>
    <t>BK50683</t>
  </si>
  <si>
    <t>SHP00591</t>
  </si>
  <si>
    <t>BK50591</t>
  </si>
  <si>
    <t>SHP00926</t>
  </si>
  <si>
    <t>BK50926</t>
  </si>
  <si>
    <t>SHP00224</t>
  </si>
  <si>
    <t>BK50224</t>
  </si>
  <si>
    <t>SHP00512</t>
  </si>
  <si>
    <t>BK50512</t>
  </si>
  <si>
    <t>SHP00112</t>
  </si>
  <si>
    <t>BK50112</t>
  </si>
  <si>
    <t>SHP00351</t>
  </si>
  <si>
    <t>BK50351</t>
  </si>
  <si>
    <t>SHP00432</t>
  </si>
  <si>
    <t>BK50432</t>
  </si>
  <si>
    <t>SHP00506</t>
  </si>
  <si>
    <t>BK50506</t>
  </si>
  <si>
    <t>SHP00790</t>
  </si>
  <si>
    <t>BK50790</t>
  </si>
  <si>
    <t>SHP00904</t>
  </si>
  <si>
    <t>BK50904</t>
  </si>
  <si>
    <t>SHP00969</t>
  </si>
  <si>
    <t>BK50969</t>
  </si>
  <si>
    <t>SHP00721</t>
  </si>
  <si>
    <t>BK50721</t>
  </si>
  <si>
    <t>SHP00262</t>
  </si>
  <si>
    <t>BK50262</t>
  </si>
  <si>
    <t>SHP00999</t>
  </si>
  <si>
    <t>BK50999</t>
  </si>
  <si>
    <t>SHP00391</t>
  </si>
  <si>
    <t>BK50391</t>
  </si>
  <si>
    <t>SHP00719</t>
  </si>
  <si>
    <t>BK50719</t>
  </si>
  <si>
    <t>SHP00182</t>
  </si>
  <si>
    <t>BK50182</t>
  </si>
  <si>
    <t>SHP00104</t>
  </si>
  <si>
    <t>BK50104</t>
  </si>
  <si>
    <t>SHP00994</t>
  </si>
  <si>
    <t>BK50994</t>
  </si>
  <si>
    <t>SHP00701</t>
  </si>
  <si>
    <t>BK50701</t>
  </si>
  <si>
    <t>SHP00561</t>
  </si>
  <si>
    <t>BK50561</t>
  </si>
  <si>
    <t>SHP00219</t>
  </si>
  <si>
    <t>BK50219</t>
  </si>
  <si>
    <t>SHP00674</t>
  </si>
  <si>
    <t>BK50674</t>
  </si>
  <si>
    <t>SHP00437</t>
  </si>
  <si>
    <t>BK50437</t>
  </si>
  <si>
    <t>SHP00760</t>
  </si>
  <si>
    <t>BK50760</t>
  </si>
  <si>
    <t>SHP00636</t>
  </si>
  <si>
    <t>BK50636</t>
  </si>
  <si>
    <t>SHP00147</t>
  </si>
  <si>
    <t>BK50147</t>
  </si>
  <si>
    <t>SHP00903</t>
  </si>
  <si>
    <t>BK50903</t>
  </si>
  <si>
    <t>SHP00577</t>
  </si>
  <si>
    <t>BK50577</t>
  </si>
  <si>
    <t>SHP00985</t>
  </si>
  <si>
    <t>BK50985</t>
  </si>
  <si>
    <t>SHP00366</t>
  </si>
  <si>
    <t>BK50366</t>
  </si>
  <si>
    <t>SHP00628</t>
  </si>
  <si>
    <t>BK50628</t>
  </si>
  <si>
    <t>SHP00454</t>
  </si>
  <si>
    <t>BK50454</t>
  </si>
  <si>
    <t>SHP00138</t>
  </si>
  <si>
    <t>BK50138</t>
  </si>
  <si>
    <t>SHP00007</t>
  </si>
  <si>
    <t>BK50007</t>
  </si>
  <si>
    <t>SHP00120</t>
  </si>
  <si>
    <t>BK50120</t>
  </si>
  <si>
    <t>SHP00779</t>
  </si>
  <si>
    <t>BK50779</t>
  </si>
  <si>
    <t>SHP00424</t>
  </si>
  <si>
    <t>BK50424</t>
  </si>
  <si>
    <t>SHP00604</t>
  </si>
  <si>
    <t>BK50604</t>
  </si>
  <si>
    <t>SHP00742</t>
  </si>
  <si>
    <t>BK50742</t>
  </si>
  <si>
    <t>SHP00481</t>
  </si>
  <si>
    <t>BK50481</t>
  </si>
  <si>
    <t>SHP00681</t>
  </si>
  <si>
    <t>BK50681</t>
  </si>
  <si>
    <t>SHP00385</t>
  </si>
  <si>
    <t>BK50385</t>
  </si>
  <si>
    <t>SHP00755</t>
  </si>
  <si>
    <t>BK50755</t>
  </si>
  <si>
    <t>SHP00799</t>
  </si>
  <si>
    <t>BK50799</t>
  </si>
  <si>
    <t>SHP00772</t>
  </si>
  <si>
    <t>BK50772</t>
  </si>
  <si>
    <t>SHP00034</t>
  </si>
  <si>
    <t>BK50034</t>
  </si>
  <si>
    <t>SHP00213</t>
  </si>
  <si>
    <t>BK50213</t>
  </si>
  <si>
    <t>SHP00195</t>
  </si>
  <si>
    <t>BK50195</t>
  </si>
  <si>
    <t>SHP00463</t>
  </si>
  <si>
    <t>BK50463</t>
  </si>
  <si>
    <t>SHP00570</t>
  </si>
  <si>
    <t>BK50570</t>
  </si>
  <si>
    <t>SHP00643</t>
  </si>
  <si>
    <t>BK50643</t>
  </si>
  <si>
    <t>SHP00596</t>
  </si>
  <si>
    <t>BK50596</t>
  </si>
  <si>
    <t>SHP00018</t>
  </si>
  <si>
    <t>BK50018</t>
  </si>
  <si>
    <t>SHP00896</t>
  </si>
  <si>
    <t>BK50896</t>
  </si>
  <si>
    <t>SHP00096</t>
  </si>
  <si>
    <t>BK50096</t>
  </si>
  <si>
    <t>SHP00945</t>
  </si>
  <si>
    <t>BK50945</t>
  </si>
  <si>
    <t>SHP00732</t>
  </si>
  <si>
    <t>BK50732</t>
  </si>
  <si>
    <t>SHP00443</t>
  </si>
  <si>
    <t>BK50443</t>
  </si>
  <si>
    <t>SHP00229</t>
  </si>
  <si>
    <t>BK50229</t>
  </si>
  <si>
    <t>SHP00816</t>
  </si>
  <si>
    <t>BK50816</t>
  </si>
  <si>
    <t>SHP00854</t>
  </si>
  <si>
    <t>BK50854</t>
  </si>
  <si>
    <t>SHP00856</t>
  </si>
  <si>
    <t>BK50856</t>
  </si>
  <si>
    <t>SHP00584</t>
  </si>
  <si>
    <t>BK50584</t>
  </si>
  <si>
    <t>SHP00825</t>
  </si>
  <si>
    <t>BK50825</t>
  </si>
  <si>
    <t>SHP00578</t>
  </si>
  <si>
    <t>BK50578</t>
  </si>
  <si>
    <t>SHP00433</t>
  </si>
  <si>
    <t>BK50433</t>
  </si>
  <si>
    <t>SHP00687</t>
  </si>
  <si>
    <t>BK50687</t>
  </si>
  <si>
    <t>SHP00967</t>
  </si>
  <si>
    <t>BK50967</t>
  </si>
  <si>
    <t>SHP00242</t>
  </si>
  <si>
    <t>BK50242</t>
  </si>
  <si>
    <t>SHP00270</t>
  </si>
  <si>
    <t>BK50270</t>
  </si>
  <si>
    <t>SHP00367</t>
  </si>
  <si>
    <t>BK50367</t>
  </si>
  <si>
    <t>SHP00075</t>
  </si>
  <si>
    <t>BK50075</t>
  </si>
  <si>
    <t>SHP00066</t>
  </si>
  <si>
    <t>BK50066</t>
  </si>
  <si>
    <t>SHP00573</t>
  </si>
  <si>
    <t>BK50573</t>
  </si>
  <si>
    <t>SHP00208</t>
  </si>
  <si>
    <t>BK50208</t>
  </si>
  <si>
    <t>SHP00333</t>
  </si>
  <si>
    <t>BK50333</t>
  </si>
  <si>
    <t>SHP00400</t>
  </si>
  <si>
    <t>BK50400</t>
  </si>
  <si>
    <t>SHP00027</t>
  </si>
  <si>
    <t>BK50027</t>
  </si>
  <si>
    <t>SHP00838</t>
  </si>
  <si>
    <t>BK50838</t>
  </si>
  <si>
    <t>SHP00718</t>
  </si>
  <si>
    <t>BK50718</t>
  </si>
  <si>
    <t>SHP00261</t>
  </si>
  <si>
    <t>BK50261</t>
  </si>
  <si>
    <t>SHP00830</t>
  </si>
  <si>
    <t>BK50830</t>
  </si>
  <si>
    <t>SHP00058</t>
  </si>
  <si>
    <t>BK50058</t>
  </si>
  <si>
    <t>SHP00707</t>
  </si>
  <si>
    <t>BK50707</t>
  </si>
  <si>
    <t>SHP00417</t>
  </si>
  <si>
    <t>BK50417</t>
  </si>
  <si>
    <t>SHP00001</t>
  </si>
  <si>
    <t>BK50001</t>
  </si>
  <si>
    <t>SHP00641</t>
  </si>
  <si>
    <t>BK50641</t>
  </si>
  <si>
    <t>SHP00946</t>
  </si>
  <si>
    <t>BK50946</t>
  </si>
  <si>
    <t>SHP00814</t>
  </si>
  <si>
    <t>BK50814</t>
  </si>
  <si>
    <t>SHP00315</t>
  </si>
  <si>
    <t>BK50315</t>
  </si>
  <si>
    <t>SHP00055</t>
  </si>
  <si>
    <t>BK50055</t>
  </si>
  <si>
    <t>SHP00959</t>
  </si>
  <si>
    <t>BK50959</t>
  </si>
  <si>
    <t>SHP00310</t>
  </si>
  <si>
    <t>BK50310</t>
  </si>
  <si>
    <t>SHP00823</t>
  </si>
  <si>
    <t>BK50823</t>
  </si>
  <si>
    <t>SHP00606</t>
  </si>
  <si>
    <t>BK50606</t>
  </si>
  <si>
    <t>SHP00623</t>
  </si>
  <si>
    <t>BK50623</t>
  </si>
  <si>
    <t>SHP00567</t>
  </si>
  <si>
    <t>BK50567</t>
  </si>
  <si>
    <t>SHP00251</t>
  </si>
  <si>
    <t>BK50251</t>
  </si>
  <si>
    <t>SHP00379</t>
  </si>
  <si>
    <t>BK50379</t>
  </si>
  <si>
    <t>SHP00991</t>
  </si>
  <si>
    <t>BK50991</t>
  </si>
  <si>
    <t>SHP00256</t>
  </si>
  <si>
    <t>BK50256</t>
  </si>
  <si>
    <t>SHP00753</t>
  </si>
  <si>
    <t>BK50753</t>
  </si>
  <si>
    <t>SHP00939</t>
  </si>
  <si>
    <t>BK50939</t>
  </si>
  <si>
    <t>SHP00097</t>
  </si>
  <si>
    <t>BK50097</t>
  </si>
  <si>
    <t>SHP00009</t>
  </si>
  <si>
    <t>BK50009</t>
  </si>
  <si>
    <t>SHP00894</t>
  </si>
  <si>
    <t>BK50894</t>
  </si>
  <si>
    <t>SHP00031</t>
  </si>
  <si>
    <t>BK50031</t>
  </si>
  <si>
    <t>SHP00153</t>
  </si>
  <si>
    <t>BK50153</t>
  </si>
  <si>
    <t>SHP00976</t>
  </si>
  <si>
    <t>BK50976</t>
  </si>
  <si>
    <t>SHP00789</t>
  </si>
  <si>
    <t>BK50789</t>
  </si>
  <si>
    <t>SHP00919</t>
  </si>
  <si>
    <t>BK50919</t>
  </si>
  <si>
    <t>SHP00205</t>
  </si>
  <si>
    <t>BK50205</t>
  </si>
  <si>
    <t>SHP00510</t>
  </si>
  <si>
    <t>BK50510</t>
  </si>
  <si>
    <t>SHP00725</t>
  </si>
  <si>
    <t>BK50725</t>
  </si>
  <si>
    <t>SHP00735</t>
  </si>
  <si>
    <t>BK50735</t>
  </si>
  <si>
    <t>SHP00685</t>
  </si>
  <si>
    <t>BK50685</t>
  </si>
  <si>
    <t>SHP00030</t>
  </si>
  <si>
    <t>BK50030</t>
  </si>
  <si>
    <t>SHP00566</t>
  </si>
  <si>
    <t>BK50566</t>
  </si>
  <si>
    <t>SHP00093</t>
  </si>
  <si>
    <t>BK50093</t>
  </si>
  <si>
    <t>SHP00323</t>
  </si>
  <si>
    <t>BK50323</t>
  </si>
  <si>
    <t>SHP00663</t>
  </si>
  <si>
    <t>BK50663</t>
  </si>
  <si>
    <t>SHP00563</t>
  </si>
  <si>
    <t>BK50563</t>
  </si>
  <si>
    <t>SHP00402</t>
  </si>
  <si>
    <t>BK50402</t>
  </si>
  <si>
    <t>SHP00091</t>
  </si>
  <si>
    <t>BK50091</t>
  </si>
  <si>
    <t>SHP00134</t>
  </si>
  <si>
    <t>BK50134</t>
  </si>
  <si>
    <t>SHP00913</t>
  </si>
  <si>
    <t>BK50913</t>
  </si>
  <si>
    <t>SHP00726</t>
  </si>
  <si>
    <t>BK50726</t>
  </si>
  <si>
    <t>SHP00371</t>
  </si>
  <si>
    <t>BK50371</t>
  </si>
  <si>
    <t>SHP00951</t>
  </si>
  <si>
    <t>BK50951</t>
  </si>
  <si>
    <t>SHP00548</t>
  </si>
  <si>
    <t>BK50548</t>
  </si>
  <si>
    <t>SHP00626</t>
  </si>
  <si>
    <t>BK50626</t>
  </si>
  <si>
    <t>SHP00908</t>
  </si>
  <si>
    <t>BK50908</t>
  </si>
  <si>
    <t>SHP00704</t>
  </si>
  <si>
    <t>BK50704</t>
  </si>
  <si>
    <t>SHP00914</t>
  </si>
  <si>
    <t>BK50914</t>
  </si>
  <si>
    <t>SHP00997</t>
  </si>
  <si>
    <t>BK50997</t>
  </si>
  <si>
    <t>SHP00804</t>
  </si>
  <si>
    <t>BK50804</t>
  </si>
  <si>
    <t>SHP00509</t>
  </si>
  <si>
    <t>BK50509</t>
  </si>
  <si>
    <t>SHP00715</t>
  </si>
  <si>
    <t>BK50715</t>
  </si>
  <si>
    <t>SHP00041</t>
  </si>
  <si>
    <t>BK50041</t>
  </si>
  <si>
    <t>SHP00193</t>
  </si>
  <si>
    <t>BK50193</t>
  </si>
  <si>
    <t>SHP00090</t>
  </si>
  <si>
    <t>BK50090</t>
  </si>
  <si>
    <t>SHP00314</t>
  </si>
  <si>
    <t>BK50314</t>
  </si>
  <si>
    <t>SHP00979</t>
  </si>
  <si>
    <t>BK50979</t>
  </si>
  <si>
    <t>SHP00149</t>
  </si>
  <si>
    <t>BK50149</t>
  </si>
  <si>
    <t>SHP00191</t>
  </si>
  <si>
    <t>BK50191</t>
  </si>
  <si>
    <t>SHP00309</t>
  </si>
  <si>
    <t>BK50309</t>
  </si>
  <si>
    <t>SHP00953</t>
  </si>
  <si>
    <t>BK50953</t>
  </si>
  <si>
    <t>SHP00495</t>
  </si>
  <si>
    <t>BK50495</t>
  </si>
  <si>
    <t>SHP00049</t>
  </si>
  <si>
    <t>BK50049</t>
  </si>
  <si>
    <t>SHP00190</t>
  </si>
  <si>
    <t>BK50190</t>
  </si>
  <si>
    <t>SHP00163</t>
  </si>
  <si>
    <t>BK50163</t>
  </si>
  <si>
    <t>SHP00565</t>
  </si>
  <si>
    <t>BK50565</t>
  </si>
  <si>
    <t>SHP00768</t>
  </si>
  <si>
    <t>BK50768</t>
  </si>
  <si>
    <t>SHP00900</t>
  </si>
  <si>
    <t>BK50900</t>
  </si>
  <si>
    <t>SHP00408</t>
  </si>
  <si>
    <t>BK50408</t>
  </si>
  <si>
    <t>SHP00250</t>
  </si>
  <si>
    <t>BK50250</t>
  </si>
  <si>
    <t>SHP00482</t>
  </si>
  <si>
    <t>BK50482</t>
  </si>
  <si>
    <t>SHP00472</t>
  </si>
  <si>
    <t>BK50472</t>
  </si>
  <si>
    <t>SHP00650</t>
  </si>
  <si>
    <t>BK50650</t>
  </si>
  <si>
    <t>SHP00359</t>
  </si>
  <si>
    <t>BK50359</t>
  </si>
  <si>
    <t>SHP00327</t>
  </si>
  <si>
    <t>BK50327</t>
  </si>
  <si>
    <t>SHP00236</t>
  </si>
  <si>
    <t>BK50236</t>
  </si>
  <si>
    <t>SHP00619</t>
  </si>
  <si>
    <t>BK50619</t>
  </si>
  <si>
    <t>SHP00390</t>
  </si>
  <si>
    <t>BK50390</t>
  </si>
  <si>
    <t>SHP00253</t>
  </si>
  <si>
    <t>BK50253</t>
  </si>
  <si>
    <t>SHP00782</t>
  </si>
  <si>
    <t>BK50782</t>
  </si>
  <si>
    <t>SHP00520</t>
  </si>
  <si>
    <t>BK50520</t>
  </si>
  <si>
    <t>SHP00045</t>
  </si>
  <si>
    <t>BK50045</t>
  </si>
  <si>
    <t>SHP00174</t>
  </si>
  <si>
    <t>BK50174</t>
  </si>
  <si>
    <t>SHP00769</t>
  </si>
  <si>
    <t>BK50769</t>
  </si>
  <si>
    <t>SHP00982</t>
  </si>
  <si>
    <t>BK50982</t>
  </si>
  <si>
    <t>SHP00234</t>
  </si>
  <si>
    <t>BK50234</t>
  </si>
  <si>
    <t>SHP00318</t>
  </si>
  <si>
    <t>BK50318</t>
  </si>
  <si>
    <t>SHP00665</t>
  </si>
  <si>
    <t>BK50665</t>
  </si>
  <si>
    <t>SHP00200</t>
  </si>
  <si>
    <t>BK50200</t>
  </si>
  <si>
    <t>SHP00527</t>
  </si>
  <si>
    <t>BK50527</t>
  </si>
  <si>
    <t>SHP00405</t>
  </si>
  <si>
    <t>BK50405</t>
  </si>
  <si>
    <t>SHP00392</t>
  </si>
  <si>
    <t>BK50392</t>
  </si>
  <si>
    <t>SHP00216</t>
  </si>
  <si>
    <t>BK50216</t>
  </si>
  <si>
    <t>SHP00294</t>
  </si>
  <si>
    <t>BK50294</t>
  </si>
  <si>
    <t>SHP00039</t>
  </si>
  <si>
    <t>BK50039</t>
  </si>
  <si>
    <t>SHP00861</t>
  </si>
  <si>
    <t>BK50861</t>
  </si>
  <si>
    <t>SHP00672</t>
  </si>
  <si>
    <t>BK50672</t>
  </si>
  <si>
    <t>SHP00094</t>
  </si>
  <si>
    <t>BK50094</t>
  </si>
  <si>
    <t>SHP00835</t>
  </si>
  <si>
    <t>BK50835</t>
  </si>
  <si>
    <t>SHP00930</t>
  </si>
  <si>
    <t>BK50930</t>
  </si>
  <si>
    <t>SHP00111</t>
  </si>
  <si>
    <t>BK50111</t>
  </si>
  <si>
    <t>SHP00349</t>
  </si>
  <si>
    <t>BK50349</t>
  </si>
  <si>
    <t>SHP00981</t>
  </si>
  <si>
    <t>BK50981</t>
  </si>
  <si>
    <t>SHP00260</t>
  </si>
  <si>
    <t>BK50260</t>
  </si>
  <si>
    <t>SHP00292</t>
  </si>
  <si>
    <t>BK50292</t>
  </si>
  <si>
    <t>SHP00124</t>
  </si>
  <si>
    <t>BK50124</t>
  </si>
  <si>
    <t>SHP00920</t>
  </si>
  <si>
    <t>BK50920</t>
  </si>
  <si>
    <t>SHP00642</t>
  </si>
  <si>
    <t>BK50642</t>
  </si>
  <si>
    <t>SHP00373</t>
  </si>
  <si>
    <t>BK50373</t>
  </si>
  <si>
    <t>SHP00603</t>
  </si>
  <si>
    <t>BK50603</t>
  </si>
  <si>
    <t>SHP00549</t>
  </si>
  <si>
    <t>BK50549</t>
  </si>
  <si>
    <t>SHP00534</t>
  </si>
  <si>
    <t>BK50534</t>
  </si>
  <si>
    <t>SHP00555</t>
  </si>
  <si>
    <t>BK50555</t>
  </si>
  <si>
    <t>SHP00803</t>
  </si>
  <si>
    <t>BK50803</t>
  </si>
  <si>
    <t>SHP00079</t>
  </si>
  <si>
    <t>BK50079</t>
  </si>
  <si>
    <t>SHP00855</t>
  </si>
  <si>
    <t>BK50855</t>
  </si>
  <si>
    <t>SHP00703</t>
  </si>
  <si>
    <t>BK50703</t>
  </si>
  <si>
    <t>SHP00870</t>
  </si>
  <si>
    <t>BK50870</t>
  </si>
  <si>
    <t>SHP00807</t>
  </si>
  <si>
    <t>BK50807</t>
  </si>
  <si>
    <t>SHP00899</t>
  </si>
  <si>
    <t>BK50899</t>
  </si>
  <si>
    <t>SHP00368</t>
  </si>
  <si>
    <t>BK50368</t>
  </si>
  <si>
    <t>SHP00638</t>
  </si>
  <si>
    <t>BK50638</t>
  </si>
  <si>
    <t>SHP00374</t>
  </si>
  <si>
    <t>BK50374</t>
  </si>
  <si>
    <t>SHP00122</t>
  </si>
  <si>
    <t>BK50122</t>
  </si>
  <si>
    <t>SHP00035</t>
  </si>
  <si>
    <t>BK50035</t>
  </si>
  <si>
    <t>SHP00331</t>
  </si>
  <si>
    <t>BK50331</t>
  </si>
  <si>
    <t>SHP01000</t>
  </si>
  <si>
    <t>BK51000</t>
  </si>
  <si>
    <t>SHP00645</t>
  </si>
  <si>
    <t>BK50645</t>
  </si>
  <si>
    <t>SHP00812</t>
  </si>
  <si>
    <t>BK50812</t>
  </si>
  <si>
    <t>SHP00043</t>
  </si>
  <si>
    <t>BK50043</t>
  </si>
  <si>
    <t>SHP00582</t>
  </si>
  <si>
    <t>BK50582</t>
  </si>
  <si>
    <t>SHP00275</t>
  </si>
  <si>
    <t>BK50275</t>
  </si>
  <si>
    <t>SHP00845</t>
  </si>
  <si>
    <t>BK50845</t>
  </si>
  <si>
    <t>SHP00884</t>
  </si>
  <si>
    <t>BK50884</t>
  </si>
  <si>
    <t>SHP00928</t>
  </si>
  <si>
    <t>BK50928</t>
  </si>
  <si>
    <t>SHP00844</t>
  </si>
  <si>
    <t>BK50844</t>
  </si>
  <si>
    <t>SHP00538</t>
  </si>
  <si>
    <t>BK50538</t>
  </si>
  <si>
    <t>SHP00631</t>
  </si>
  <si>
    <t>BK50631</t>
  </si>
  <si>
    <t>SHP00080</t>
  </si>
  <si>
    <t>BK50080</t>
  </si>
  <si>
    <t>SHP00319</t>
  </si>
  <si>
    <t>BK50319</t>
  </si>
  <si>
    <t>SHP00151</t>
  </si>
  <si>
    <t>BK50151</t>
  </si>
  <si>
    <t>SHP00579</t>
  </si>
  <si>
    <t>BK50579</t>
  </si>
  <si>
    <t>SHP00202</t>
  </si>
  <si>
    <t>BK50202</t>
  </si>
  <si>
    <t>SHP00592</t>
  </si>
  <si>
    <t>BK50592</t>
  </si>
  <si>
    <t>SHP00649</t>
  </si>
  <si>
    <t>BK50649</t>
  </si>
  <si>
    <t>SHP00987</t>
  </si>
  <si>
    <t>BK50987</t>
  </si>
  <si>
    <t>SHP00757</t>
  </si>
  <si>
    <t>BK50757</t>
  </si>
  <si>
    <t>SHP00690</t>
  </si>
  <si>
    <t>BK50690</t>
  </si>
  <si>
    <t>SHP00915</t>
  </si>
  <si>
    <t>BK50915</t>
  </si>
  <si>
    <t>SHP00118</t>
  </si>
  <si>
    <t>BK50118</t>
  </si>
  <si>
    <t>SHP00057</t>
  </si>
  <si>
    <t>BK50057</t>
  </si>
  <si>
    <t>SHP00522</t>
  </si>
  <si>
    <t>BK50522</t>
  </si>
  <si>
    <t>SHP00021</t>
  </si>
  <si>
    <t>BK50021</t>
  </si>
  <si>
    <t>SHP00449</t>
  </si>
  <si>
    <t>BK50449</t>
  </si>
  <si>
    <t>SHP00569</t>
  </si>
  <si>
    <t>BK50569</t>
  </si>
  <si>
    <t>SHP00988</t>
  </si>
  <si>
    <t>BK50988</t>
  </si>
  <si>
    <t>SHP00912</t>
  </si>
  <si>
    <t>BK50912</t>
  </si>
  <si>
    <t>SHP00164</t>
  </si>
  <si>
    <t>BK50164</t>
  </si>
  <si>
    <t>SHP00752</t>
  </si>
  <si>
    <t>BK50752</t>
  </si>
  <si>
    <t>SHP00188</t>
  </si>
  <si>
    <t>BK50188</t>
  </si>
  <si>
    <t>SHP00439</t>
  </si>
  <si>
    <t>BK50439</t>
  </si>
  <si>
    <t>SHP00113</t>
  </si>
  <si>
    <t>BK50113</t>
  </si>
  <si>
    <t>SHP00921</t>
  </si>
  <si>
    <t>BK50921</t>
  </si>
  <si>
    <t>SHP00127</t>
  </si>
  <si>
    <t>BK50127</t>
  </si>
  <si>
    <t>SHP00478</t>
  </si>
  <si>
    <t>BK50478</t>
  </si>
  <si>
    <t>SHP00068</t>
  </si>
  <si>
    <t>BK50068</t>
  </si>
  <si>
    <t>SHP00398</t>
  </si>
  <si>
    <t>BK50398</t>
  </si>
  <si>
    <t>SHP00771</t>
  </si>
  <si>
    <t>BK50771</t>
  </si>
  <si>
    <t>SHP00158</t>
  </si>
  <si>
    <t>BK50158</t>
  </si>
  <si>
    <t>SHP00024</t>
  </si>
  <si>
    <t>BK50024</t>
  </si>
  <si>
    <t>SHP00597</t>
  </si>
  <si>
    <t>BK50597</t>
  </si>
  <si>
    <t>SHP00157</t>
  </si>
  <si>
    <t>BK50157</t>
  </si>
  <si>
    <t>SHP00526</t>
  </si>
  <si>
    <t>BK50526</t>
  </si>
  <si>
    <t>SHP00651</t>
  </si>
  <si>
    <t>BK50651</t>
  </si>
  <si>
    <t>SHP00231</t>
  </si>
  <si>
    <t>BK50231</t>
  </si>
  <si>
    <t>SHP00984</t>
  </si>
  <si>
    <t>BK50984</t>
  </si>
  <si>
    <t>SHP00086</t>
  </si>
  <si>
    <t>BK50086</t>
  </si>
  <si>
    <t>SHP00350</t>
  </si>
  <si>
    <t>BK50350</t>
  </si>
  <si>
    <t>SHP00142</t>
  </si>
  <si>
    <t>BK50142</t>
  </si>
  <si>
    <t>SHP00925</t>
  </si>
  <si>
    <t>BK50925</t>
  </si>
  <si>
    <t>SHP00444</t>
  </si>
  <si>
    <t>BK50444</t>
  </si>
  <si>
    <t>5 clients generated the highest total revenue</t>
  </si>
  <si>
    <t>5 clients generated the highest total profit</t>
  </si>
  <si>
    <t>5 vessels generated the highest total profit</t>
  </si>
  <si>
    <t>Top 3 trade lane generated the highest total profit</t>
  </si>
  <si>
    <t>Delay reason occurred most frequently across all shipments, and how many shipments were affected?</t>
  </si>
  <si>
    <t>Total Delayed Sshipment</t>
  </si>
  <si>
    <t>labour strike was the main reason to have delays in shipmenet most of the time</t>
  </si>
  <si>
    <t>percentage of shipments that were On-Time/Completed</t>
  </si>
  <si>
    <t>client experienced the highest total delay hours across all their shipments</t>
  </si>
  <si>
    <t>1380 hrs</t>
  </si>
  <si>
    <t>Trade lane has the highest average travel duration?</t>
  </si>
  <si>
    <t>Highest Profit Margin Shipment</t>
  </si>
  <si>
    <t>Fuel Efficiency</t>
  </si>
  <si>
    <t>Sum of Revenue_USD</t>
  </si>
  <si>
    <t>Sum of Profit_USD</t>
  </si>
  <si>
    <t>Grand Total</t>
  </si>
  <si>
    <t>Count of Shipment_ID</t>
  </si>
  <si>
    <t>Sum of Fuel_Cost_USD</t>
  </si>
  <si>
    <t>Average of Delay_Hours</t>
  </si>
  <si>
    <t>Sum of CO2_Emission_Tonnes</t>
  </si>
  <si>
    <t>MGS EXECUTIVE OPERATIONS DASHBOARD</t>
  </si>
  <si>
    <t>FY 2025 || Revenue  | Profit | Operations | Delivery | Sustainability</t>
  </si>
  <si>
    <t>TOTAL REVENUE</t>
  </si>
  <si>
    <t>TOTAL PROFIT</t>
  </si>
  <si>
    <t>PROFIT MARGIN</t>
  </si>
  <si>
    <t>TOTAL SHIPMENTS</t>
  </si>
  <si>
    <t>ON-TIME DELIVERY</t>
  </si>
  <si>
    <t>AVERAGE DELAY</t>
  </si>
  <si>
    <t>TOTAL FUEL COST</t>
  </si>
  <si>
    <t>TOTAL CO2 EMISSIONS</t>
  </si>
  <si>
    <t>12.83 Hours</t>
  </si>
  <si>
    <t>111524.1 Kg CO2</t>
  </si>
  <si>
    <t>MGS Operations Analytics | FY2025 | Executive Dashboard</t>
  </si>
  <si>
    <t>(blank)</t>
  </si>
  <si>
    <t>Count of Delay_Reason</t>
  </si>
  <si>
    <t>Sum of Delay_Hours</t>
  </si>
  <si>
    <t>Average of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</si>
</sst>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"/>
    <numFmt numFmtId="166" formatCode="0.000"/>
    <numFmt numFmtId="167" formatCode="_-[$$-409]* #,##0.00_ ;_-[$$-409]* \-#,##0.00\ ;_-[$$-409]* &quot;-&quot;??_ ;_-@_ "/>
    <numFmt numFmtId="168" formatCode="0.000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scheme val="minor"/>
    </font>
    <font>
      <b/>
      <u/>
      <sz val="30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3" borderId="0" xfId="0" applyFill="1"/>
    <xf numFmtId="0" fontId="0" fillId="4" borderId="0" xfId="0" applyFill="1"/>
    <xf numFmtId="0" fontId="7" fillId="0" borderId="0" xfId="0" applyFont="1"/>
    <xf numFmtId="10" fontId="0" fillId="0" borderId="0" xfId="0" applyNumberFormat="1"/>
    <xf numFmtId="168" fontId="0" fillId="0" borderId="0" xfId="0" applyNumberFormat="1"/>
    <xf numFmtId="0" fontId="8" fillId="0" borderId="0" xfId="0" applyFont="1"/>
    <xf numFmtId="0" fontId="4" fillId="0" borderId="0" xfId="0" applyFont="1"/>
    <xf numFmtId="0" fontId="0" fillId="3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7" fontId="3" fillId="2" borderId="4" xfId="0" applyNumberFormat="1" applyFont="1" applyFill="1" applyBorder="1" applyAlignment="1">
      <alignment horizontal="left" vertical="center"/>
    </xf>
    <xf numFmtId="167" fontId="3" fillId="2" borderId="0" xfId="0" applyNumberFormat="1" applyFont="1" applyFill="1" applyBorder="1" applyAlignment="1">
      <alignment horizontal="left" vertical="center"/>
    </xf>
    <xf numFmtId="167" fontId="3" fillId="2" borderId="5" xfId="0" applyNumberFormat="1" applyFont="1" applyFill="1" applyBorder="1" applyAlignment="1">
      <alignment horizontal="left" vertical="center"/>
    </xf>
    <xf numFmtId="167" fontId="3" fillId="2" borderId="6" xfId="0" applyNumberFormat="1" applyFont="1" applyFill="1" applyBorder="1" applyAlignment="1">
      <alignment horizontal="left" vertical="center"/>
    </xf>
    <xf numFmtId="167" fontId="3" fillId="2" borderId="7" xfId="0" applyNumberFormat="1" applyFont="1" applyFill="1" applyBorder="1" applyAlignment="1">
      <alignment horizontal="left" vertical="center"/>
    </xf>
    <xf numFmtId="167" fontId="3" fillId="2" borderId="8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7" fontId="1" fillId="0" borderId="0" xfId="0" applyNumberFormat="1" applyFont="1"/>
    <xf numFmtId="167" fontId="0" fillId="0" borderId="0" xfId="0" applyNumberFormat="1"/>
    <xf numFmtId="0" fontId="0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168" formatCode="0.0000000"/>
    </dxf>
    <dxf>
      <numFmt numFmtId="166" formatCode="0.000"/>
    </dxf>
    <dxf>
      <numFmt numFmtId="167" formatCode="_-[$$-409]* #,##0.00_ ;_-[$$-409]* \-#,##0.00\ ;_-[$$-409]* &quot;-&quot;??_ ;_-@_ "/>
    </dxf>
    <dxf>
      <numFmt numFmtId="2" formatCode="0.00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[MGS-Project_ATLAS.xlsx]shipment trade lines!PivotTable3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'shipment trade lines'!$B$3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'shipment trade lines'!$A$4:$A$9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'shipment trade lines'!$B$4:$B$9</c:f>
              <c:numCache>
                <c:formatCode>General</c:formatCode>
                <c:ptCount val="5"/>
                <c:pt idx="0">
                  <c:v>304</c:v>
                </c:pt>
                <c:pt idx="1">
                  <c:v>279</c:v>
                </c:pt>
                <c:pt idx="2">
                  <c:v>143</c:v>
                </c:pt>
                <c:pt idx="3">
                  <c:v>138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4-4301-A80B-A9EC46553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68616"/>
        <c:axId val="188054536"/>
      </c:barChart>
      <c:catAx>
        <c:axId val="187268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4536"/>
        <c:crosses val="autoZero"/>
        <c:auto val="1"/>
        <c:lblAlgn val="ctr"/>
        <c:lblOffset val="100"/>
        <c:noMultiLvlLbl val="0"/>
      </c:catAx>
      <c:valAx>
        <c:axId val="18805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[MGS-Project_ATLAS.xlsx]Revenue by trade lane!PivotTable4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trade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trade lane'!$A$4:$A$9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'Revenue by trade lane'!$B$4:$B$9</c:f>
              <c:numCache>
                <c:formatCode>_-[$$-409]* #,##0.00_ ;_-[$$-409]* \-#,##0.00\ ;_-[$$-409]* "-"??_ ;_-@_ </c:formatCode>
                <c:ptCount val="5"/>
                <c:pt idx="0">
                  <c:v>16706588.470000006</c:v>
                </c:pt>
                <c:pt idx="1">
                  <c:v>16324373.710000003</c:v>
                </c:pt>
                <c:pt idx="2">
                  <c:v>8915393.7600000016</c:v>
                </c:pt>
                <c:pt idx="3">
                  <c:v>8215702.5699999966</c:v>
                </c:pt>
                <c:pt idx="4">
                  <c:v>8160410.2299999967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C-4BBE-848F-ABEF69AF2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88904"/>
        <c:axId val="187195912"/>
      </c:barChart>
      <c:catAx>
        <c:axId val="1108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5912"/>
        <c:crosses val="autoZero"/>
        <c:auto val="1"/>
        <c:lblAlgn val="ctr"/>
        <c:lblOffset val="100"/>
        <c:noMultiLvlLbl val="0"/>
      </c:catAx>
      <c:valAx>
        <c:axId val="18719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[MGS-Project_ATLAS.xlsx]Profit by trade lane!PivotTable5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trade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trade lane'!$A$4:$A$9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'Profit by trade lane'!$B$4:$B$9</c:f>
              <c:numCache>
                <c:formatCode>_-[$$-409]* #,##0.00_ ;_-[$$-409]* \-#,##0.00\ ;_-[$$-409]* "-"??_ ;_-@_ </c:formatCode>
                <c:ptCount val="5"/>
                <c:pt idx="0">
                  <c:v>10779754.199999997</c:v>
                </c:pt>
                <c:pt idx="1">
                  <c:v>10575408.689999996</c:v>
                </c:pt>
                <c:pt idx="2">
                  <c:v>5791237.8300000029</c:v>
                </c:pt>
                <c:pt idx="3">
                  <c:v>5340229.1100000003</c:v>
                </c:pt>
                <c:pt idx="4">
                  <c:v>5253688.7700000014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103-A176-F7705A5AA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395208"/>
        <c:axId val="689397256"/>
      </c:barChart>
      <c:catAx>
        <c:axId val="68939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7256"/>
        <c:crosses val="autoZero"/>
        <c:auto val="1"/>
        <c:lblAlgn val="ctr"/>
        <c:lblOffset val="100"/>
        <c:noMultiLvlLbl val="0"/>
      </c:catAx>
      <c:valAx>
        <c:axId val="68939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[MGS-Project_ATLAS.xlsx]On time delivery!PivotTable6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'On time delivery'!$B$3:$B$4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 time delivery'!$A$5:$A$10</c:f>
              <c:strCache>
                <c:ptCount val="5"/>
                <c:pt idx="0">
                  <c:v>Asia-Europe</c:v>
                </c:pt>
                <c:pt idx="1">
                  <c:v>Custom</c:v>
                </c:pt>
                <c:pt idx="2">
                  <c:v>Middle East-India</c:v>
                </c:pt>
                <c:pt idx="3">
                  <c:v>South Asia</c:v>
                </c:pt>
                <c:pt idx="4">
                  <c:v>Trans-Pacific</c:v>
                </c:pt>
              </c:strCache>
            </c:strRef>
          </c:cat>
          <c:val>
            <c:numRef>
              <c:f>'On time delivery'!$B$5:$B$10</c:f>
              <c:numCache>
                <c:formatCode>General</c:formatCode>
                <c:ptCount val="5"/>
                <c:pt idx="0">
                  <c:v>121</c:v>
                </c:pt>
                <c:pt idx="1">
                  <c:v>134</c:v>
                </c:pt>
                <c:pt idx="2">
                  <c:v>50</c:v>
                </c:pt>
                <c:pt idx="3">
                  <c:v>54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2-4DEC-BBA9-FDC64B70F8E5}"/>
            </c:ext>
          </c:extLst>
        </c:ser>
        <c:ser>
          <c:idx val="1"/>
          <c:order val="1"/>
          <c:tx>
            <c:strRef>
              <c:f>'On time delivery'!$C$3:$C$4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 time delivery'!$A$5:$A$10</c:f>
              <c:strCache>
                <c:ptCount val="5"/>
                <c:pt idx="0">
                  <c:v>Asia-Europe</c:v>
                </c:pt>
                <c:pt idx="1">
                  <c:v>Custom</c:v>
                </c:pt>
                <c:pt idx="2">
                  <c:v>Middle East-India</c:v>
                </c:pt>
                <c:pt idx="3">
                  <c:v>South Asia</c:v>
                </c:pt>
                <c:pt idx="4">
                  <c:v>Trans-Pacific</c:v>
                </c:pt>
              </c:strCache>
            </c:strRef>
          </c:cat>
          <c:val>
            <c:numRef>
              <c:f>'On time delivery'!$C$5:$C$10</c:f>
              <c:numCache>
                <c:formatCode>General</c:formatCode>
                <c:ptCount val="5"/>
                <c:pt idx="0">
                  <c:v>158</c:v>
                </c:pt>
                <c:pt idx="1">
                  <c:v>170</c:v>
                </c:pt>
                <c:pt idx="2">
                  <c:v>88</c:v>
                </c:pt>
                <c:pt idx="3">
                  <c:v>89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2-4DEC-BBA9-FDC64B70F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408"/>
        <c:axId val="616456"/>
      </c:barChart>
      <c:catAx>
        <c:axId val="61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56"/>
        <c:crosses val="autoZero"/>
        <c:auto val="1"/>
        <c:lblAlgn val="ctr"/>
        <c:lblOffset val="100"/>
        <c:noMultiLvlLbl val="0"/>
      </c:catAx>
      <c:valAx>
        <c:axId val="61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[MGS-Project_ATLAS.xlsx]Fuel cost by trade line!PivotTable7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cost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'Fuel cost by trade line'!$B$3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'Fuel cost by trade line'!$A$4:$A$9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Trans-Pacific</c:v>
                </c:pt>
                <c:pt idx="4">
                  <c:v>Middle East-India</c:v>
                </c:pt>
              </c:strCache>
            </c:strRef>
          </c:cat>
          <c:val>
            <c:numRef>
              <c:f>'Fuel cost by trade line'!$B$4:$B$9</c:f>
              <c:numCache>
                <c:formatCode>_-[$$-409]* #,##0.00_ ;_-[$$-409]* \-#,##0.00\ ;_-[$$-409]* "-"??_ ;_-@_ </c:formatCode>
                <c:ptCount val="5"/>
                <c:pt idx="0">
                  <c:v>3851988.5299999993</c:v>
                </c:pt>
                <c:pt idx="1">
                  <c:v>3735675.350000002</c:v>
                </c:pt>
                <c:pt idx="2">
                  <c:v>2061213.5</c:v>
                </c:pt>
                <c:pt idx="3">
                  <c:v>1887010.4300000004</c:v>
                </c:pt>
                <c:pt idx="4">
                  <c:v>1847015.4500000007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C-4B90-898D-17D1B930E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327688"/>
        <c:axId val="1867049992"/>
      </c:barChart>
      <c:catAx>
        <c:axId val="71232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49992"/>
        <c:crosses val="autoZero"/>
        <c:auto val="1"/>
        <c:lblAlgn val="ctr"/>
        <c:lblOffset val="100"/>
        <c:noMultiLvlLbl val="0"/>
      </c:catAx>
      <c:valAx>
        <c:axId val="186704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2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[MGS-Project_ATLAS.xlsx]Aavg Delay by Teade lane!PivotTable8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delay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'Aavg Delay by Teade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'Aavg Delay by Teade lane'!$A$4:$A$9</c:f>
              <c:strCache>
                <c:ptCount val="5"/>
                <c:pt idx="0">
                  <c:v>Asia-Europe</c:v>
                </c:pt>
                <c:pt idx="1">
                  <c:v>Middle East-India</c:v>
                </c:pt>
                <c:pt idx="2">
                  <c:v>South Asia</c:v>
                </c:pt>
                <c:pt idx="3">
                  <c:v>Trans-Pacific</c:v>
                </c:pt>
                <c:pt idx="4">
                  <c:v>Custom</c:v>
                </c:pt>
              </c:strCache>
            </c:strRef>
          </c:cat>
          <c:val>
            <c:numRef>
              <c:f>'Aavg Delay by Teade lane'!$B$4:$B$9</c:f>
              <c:numCache>
                <c:formatCode>0.000</c:formatCode>
                <c:ptCount val="5"/>
                <c:pt idx="0">
                  <c:v>13.218637992831541</c:v>
                </c:pt>
                <c:pt idx="1">
                  <c:v>13.188405797101449</c:v>
                </c:pt>
                <c:pt idx="2">
                  <c:v>12.867132867132867</c:v>
                </c:pt>
                <c:pt idx="3">
                  <c:v>12.470588235294118</c:v>
                </c:pt>
                <c:pt idx="4">
                  <c:v>12.447368421052632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9-4E9A-9454-EFE2255E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41256"/>
        <c:axId val="55543304"/>
      </c:barChart>
      <c:catAx>
        <c:axId val="55541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3304"/>
        <c:crosses val="autoZero"/>
        <c:auto val="1"/>
        <c:lblAlgn val="ctr"/>
        <c:lblOffset val="100"/>
        <c:noMultiLvlLbl val="0"/>
      </c:catAx>
      <c:valAx>
        <c:axId val="5554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[MGS-Project_ATLAS.xlsx]Co2 Emission!PivotTable9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'Co2 Emission'!$B$3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'Co2 Emission'!$A$4:$A$9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Trans-Pacific</c:v>
                </c:pt>
                <c:pt idx="4">
                  <c:v>Middle East-India</c:v>
                </c:pt>
              </c:strCache>
            </c:strRef>
          </c:cat>
          <c:val>
            <c:numRef>
              <c:f>'Co2 Emission'!$B$4:$B$9</c:f>
              <c:numCache>
                <c:formatCode>General</c:formatCode>
                <c:ptCount val="5"/>
                <c:pt idx="0">
                  <c:v>32099.819999999971</c:v>
                </c:pt>
                <c:pt idx="1">
                  <c:v>31130.680000000008</c:v>
                </c:pt>
                <c:pt idx="2">
                  <c:v>17176.810000000001</c:v>
                </c:pt>
                <c:pt idx="3">
                  <c:v>15725.020000000002</c:v>
                </c:pt>
                <c:pt idx="4">
                  <c:v>15391.769999999993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1-405D-85B4-0A29BABB6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14280"/>
        <c:axId val="42280456"/>
      </c:barChart>
      <c:catAx>
        <c:axId val="188214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0456"/>
        <c:crosses val="autoZero"/>
        <c:auto val="1"/>
        <c:lblAlgn val="ctr"/>
        <c:lblOffset val="100"/>
        <c:noMultiLvlLbl val="0"/>
      </c:catAx>
      <c:valAx>
        <c:axId val="4228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[MGS-Project_ATLAS.xlsx]Revenue by profit per month!PivotTable2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profit per month'!$B$3</c:f>
              <c:strCache>
                <c:ptCount val="1"/>
                <c:pt idx="0">
                  <c:v>Sum of Revenue_USD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profit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profit per month'!$B$4:$B$16</c:f>
              <c:numCache>
                <c:formatCode>_-[$$-409]* #,##0.00_ ;_-[$$-409]* \-#,##0.00\ ;_-[$$-409]* "-"??_ ;_-@_ </c:formatCode>
                <c:ptCount val="12"/>
                <c:pt idx="0">
                  <c:v>4215489.3600000003</c:v>
                </c:pt>
                <c:pt idx="1">
                  <c:v>4457132.9699999988</c:v>
                </c:pt>
                <c:pt idx="2">
                  <c:v>4724645.6000000015</c:v>
                </c:pt>
                <c:pt idx="3">
                  <c:v>5004448.0799999973</c:v>
                </c:pt>
                <c:pt idx="4">
                  <c:v>5380322.8899999978</c:v>
                </c:pt>
                <c:pt idx="5">
                  <c:v>5491117.1900000004</c:v>
                </c:pt>
                <c:pt idx="6">
                  <c:v>4205639.0999999987</c:v>
                </c:pt>
                <c:pt idx="7">
                  <c:v>5057018.07</c:v>
                </c:pt>
                <c:pt idx="8">
                  <c:v>7145378.2399999974</c:v>
                </c:pt>
                <c:pt idx="9">
                  <c:v>5329127.9599999981</c:v>
                </c:pt>
                <c:pt idx="10">
                  <c:v>4051083.34</c:v>
                </c:pt>
                <c:pt idx="11">
                  <c:v>3261065.9400000018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1-4D4E-A7C8-02FF46DBA26B}"/>
            </c:ext>
          </c:extLst>
        </c:ser>
        <c:ser>
          <c:idx val="1"/>
          <c:order val="1"/>
          <c:tx>
            <c:strRef>
              <c:f>'Revenue by profit per month'!$C$3</c:f>
              <c:strCache>
                <c:ptCount val="1"/>
                <c:pt idx="0">
                  <c:v>Sum of Profit_USD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'Revenue by profit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profit per month'!$C$4:$C$16</c:f>
              <c:numCache>
                <c:formatCode>_-[$$-409]* #,##0.00_ ;_-[$$-409]* \-#,##0.00\ ;_-[$$-409]* "-"??_ ;_-@_ </c:formatCode>
                <c:ptCount val="12"/>
                <c:pt idx="0">
                  <c:v>2748884.72</c:v>
                </c:pt>
                <c:pt idx="1">
                  <c:v>2863150.43</c:v>
                </c:pt>
                <c:pt idx="2">
                  <c:v>3019581.5900000012</c:v>
                </c:pt>
                <c:pt idx="3">
                  <c:v>3259100.8099999996</c:v>
                </c:pt>
                <c:pt idx="4">
                  <c:v>3488365.6800000006</c:v>
                </c:pt>
                <c:pt idx="5">
                  <c:v>3565598.27</c:v>
                </c:pt>
                <c:pt idx="6">
                  <c:v>2749395.1600000006</c:v>
                </c:pt>
                <c:pt idx="7">
                  <c:v>3322069.8300000005</c:v>
                </c:pt>
                <c:pt idx="8">
                  <c:v>4595356.7200000016</c:v>
                </c:pt>
                <c:pt idx="9">
                  <c:v>3456422.8499999996</c:v>
                </c:pt>
                <c:pt idx="10">
                  <c:v>2609644.0199999996</c:v>
                </c:pt>
                <c:pt idx="11">
                  <c:v>2062748.5199999996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1-4D4E-A7C8-02FF46DBA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07944"/>
        <c:axId val="1867030536"/>
      </c:lineChart>
      <c:catAx>
        <c:axId val="56240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30536"/>
        <c:crosses val="autoZero"/>
        <c:auto val="1"/>
        <c:lblAlgn val="ctr"/>
        <c:lblOffset val="100"/>
        <c:noMultiLvlLbl val="0"/>
      </c:catAx>
      <c:valAx>
        <c:axId val="186703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[MGS-Project_ATLAS.xlsx]shipment trade lines!PivotTable3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'shipment trade lines'!$B$3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'shipment trade lines'!$A$4:$A$9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'shipment trade lines'!$B$4:$B$9</c:f>
              <c:numCache>
                <c:formatCode>General</c:formatCode>
                <c:ptCount val="5"/>
                <c:pt idx="0">
                  <c:v>304</c:v>
                </c:pt>
                <c:pt idx="1">
                  <c:v>279</c:v>
                </c:pt>
                <c:pt idx="2">
                  <c:v>143</c:v>
                </c:pt>
                <c:pt idx="3">
                  <c:v>138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0-467E-87B4-4726C62B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268616"/>
        <c:axId val="188054536"/>
      </c:barChart>
      <c:catAx>
        <c:axId val="187268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4536"/>
        <c:crosses val="autoZero"/>
        <c:auto val="1"/>
        <c:lblAlgn val="ctr"/>
        <c:lblOffset val="100"/>
        <c:noMultiLvlLbl val="0"/>
      </c:catAx>
      <c:valAx>
        <c:axId val="18805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8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[MGS-Project_ATLAS.xlsx]Profit by trade lane!PivotTable5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trade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trade lane'!$A$4:$A$9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'Profit by trade lane'!$B$4:$B$9</c:f>
              <c:numCache>
                <c:formatCode>_-[$$-409]* #,##0.00_ ;_-[$$-409]* \-#,##0.00\ ;_-[$$-409]* "-"??_ ;_-@_ </c:formatCode>
                <c:ptCount val="5"/>
                <c:pt idx="0">
                  <c:v>10779754.199999997</c:v>
                </c:pt>
                <c:pt idx="1">
                  <c:v>10575408.689999996</c:v>
                </c:pt>
                <c:pt idx="2">
                  <c:v>5791237.8300000029</c:v>
                </c:pt>
                <c:pt idx="3">
                  <c:v>5340229.1100000003</c:v>
                </c:pt>
                <c:pt idx="4">
                  <c:v>5253688.7700000014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3-498B-9B9A-F5A76DB4B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395208"/>
        <c:axId val="689397256"/>
      </c:barChart>
      <c:catAx>
        <c:axId val="689395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7256"/>
        <c:crosses val="autoZero"/>
        <c:auto val="1"/>
        <c:lblAlgn val="ctr"/>
        <c:lblOffset val="100"/>
        <c:noMultiLvlLbl val="0"/>
      </c:catAx>
      <c:valAx>
        <c:axId val="68939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[MGS-Project_ATLAS.xlsx]Revenue by trade lane!PivotTable4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trade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trade lane'!$A$4:$A$9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Middle East-India</c:v>
                </c:pt>
                <c:pt idx="4">
                  <c:v>Trans-Pacific</c:v>
                </c:pt>
              </c:strCache>
            </c:strRef>
          </c:cat>
          <c:val>
            <c:numRef>
              <c:f>'Revenue by trade lane'!$B$4:$B$9</c:f>
              <c:numCache>
                <c:formatCode>_-[$$-409]* #,##0.00_ ;_-[$$-409]* \-#,##0.00\ ;_-[$$-409]* "-"??_ ;_-@_ </c:formatCode>
                <c:ptCount val="5"/>
                <c:pt idx="0">
                  <c:v>16706588.470000006</c:v>
                </c:pt>
                <c:pt idx="1">
                  <c:v>16324373.710000003</c:v>
                </c:pt>
                <c:pt idx="2">
                  <c:v>8915393.7600000016</c:v>
                </c:pt>
                <c:pt idx="3">
                  <c:v>8215702.5699999966</c:v>
                </c:pt>
                <c:pt idx="4">
                  <c:v>8160410.2299999967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E-4048-B128-A5A28A274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88904"/>
        <c:axId val="187195912"/>
      </c:barChart>
      <c:catAx>
        <c:axId val="1108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5912"/>
        <c:crosses val="autoZero"/>
        <c:auto val="1"/>
        <c:lblAlgn val="ctr"/>
        <c:lblOffset val="100"/>
        <c:noMultiLvlLbl val="0"/>
      </c:catAx>
      <c:valAx>
        <c:axId val="18719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[MGS-Project_ATLAS.xlsx]Fuel cost by trade line!PivotTable7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Cost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'Fuel cost by trade line'!$B$3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'Fuel cost by trade line'!$A$4:$A$9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Trans-Pacific</c:v>
                </c:pt>
                <c:pt idx="4">
                  <c:v>Middle East-India</c:v>
                </c:pt>
              </c:strCache>
            </c:strRef>
          </c:cat>
          <c:val>
            <c:numRef>
              <c:f>'Fuel cost by trade line'!$B$4:$B$9</c:f>
              <c:numCache>
                <c:formatCode>_-[$$-409]* #,##0.00_ ;_-[$$-409]* \-#,##0.00\ ;_-[$$-409]* "-"??_ ;_-@_ </c:formatCode>
                <c:ptCount val="5"/>
                <c:pt idx="0">
                  <c:v>3851988.5299999993</c:v>
                </c:pt>
                <c:pt idx="1">
                  <c:v>3735675.350000002</c:v>
                </c:pt>
                <c:pt idx="2">
                  <c:v>2061213.5</c:v>
                </c:pt>
                <c:pt idx="3">
                  <c:v>1887010.4300000004</c:v>
                </c:pt>
                <c:pt idx="4">
                  <c:v>1847015.4500000007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0-4C2B-BA3F-1D0A90793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327688"/>
        <c:axId val="1867049992"/>
      </c:barChart>
      <c:catAx>
        <c:axId val="71232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49992"/>
        <c:crosses val="autoZero"/>
        <c:auto val="1"/>
        <c:lblAlgn val="ctr"/>
        <c:lblOffset val="100"/>
        <c:noMultiLvlLbl val="0"/>
      </c:catAx>
      <c:valAx>
        <c:axId val="186704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2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[MGS-Project_ATLAS.xlsx]Aavg Delay by Teade lane!PivotTable8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Delay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'Aavg Delay by Teade lane'!$B$3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'Aavg Delay by Teade lane'!$A$4:$A$9</c:f>
              <c:strCache>
                <c:ptCount val="5"/>
                <c:pt idx="0">
                  <c:v>Asia-Europe</c:v>
                </c:pt>
                <c:pt idx="1">
                  <c:v>Middle East-India</c:v>
                </c:pt>
                <c:pt idx="2">
                  <c:v>South Asia</c:v>
                </c:pt>
                <c:pt idx="3">
                  <c:v>Trans-Pacific</c:v>
                </c:pt>
                <c:pt idx="4">
                  <c:v>Custom</c:v>
                </c:pt>
              </c:strCache>
            </c:strRef>
          </c:cat>
          <c:val>
            <c:numRef>
              <c:f>'Aavg Delay by Teade lane'!$B$4:$B$9</c:f>
              <c:numCache>
                <c:formatCode>0.000</c:formatCode>
                <c:ptCount val="5"/>
                <c:pt idx="0">
                  <c:v>13.218637992831541</c:v>
                </c:pt>
                <c:pt idx="1">
                  <c:v>13.188405797101449</c:v>
                </c:pt>
                <c:pt idx="2">
                  <c:v>12.867132867132867</c:v>
                </c:pt>
                <c:pt idx="3">
                  <c:v>12.470588235294118</c:v>
                </c:pt>
                <c:pt idx="4">
                  <c:v>12.447368421052632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F-486C-98B9-43A4C604F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41256"/>
        <c:axId val="55543304"/>
      </c:barChart>
      <c:catAx>
        <c:axId val="55541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3304"/>
        <c:crosses val="autoZero"/>
        <c:auto val="1"/>
        <c:lblAlgn val="ctr"/>
        <c:lblOffset val="100"/>
        <c:noMultiLvlLbl val="0"/>
      </c:catAx>
      <c:valAx>
        <c:axId val="5554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[MGS-Project_ATLAS.xlsx]Co2 Emission!PivotTable9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'Co2 Emission'!$B$3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'Co2 Emission'!$A$4:$A$9</c:f>
              <c:strCache>
                <c:ptCount val="5"/>
                <c:pt idx="0">
                  <c:v>Custom</c:v>
                </c:pt>
                <c:pt idx="1">
                  <c:v>Asia-Europe</c:v>
                </c:pt>
                <c:pt idx="2">
                  <c:v>South Asia</c:v>
                </c:pt>
                <c:pt idx="3">
                  <c:v>Trans-Pacific</c:v>
                </c:pt>
                <c:pt idx="4">
                  <c:v>Middle East-India</c:v>
                </c:pt>
              </c:strCache>
            </c:strRef>
          </c:cat>
          <c:val>
            <c:numRef>
              <c:f>'Co2 Emission'!$B$4:$B$9</c:f>
              <c:numCache>
                <c:formatCode>General</c:formatCode>
                <c:ptCount val="5"/>
                <c:pt idx="0">
                  <c:v>32099.819999999971</c:v>
                </c:pt>
                <c:pt idx="1">
                  <c:v>31130.680000000008</c:v>
                </c:pt>
                <c:pt idx="2">
                  <c:v>17176.810000000001</c:v>
                </c:pt>
                <c:pt idx="3">
                  <c:v>15725.020000000002</c:v>
                </c:pt>
                <c:pt idx="4">
                  <c:v>15391.769999999993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9-4263-AADE-483BEE5B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14280"/>
        <c:axId val="42280456"/>
      </c:barChart>
      <c:catAx>
        <c:axId val="188214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0456"/>
        <c:crosses val="autoZero"/>
        <c:auto val="1"/>
        <c:lblAlgn val="ctr"/>
        <c:lblOffset val="100"/>
        <c:noMultiLvlLbl val="0"/>
      </c:catAx>
      <c:valAx>
        <c:axId val="4228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[MGS-Project_ATLAS.xlsx]On time delivery!PivotTable6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Delivery By Trade 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'On time delivery'!$B$3:$B$4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 time delivery'!$A$5:$A$10</c:f>
              <c:strCache>
                <c:ptCount val="5"/>
                <c:pt idx="0">
                  <c:v>Asia-Europe</c:v>
                </c:pt>
                <c:pt idx="1">
                  <c:v>Custom</c:v>
                </c:pt>
                <c:pt idx="2">
                  <c:v>Middle East-India</c:v>
                </c:pt>
                <c:pt idx="3">
                  <c:v>South Asia</c:v>
                </c:pt>
                <c:pt idx="4">
                  <c:v>Trans-Pacific</c:v>
                </c:pt>
              </c:strCache>
            </c:strRef>
          </c:cat>
          <c:val>
            <c:numRef>
              <c:f>'On time delivery'!$B$5:$B$10</c:f>
              <c:numCache>
                <c:formatCode>General</c:formatCode>
                <c:ptCount val="5"/>
                <c:pt idx="0">
                  <c:v>121</c:v>
                </c:pt>
                <c:pt idx="1">
                  <c:v>134</c:v>
                </c:pt>
                <c:pt idx="2">
                  <c:v>50</c:v>
                </c:pt>
                <c:pt idx="3">
                  <c:v>54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B-4051-82A2-15A195921B41}"/>
            </c:ext>
          </c:extLst>
        </c:ser>
        <c:ser>
          <c:idx val="1"/>
          <c:order val="1"/>
          <c:tx>
            <c:strRef>
              <c:f>'On time delivery'!$C$3:$C$4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 time delivery'!$A$5:$A$10</c:f>
              <c:strCache>
                <c:ptCount val="5"/>
                <c:pt idx="0">
                  <c:v>Asia-Europe</c:v>
                </c:pt>
                <c:pt idx="1">
                  <c:v>Custom</c:v>
                </c:pt>
                <c:pt idx="2">
                  <c:v>Middle East-India</c:v>
                </c:pt>
                <c:pt idx="3">
                  <c:v>South Asia</c:v>
                </c:pt>
                <c:pt idx="4">
                  <c:v>Trans-Pacific</c:v>
                </c:pt>
              </c:strCache>
            </c:strRef>
          </c:cat>
          <c:val>
            <c:numRef>
              <c:f>'On time delivery'!$C$5:$C$10</c:f>
              <c:numCache>
                <c:formatCode>General</c:formatCode>
                <c:ptCount val="5"/>
                <c:pt idx="0">
                  <c:v>158</c:v>
                </c:pt>
                <c:pt idx="1">
                  <c:v>170</c:v>
                </c:pt>
                <c:pt idx="2">
                  <c:v>88</c:v>
                </c:pt>
                <c:pt idx="3">
                  <c:v>89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B-4051-82A2-15A195921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4408"/>
        <c:axId val="616456"/>
      </c:barChart>
      <c:catAx>
        <c:axId val="61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56"/>
        <c:crosses val="autoZero"/>
        <c:auto val="1"/>
        <c:lblAlgn val="ctr"/>
        <c:lblOffset val="100"/>
        <c:noMultiLvlLbl val="0"/>
      </c:catAx>
      <c:valAx>
        <c:axId val="61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47625</xdr:rowOff>
    </xdr:from>
    <xdr:to>
      <xdr:col>10</xdr:col>
      <xdr:colOff>28575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A0B75-EC27-FB55-C41C-6CFDE2441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76200</xdr:rowOff>
    </xdr:from>
    <xdr:to>
      <xdr:col>10</xdr:col>
      <xdr:colOff>447675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34C08-7A80-9071-58AB-6C12EC30A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95250</xdr:rowOff>
    </xdr:from>
    <xdr:to>
      <xdr:col>10</xdr:col>
      <xdr:colOff>323850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5A4D9-E679-268C-C856-7AC93A8A4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123825</xdr:rowOff>
    </xdr:from>
    <xdr:to>
      <xdr:col>11</xdr:col>
      <xdr:colOff>495300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FEB9D-2B73-DAFF-D1DA-073B3DAEE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57150</xdr:rowOff>
    </xdr:from>
    <xdr:to>
      <xdr:col>10</xdr:col>
      <xdr:colOff>333375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A7673-CC53-CE1A-1C1C-BE37562ED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180975</xdr:rowOff>
    </xdr:from>
    <xdr:to>
      <xdr:col>9</xdr:col>
      <xdr:colOff>542925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B585D-9642-1C71-0167-68860EA18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171450</xdr:rowOff>
    </xdr:from>
    <xdr:to>
      <xdr:col>9</xdr:col>
      <xdr:colOff>466725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0D008-EA9D-396D-ADF8-C4FBC512D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28575</xdr:rowOff>
    </xdr:from>
    <xdr:to>
      <xdr:col>15</xdr:col>
      <xdr:colOff>581025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4F289-A000-479B-9F4A-2E4CFDA7D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152400</xdr:rowOff>
    </xdr:from>
    <xdr:to>
      <xdr:col>8</xdr:col>
      <xdr:colOff>0</xdr:colOff>
      <xdr:row>42</xdr:row>
      <xdr:rowOff>152400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2EE24A53-BB68-476E-9AE8-075151AAB5EB}"/>
            </a:ext>
            <a:ext uri="{147F2762-F138-4A5C-976F-8EAC2B608ADB}">
              <a16:predDERef xmlns:a16="http://schemas.microsoft.com/office/drawing/2014/main" pred="{7C54F289-A000-479B-9F4A-2E4CFDA7D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29</xdr:row>
      <xdr:rowOff>152400</xdr:rowOff>
    </xdr:from>
    <xdr:to>
      <xdr:col>15</xdr:col>
      <xdr:colOff>571500</xdr:colOff>
      <xdr:row>42</xdr:row>
      <xdr:rowOff>152400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BB599C0D-C914-4ADD-B2CF-C3470216EC44}"/>
            </a:ext>
            <a:ext uri="{147F2762-F138-4A5C-976F-8EAC2B608ADB}">
              <a16:predDERef xmlns:a16="http://schemas.microsoft.com/office/drawing/2014/main" pred="{2EE24A53-BB68-476E-9AE8-075151AAB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7</xdr:col>
      <xdr:colOff>600075</xdr:colOff>
      <xdr:row>57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7FB938-DE49-4A68-82A6-BD26430E57B9}"/>
            </a:ext>
            <a:ext uri="{147F2762-F138-4A5C-976F-8EAC2B608ADB}">
              <a16:predDERef xmlns:a16="http://schemas.microsoft.com/office/drawing/2014/main" pred="{BB599C0D-C914-4ADD-B2CF-C3470216E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180975</xdr:rowOff>
    </xdr:from>
    <xdr:to>
      <xdr:col>8</xdr:col>
      <xdr:colOff>0</xdr:colOff>
      <xdr:row>70</xdr:row>
      <xdr:rowOff>161925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527B6272-2604-47F5-B94F-554AFE9D79A1}"/>
            </a:ext>
            <a:ext uri="{147F2762-F138-4A5C-976F-8EAC2B608ADB}">
              <a16:predDERef xmlns:a16="http://schemas.microsoft.com/office/drawing/2014/main" pred="{DA7FB938-DE49-4A68-82A6-BD26430E5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590550</xdr:colOff>
      <xdr:row>57</xdr:row>
      <xdr:rowOff>171450</xdr:rowOff>
    </xdr:from>
    <xdr:to>
      <xdr:col>15</xdr:col>
      <xdr:colOff>600075</xdr:colOff>
      <xdr:row>70</xdr:row>
      <xdr:rowOff>142875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C290A9A4-3699-48C6-80B8-855EDD31AC74}"/>
            </a:ext>
            <a:ext uri="{147F2762-F138-4A5C-976F-8EAC2B608ADB}">
              <a16:predDERef xmlns:a16="http://schemas.microsoft.com/office/drawing/2014/main" pred="{527B6272-2604-47F5-B94F-554AFE9D7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16</xdr:col>
      <xdr:colOff>0</xdr:colOff>
      <xdr:row>85</xdr:row>
      <xdr:rowOff>171450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DC26252E-A841-457A-BFF1-2556EF6A7F35}"/>
            </a:ext>
            <a:ext uri="{147F2762-F138-4A5C-976F-8EAC2B608ADB}">
              <a16:predDERef xmlns:a16="http://schemas.microsoft.com/office/drawing/2014/main" pred="{C290A9A4-3699-48C6-80B8-855EDD31A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552450</xdr:colOff>
      <xdr:row>43</xdr:row>
      <xdr:rowOff>180975</xdr:rowOff>
    </xdr:from>
    <xdr:to>
      <xdr:col>15</xdr:col>
      <xdr:colOff>600075</xdr:colOff>
      <xdr:row>57</xdr:row>
      <xdr:rowOff>19050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FA27A390-A991-491F-B68F-C4E3164AC323}"/>
            </a:ext>
            <a:ext uri="{147F2762-F138-4A5C-976F-8EAC2B608ADB}">
              <a16:predDERef xmlns:a16="http://schemas.microsoft.com/office/drawing/2014/main" pred="{DC26252E-A841-457A-BFF1-2556EF6A7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905516319443" createdVersion="8" refreshedVersion="8" minRefreshableVersion="3" recordCount="1000" xr:uid="{255CD2A4-0A29-4CE8-8A29-94E4183267BB}">
  <cacheSource type="worksheet">
    <worksheetSource ref="A1:AF1001" sheet="MGS_Operations_FY2025"/>
  </cacheSource>
  <cacheFields count="32">
    <cacheField name="Shipment_ID" numFmtId="0">
      <sharedItems count="1000">
        <s v="SHP00001"/>
        <s v="SHP00002"/>
        <s v="SHP00003"/>
        <s v="SHP00004"/>
        <s v="SHP00005"/>
        <s v="SHP00006"/>
        <s v="SHP00007"/>
        <s v="SHP00008"/>
        <s v="SHP00009"/>
        <s v="SHP00010"/>
        <s v="SHP00011"/>
        <s v="SHP00012"/>
        <s v="SHP00013"/>
        <s v="SHP00014"/>
        <s v="SHP00015"/>
        <s v="SHP00016"/>
        <s v="SHP00017"/>
        <s v="SHP00018"/>
        <s v="SHP00019"/>
        <s v="SHP00020"/>
        <s v="SHP00021"/>
        <s v="SHP00022"/>
        <s v="SHP00023"/>
        <s v="SHP00024"/>
        <s v="SHP00025"/>
        <s v="SHP00026"/>
        <s v="SHP00027"/>
        <s v="SHP00028"/>
        <s v="SHP00029"/>
        <s v="SHP00030"/>
        <s v="SHP00031"/>
        <s v="SHP00032"/>
        <s v="SHP00033"/>
        <s v="SHP00034"/>
        <s v="SHP00035"/>
        <s v="SHP00036"/>
        <s v="SHP00037"/>
        <s v="SHP00038"/>
        <s v="SHP00039"/>
        <s v="SHP00040"/>
        <s v="SHP00041"/>
        <s v="SHP00042"/>
        <s v="SHP00043"/>
        <s v="SHP00044"/>
        <s v="SHP00045"/>
        <s v="SHP00046"/>
        <s v="SHP00047"/>
        <s v="SHP00048"/>
        <s v="SHP00049"/>
        <s v="SHP00050"/>
        <s v="SHP00051"/>
        <s v="SHP00052"/>
        <s v="SHP00053"/>
        <s v="SHP00054"/>
        <s v="SHP00055"/>
        <s v="SHP00056"/>
        <s v="SHP00057"/>
        <s v="SHP00058"/>
        <s v="SHP00059"/>
        <s v="SHP00060"/>
        <s v="SHP00061"/>
        <s v="SHP00062"/>
        <s v="SHP00063"/>
        <s v="SHP00064"/>
        <s v="SHP00065"/>
        <s v="SHP00066"/>
        <s v="SHP00067"/>
        <s v="SHP00068"/>
        <s v="SHP00069"/>
        <s v="SHP00070"/>
        <s v="SHP00071"/>
        <s v="SHP00072"/>
        <s v="SHP00073"/>
        <s v="SHP00074"/>
        <s v="SHP00075"/>
        <s v="SHP00076"/>
        <s v="SHP00077"/>
        <s v="SHP00078"/>
        <s v="SHP00079"/>
        <s v="SHP00080"/>
        <s v="SHP00081"/>
        <s v="SHP00082"/>
        <s v="SHP00083"/>
        <s v="SHP00084"/>
        <s v="SHP00085"/>
        <s v="SHP00086"/>
        <s v="SHP00087"/>
        <s v="SHP00088"/>
        <s v="SHP00089"/>
        <s v="SHP00090"/>
        <s v="SHP00091"/>
        <s v="SHP00092"/>
        <s v="SHP00093"/>
        <s v="SHP00094"/>
        <s v="SHP00095"/>
        <s v="SHP00096"/>
        <s v="SHP00097"/>
        <s v="SHP00098"/>
        <s v="SHP00099"/>
        <s v="SHP00100"/>
        <s v="SHP00101"/>
        <s v="SHP00102"/>
        <s v="SHP00103"/>
        <s v="SHP00104"/>
        <s v="SHP00105"/>
        <s v="SHP00106"/>
        <s v="SHP00107"/>
        <s v="SHP00108"/>
        <s v="SHP00109"/>
        <s v="SHP00110"/>
        <s v="SHP00111"/>
        <s v="SHP00112"/>
        <s v="SHP00113"/>
        <s v="SHP00114"/>
        <s v="SHP00115"/>
        <s v="SHP00116"/>
        <s v="SHP00117"/>
        <s v="SHP00118"/>
        <s v="SHP00119"/>
        <s v="SHP00120"/>
        <s v="SHP00121"/>
        <s v="SHP00122"/>
        <s v="SHP00123"/>
        <s v="SHP00124"/>
        <s v="SHP00125"/>
        <s v="SHP00126"/>
        <s v="SHP00127"/>
        <s v="SHP00128"/>
        <s v="SHP00129"/>
        <s v="SHP00130"/>
        <s v="SHP00131"/>
        <s v="SHP00132"/>
        <s v="SHP00133"/>
        <s v="SHP00134"/>
        <s v="SHP00135"/>
        <s v="SHP00136"/>
        <s v="SHP00137"/>
        <s v="SHP00138"/>
        <s v="SHP00139"/>
        <s v="SHP00140"/>
        <s v="SHP00141"/>
        <s v="SHP00142"/>
        <s v="SHP00143"/>
        <s v="SHP00144"/>
        <s v="SHP00145"/>
        <s v="SHP00146"/>
        <s v="SHP00147"/>
        <s v="SHP00148"/>
        <s v="SHP00149"/>
        <s v="SHP00150"/>
        <s v="SHP00151"/>
        <s v="SHP00152"/>
        <s v="SHP00153"/>
        <s v="SHP00154"/>
        <s v="SHP00155"/>
        <s v="SHP00156"/>
        <s v="SHP00157"/>
        <s v="SHP00158"/>
        <s v="SHP00159"/>
        <s v="SHP00160"/>
        <s v="SHP00161"/>
        <s v="SHP00162"/>
        <s v="SHP00163"/>
        <s v="SHP00164"/>
        <s v="SHP00165"/>
        <s v="SHP00166"/>
        <s v="SHP00167"/>
        <s v="SHP00168"/>
        <s v="SHP00169"/>
        <s v="SHP00170"/>
        <s v="SHP00171"/>
        <s v="SHP00172"/>
        <s v="SHP00173"/>
        <s v="SHP00174"/>
        <s v="SHP00175"/>
        <s v="SHP00176"/>
        <s v="SHP00177"/>
        <s v="SHP00178"/>
        <s v="SHP00179"/>
        <s v="SHP00180"/>
        <s v="SHP00181"/>
        <s v="SHP00182"/>
        <s v="SHP00183"/>
        <s v="SHP00184"/>
        <s v="SHP00185"/>
        <s v="SHP00186"/>
        <s v="SHP00187"/>
        <s v="SHP00188"/>
        <s v="SHP00189"/>
        <s v="SHP00190"/>
        <s v="SHP00191"/>
        <s v="SHP00192"/>
        <s v="SHP00193"/>
        <s v="SHP00194"/>
        <s v="SHP00195"/>
        <s v="SHP00196"/>
        <s v="SHP00197"/>
        <s v="SHP00198"/>
        <s v="SHP00199"/>
        <s v="SHP00200"/>
        <s v="SHP00201"/>
        <s v="SHP00202"/>
        <s v="SHP00203"/>
        <s v="SHP00204"/>
        <s v="SHP00205"/>
        <s v="SHP00206"/>
        <s v="SHP00207"/>
        <s v="SHP00208"/>
        <s v="SHP00209"/>
        <s v="SHP00210"/>
        <s v="SHP00211"/>
        <s v="SHP00212"/>
        <s v="SHP00213"/>
        <s v="SHP00214"/>
        <s v="SHP00215"/>
        <s v="SHP00216"/>
        <s v="SHP00217"/>
        <s v="SHP00218"/>
        <s v="SHP00219"/>
        <s v="SHP00220"/>
        <s v="SHP00221"/>
        <s v="SHP00222"/>
        <s v="SHP00223"/>
        <s v="SHP00224"/>
        <s v="SHP00225"/>
        <s v="SHP00226"/>
        <s v="SHP00227"/>
        <s v="SHP00228"/>
        <s v="SHP00229"/>
        <s v="SHP00230"/>
        <s v="SHP00231"/>
        <s v="SHP00232"/>
        <s v="SHP00233"/>
        <s v="SHP00234"/>
        <s v="SHP00235"/>
        <s v="SHP00236"/>
        <s v="SHP00237"/>
        <s v="SHP00238"/>
        <s v="SHP00239"/>
        <s v="SHP00240"/>
        <s v="SHP00241"/>
        <s v="SHP00242"/>
        <s v="SHP00243"/>
        <s v="SHP00244"/>
        <s v="SHP00245"/>
        <s v="SHP00246"/>
        <s v="SHP00247"/>
        <s v="SHP00248"/>
        <s v="SHP00249"/>
        <s v="SHP00250"/>
        <s v="SHP00251"/>
        <s v="SHP00252"/>
        <s v="SHP00253"/>
        <s v="SHP00254"/>
        <s v="SHP00255"/>
        <s v="SHP00256"/>
        <s v="SHP00257"/>
        <s v="SHP00258"/>
        <s v="SHP00259"/>
        <s v="SHP00260"/>
        <s v="SHP00261"/>
        <s v="SHP00262"/>
        <s v="SHP00263"/>
        <s v="SHP00264"/>
        <s v="SHP00265"/>
        <s v="SHP00266"/>
        <s v="SHP00267"/>
        <s v="SHP00268"/>
        <s v="SHP00269"/>
        <s v="SHP00270"/>
        <s v="SHP00271"/>
        <s v="SHP00272"/>
        <s v="SHP00273"/>
        <s v="SHP00274"/>
        <s v="SHP00275"/>
        <s v="SHP00276"/>
        <s v="SHP00277"/>
        <s v="SHP00278"/>
        <s v="SHP00279"/>
        <s v="SHP00280"/>
        <s v="SHP00281"/>
        <s v="SHP00282"/>
        <s v="SHP00283"/>
        <s v="SHP00284"/>
        <s v="SHP00285"/>
        <s v="SHP00286"/>
        <s v="SHP00287"/>
        <s v="SHP00288"/>
        <s v="SHP00289"/>
        <s v="SHP00290"/>
        <s v="SHP00291"/>
        <s v="SHP00292"/>
        <s v="SHP00293"/>
        <s v="SHP00294"/>
        <s v="SHP00295"/>
        <s v="SHP00296"/>
        <s v="SHP00297"/>
        <s v="SHP00298"/>
        <s v="SHP00299"/>
        <s v="SHP00300"/>
        <s v="SHP00301"/>
        <s v="SHP00302"/>
        <s v="SHP00303"/>
        <s v="SHP00304"/>
        <s v="SHP00305"/>
        <s v="SHP00306"/>
        <s v="SHP00307"/>
        <s v="SHP00308"/>
        <s v="SHP00309"/>
        <s v="SHP00310"/>
        <s v="SHP00311"/>
        <s v="SHP00312"/>
        <s v="SHP00313"/>
        <s v="SHP00314"/>
        <s v="SHP00315"/>
        <s v="SHP00316"/>
        <s v="SHP00317"/>
        <s v="SHP00318"/>
        <s v="SHP00319"/>
        <s v="SHP00320"/>
        <s v="SHP00321"/>
        <s v="SHP00322"/>
        <s v="SHP00323"/>
        <s v="SHP00324"/>
        <s v="SHP00325"/>
        <s v="SHP00326"/>
        <s v="SHP00327"/>
        <s v="SHP00328"/>
        <s v="SHP00329"/>
        <s v="SHP00330"/>
        <s v="SHP00331"/>
        <s v="SHP00332"/>
        <s v="SHP00333"/>
        <s v="SHP00334"/>
        <s v="SHP00335"/>
        <s v="SHP00336"/>
        <s v="SHP00337"/>
        <s v="SHP00338"/>
        <s v="SHP00339"/>
        <s v="SHP00340"/>
        <s v="SHP00341"/>
        <s v="SHP00342"/>
        <s v="SHP00343"/>
        <s v="SHP00344"/>
        <s v="SHP00345"/>
        <s v="SHP00346"/>
        <s v="SHP00347"/>
        <s v="SHP00348"/>
        <s v="SHP00349"/>
        <s v="SHP00350"/>
        <s v="SHP00351"/>
        <s v="SHP00352"/>
        <s v="SHP00353"/>
        <s v="SHP00354"/>
        <s v="SHP00355"/>
        <s v="SHP00356"/>
        <s v="SHP00357"/>
        <s v="SHP00358"/>
        <s v="SHP00359"/>
        <s v="SHP00360"/>
        <s v="SHP00361"/>
        <s v="SHP00362"/>
        <s v="SHP00363"/>
        <s v="SHP00364"/>
        <s v="SHP00365"/>
        <s v="SHP00366"/>
        <s v="SHP00367"/>
        <s v="SHP00368"/>
        <s v="SHP00369"/>
        <s v="SHP00370"/>
        <s v="SHP00371"/>
        <s v="SHP00372"/>
        <s v="SHP00373"/>
        <s v="SHP00374"/>
        <s v="SHP00375"/>
        <s v="SHP00376"/>
        <s v="SHP00377"/>
        <s v="SHP00378"/>
        <s v="SHP00379"/>
        <s v="SHP00380"/>
        <s v="SHP00381"/>
        <s v="SHP00382"/>
        <s v="SHP00383"/>
        <s v="SHP00384"/>
        <s v="SHP00385"/>
        <s v="SHP00386"/>
        <s v="SHP00387"/>
        <s v="SHP00388"/>
        <s v="SHP00389"/>
        <s v="SHP00390"/>
        <s v="SHP00391"/>
        <s v="SHP00392"/>
        <s v="SHP00393"/>
        <s v="SHP00394"/>
        <s v="SHP00395"/>
        <s v="SHP00396"/>
        <s v="SHP00397"/>
        <s v="SHP00398"/>
        <s v="SHP00399"/>
        <s v="SHP00400"/>
        <s v="SHP00401"/>
        <s v="SHP00402"/>
        <s v="SHP00403"/>
        <s v="SHP00404"/>
        <s v="SHP00405"/>
        <s v="SHP00406"/>
        <s v="SHP00407"/>
        <s v="SHP00408"/>
        <s v="SHP00409"/>
        <s v="SHP00410"/>
        <s v="SHP00411"/>
        <s v="SHP00412"/>
        <s v="SHP00413"/>
        <s v="SHP00414"/>
        <s v="SHP00415"/>
        <s v="SHP00416"/>
        <s v="SHP00417"/>
        <s v="SHP00418"/>
        <s v="SHP00419"/>
        <s v="SHP00420"/>
        <s v="SHP00421"/>
        <s v="SHP00422"/>
        <s v="SHP00423"/>
        <s v="SHP00424"/>
        <s v="SHP00425"/>
        <s v="SHP00426"/>
        <s v="SHP00427"/>
        <s v="SHP00428"/>
        <s v="SHP00429"/>
        <s v="SHP00430"/>
        <s v="SHP00431"/>
        <s v="SHP00432"/>
        <s v="SHP00433"/>
        <s v="SHP00434"/>
        <s v="SHP00435"/>
        <s v="SHP00436"/>
        <s v="SHP00437"/>
        <s v="SHP00438"/>
        <s v="SHP00439"/>
        <s v="SHP00440"/>
        <s v="SHP00441"/>
        <s v="SHP00442"/>
        <s v="SHP00443"/>
        <s v="SHP00444"/>
        <s v="SHP00445"/>
        <s v="SHP00446"/>
        <s v="SHP00447"/>
        <s v="SHP00448"/>
        <s v="SHP00449"/>
        <s v="SHP00450"/>
        <s v="SHP00451"/>
        <s v="SHP00452"/>
        <s v="SHP00453"/>
        <s v="SHP00454"/>
        <s v="SHP00455"/>
        <s v="SHP00456"/>
        <s v="SHP00457"/>
        <s v="SHP00458"/>
        <s v="SHP00459"/>
        <s v="SHP00460"/>
        <s v="SHP00461"/>
        <s v="SHP00462"/>
        <s v="SHP00463"/>
        <s v="SHP00464"/>
        <s v="SHP00465"/>
        <s v="SHP00466"/>
        <s v="SHP00467"/>
        <s v="SHP00468"/>
        <s v="SHP00469"/>
        <s v="SHP00470"/>
        <s v="SHP00471"/>
        <s v="SHP00472"/>
        <s v="SHP00473"/>
        <s v="SHP00474"/>
        <s v="SHP00475"/>
        <s v="SHP00476"/>
        <s v="SHP00477"/>
        <s v="SHP00478"/>
        <s v="SHP00479"/>
        <s v="SHP00480"/>
        <s v="SHP00481"/>
        <s v="SHP00482"/>
        <s v="SHP00483"/>
        <s v="SHP00484"/>
        <s v="SHP00485"/>
        <s v="SHP00486"/>
        <s v="SHP00487"/>
        <s v="SHP00488"/>
        <s v="SHP00489"/>
        <s v="SHP00490"/>
        <s v="SHP00491"/>
        <s v="SHP00492"/>
        <s v="SHP00493"/>
        <s v="SHP00494"/>
        <s v="SHP00495"/>
        <s v="SHP00496"/>
        <s v="SHP00497"/>
        <s v="SHP00498"/>
        <s v="SHP00499"/>
        <s v="SHP00500"/>
        <s v="SHP00501"/>
        <s v="SHP00502"/>
        <s v="SHP00503"/>
        <s v="SHP00504"/>
        <s v="SHP00505"/>
        <s v="SHP00506"/>
        <s v="SHP00507"/>
        <s v="SHP00508"/>
        <s v="SHP00509"/>
        <s v="SHP00510"/>
        <s v="SHP00511"/>
        <s v="SHP00512"/>
        <s v="SHP00513"/>
        <s v="SHP00514"/>
        <s v="SHP00515"/>
        <s v="SHP00516"/>
        <s v="SHP00517"/>
        <s v="SHP00518"/>
        <s v="SHP00519"/>
        <s v="SHP00520"/>
        <s v="SHP00521"/>
        <s v="SHP00522"/>
        <s v="SHP00523"/>
        <s v="SHP00524"/>
        <s v="SHP00525"/>
        <s v="SHP00526"/>
        <s v="SHP00527"/>
        <s v="SHP00528"/>
        <s v="SHP00529"/>
        <s v="SHP00530"/>
        <s v="SHP00531"/>
        <s v="SHP00532"/>
        <s v="SHP00533"/>
        <s v="SHP00534"/>
        <s v="SHP00535"/>
        <s v="SHP00536"/>
        <s v="SHP00537"/>
        <s v="SHP00538"/>
        <s v="SHP00539"/>
        <s v="SHP00540"/>
        <s v="SHP00541"/>
        <s v="SHP00542"/>
        <s v="SHP00543"/>
        <s v="SHP00544"/>
        <s v="SHP00545"/>
        <s v="SHP00546"/>
        <s v="SHP00547"/>
        <s v="SHP00548"/>
        <s v="SHP00549"/>
        <s v="SHP00550"/>
        <s v="SHP00551"/>
        <s v="SHP00552"/>
        <s v="SHP00553"/>
        <s v="SHP00554"/>
        <s v="SHP00555"/>
        <s v="SHP00556"/>
        <s v="SHP00557"/>
        <s v="SHP00558"/>
        <s v="SHP00559"/>
        <s v="SHP00560"/>
        <s v="SHP00561"/>
        <s v="SHP00562"/>
        <s v="SHP00563"/>
        <s v="SHP00564"/>
        <s v="SHP00565"/>
        <s v="SHP00566"/>
        <s v="SHP00567"/>
        <s v="SHP00568"/>
        <s v="SHP00569"/>
        <s v="SHP00570"/>
        <s v="SHP00571"/>
        <s v="SHP00572"/>
        <s v="SHP00573"/>
        <s v="SHP00574"/>
        <s v="SHP00575"/>
        <s v="SHP00576"/>
        <s v="SHP00577"/>
        <s v="SHP00578"/>
        <s v="SHP00579"/>
        <s v="SHP00580"/>
        <s v="SHP00581"/>
        <s v="SHP00582"/>
        <s v="SHP00583"/>
        <s v="SHP00584"/>
        <s v="SHP00585"/>
        <s v="SHP00586"/>
        <s v="SHP00587"/>
        <s v="SHP00588"/>
        <s v="SHP00589"/>
        <s v="SHP00590"/>
        <s v="SHP00591"/>
        <s v="SHP00592"/>
        <s v="SHP00593"/>
        <s v="SHP00594"/>
        <s v="SHP00595"/>
        <s v="SHP00596"/>
        <s v="SHP00597"/>
        <s v="SHP00598"/>
        <s v="SHP00599"/>
        <s v="SHP00600"/>
        <s v="SHP00601"/>
        <s v="SHP00602"/>
        <s v="SHP00603"/>
        <s v="SHP00604"/>
        <s v="SHP00605"/>
        <s v="SHP00606"/>
        <s v="SHP00607"/>
        <s v="SHP00608"/>
        <s v="SHP00609"/>
        <s v="SHP00610"/>
        <s v="SHP00611"/>
        <s v="SHP00612"/>
        <s v="SHP00613"/>
        <s v="SHP00614"/>
        <s v="SHP00615"/>
        <s v="SHP00616"/>
        <s v="SHP00617"/>
        <s v="SHP00618"/>
        <s v="SHP00619"/>
        <s v="SHP00620"/>
        <s v="SHP00621"/>
        <s v="SHP00622"/>
        <s v="SHP00623"/>
        <s v="SHP00624"/>
        <s v="SHP00625"/>
        <s v="SHP00626"/>
        <s v="SHP00627"/>
        <s v="SHP00628"/>
        <s v="SHP00629"/>
        <s v="SHP00630"/>
        <s v="SHP00631"/>
        <s v="SHP00632"/>
        <s v="SHP00633"/>
        <s v="SHP00634"/>
        <s v="SHP00635"/>
        <s v="SHP00636"/>
        <s v="SHP00637"/>
        <s v="SHP00638"/>
        <s v="SHP00639"/>
        <s v="SHP00640"/>
        <s v="SHP00641"/>
        <s v="SHP00642"/>
        <s v="SHP00643"/>
        <s v="SHP00644"/>
        <s v="SHP00645"/>
        <s v="SHP00646"/>
        <s v="SHP00647"/>
        <s v="SHP00648"/>
        <s v="SHP00649"/>
        <s v="SHP00650"/>
        <s v="SHP00651"/>
        <s v="SHP00652"/>
        <s v="SHP00653"/>
        <s v="SHP00654"/>
        <s v="SHP00655"/>
        <s v="SHP00656"/>
        <s v="SHP00657"/>
        <s v="SHP00658"/>
        <s v="SHP00659"/>
        <s v="SHP00660"/>
        <s v="SHP00661"/>
        <s v="SHP00662"/>
        <s v="SHP00663"/>
        <s v="SHP00664"/>
        <s v="SHP00665"/>
        <s v="SHP00666"/>
        <s v="SHP00667"/>
        <s v="SHP00668"/>
        <s v="SHP00669"/>
        <s v="SHP00670"/>
        <s v="SHP00671"/>
        <s v="SHP00672"/>
        <s v="SHP00673"/>
        <s v="SHP00674"/>
        <s v="SHP00675"/>
        <s v="SHP00676"/>
        <s v="SHP00677"/>
        <s v="SHP00678"/>
        <s v="SHP00679"/>
        <s v="SHP00680"/>
        <s v="SHP00681"/>
        <s v="SHP00682"/>
        <s v="SHP00683"/>
        <s v="SHP00684"/>
        <s v="SHP00685"/>
        <s v="SHP00686"/>
        <s v="SHP00687"/>
        <s v="SHP00688"/>
        <s v="SHP00689"/>
        <s v="SHP00690"/>
        <s v="SHP00691"/>
        <s v="SHP00692"/>
        <s v="SHP00693"/>
        <s v="SHP00694"/>
        <s v="SHP00695"/>
        <s v="SHP00696"/>
        <s v="SHP00697"/>
        <s v="SHP00698"/>
        <s v="SHP00699"/>
        <s v="SHP00700"/>
        <s v="SHP00701"/>
        <s v="SHP00702"/>
        <s v="SHP00703"/>
        <s v="SHP00704"/>
        <s v="SHP00705"/>
        <s v="SHP00706"/>
        <s v="SHP00707"/>
        <s v="SHP00708"/>
        <s v="SHP00709"/>
        <s v="SHP00710"/>
        <s v="SHP00711"/>
        <s v="SHP00712"/>
        <s v="SHP00713"/>
        <s v="SHP00714"/>
        <s v="SHP00715"/>
        <s v="SHP00716"/>
        <s v="SHP00717"/>
        <s v="SHP00718"/>
        <s v="SHP00719"/>
        <s v="SHP00720"/>
        <s v="SHP00721"/>
        <s v="SHP00722"/>
        <s v="SHP00723"/>
        <s v="SHP00724"/>
        <s v="SHP00725"/>
        <s v="SHP00726"/>
        <s v="SHP00727"/>
        <s v="SHP00728"/>
        <s v="SHP00729"/>
        <s v="SHP00730"/>
        <s v="SHP00731"/>
        <s v="SHP00732"/>
        <s v="SHP00733"/>
        <s v="SHP00734"/>
        <s v="SHP00735"/>
        <s v="SHP00736"/>
        <s v="SHP00737"/>
        <s v="SHP00738"/>
        <s v="SHP00739"/>
        <s v="SHP00740"/>
        <s v="SHP00741"/>
        <s v="SHP00742"/>
        <s v="SHP00743"/>
        <s v="SHP00744"/>
        <s v="SHP00745"/>
        <s v="SHP00746"/>
        <s v="SHP00747"/>
        <s v="SHP00748"/>
        <s v="SHP00749"/>
        <s v="SHP00750"/>
        <s v="SHP00751"/>
        <s v="SHP00752"/>
        <s v="SHP00753"/>
        <s v="SHP00754"/>
        <s v="SHP00755"/>
        <s v="SHP00756"/>
        <s v="SHP00757"/>
        <s v="SHP00758"/>
        <s v="SHP00759"/>
        <s v="SHP00760"/>
        <s v="SHP00761"/>
        <s v="SHP00762"/>
        <s v="SHP00763"/>
        <s v="SHP00764"/>
        <s v="SHP00765"/>
        <s v="SHP00766"/>
        <s v="SHP00767"/>
        <s v="SHP00768"/>
        <s v="SHP00769"/>
        <s v="SHP00770"/>
        <s v="SHP00771"/>
        <s v="SHP00772"/>
        <s v="SHP00773"/>
        <s v="SHP00774"/>
        <s v="SHP00775"/>
        <s v="SHP00776"/>
        <s v="SHP00777"/>
        <s v="SHP00778"/>
        <s v="SHP00779"/>
        <s v="SHP00780"/>
        <s v="SHP00781"/>
        <s v="SHP00782"/>
        <s v="SHP00783"/>
        <s v="SHP00784"/>
        <s v="SHP00785"/>
        <s v="SHP00786"/>
        <s v="SHP00787"/>
        <s v="SHP00788"/>
        <s v="SHP00789"/>
        <s v="SHP00790"/>
        <s v="SHP00791"/>
        <s v="SHP00792"/>
        <s v="SHP00793"/>
        <s v="SHP00794"/>
        <s v="SHP00795"/>
        <s v="SHP00796"/>
        <s v="SHP00797"/>
        <s v="SHP00798"/>
        <s v="SHP00799"/>
        <s v="SHP00800"/>
        <s v="SHP00801"/>
        <s v="SHP00802"/>
        <s v="SHP00803"/>
        <s v="SHP00804"/>
        <s v="SHP00805"/>
        <s v="SHP00806"/>
        <s v="SHP00807"/>
        <s v="SHP00808"/>
        <s v="SHP00809"/>
        <s v="SHP00810"/>
        <s v="SHP00811"/>
        <s v="SHP00812"/>
        <s v="SHP00813"/>
        <s v="SHP00814"/>
        <s v="SHP00815"/>
        <s v="SHP00816"/>
        <s v="SHP00817"/>
        <s v="SHP00818"/>
        <s v="SHP00819"/>
        <s v="SHP00820"/>
        <s v="SHP00821"/>
        <s v="SHP00822"/>
        <s v="SHP00823"/>
        <s v="SHP00824"/>
        <s v="SHP00825"/>
        <s v="SHP00826"/>
        <s v="SHP00827"/>
        <s v="SHP00828"/>
        <s v="SHP00829"/>
        <s v="SHP00830"/>
        <s v="SHP00831"/>
        <s v="SHP00832"/>
        <s v="SHP00833"/>
        <s v="SHP00834"/>
        <s v="SHP00835"/>
        <s v="SHP00836"/>
        <s v="SHP00837"/>
        <s v="SHP00838"/>
        <s v="SHP00839"/>
        <s v="SHP00840"/>
        <s v="SHP00841"/>
        <s v="SHP00842"/>
        <s v="SHP00843"/>
        <s v="SHP00844"/>
        <s v="SHP00845"/>
        <s v="SHP00846"/>
        <s v="SHP00847"/>
        <s v="SHP00848"/>
        <s v="SHP00849"/>
        <s v="SHP00850"/>
        <s v="SHP00851"/>
        <s v="SHP00852"/>
        <s v="SHP00853"/>
        <s v="SHP00854"/>
        <s v="SHP00855"/>
        <s v="SHP00856"/>
        <s v="SHP00857"/>
        <s v="SHP00858"/>
        <s v="SHP00859"/>
        <s v="SHP00860"/>
        <s v="SHP00861"/>
        <s v="SHP00862"/>
        <s v="SHP00863"/>
        <s v="SHP00864"/>
        <s v="SHP00865"/>
        <s v="SHP00866"/>
        <s v="SHP00867"/>
        <s v="SHP00868"/>
        <s v="SHP00869"/>
        <s v="SHP00870"/>
        <s v="SHP00871"/>
        <s v="SHP00872"/>
        <s v="SHP00873"/>
        <s v="SHP00874"/>
        <s v="SHP00875"/>
        <s v="SHP00876"/>
        <s v="SHP00877"/>
        <s v="SHP00878"/>
        <s v="SHP00879"/>
        <s v="SHP00880"/>
        <s v="SHP00881"/>
        <s v="SHP00882"/>
        <s v="SHP00883"/>
        <s v="SHP00884"/>
        <s v="SHP00885"/>
        <s v="SHP00886"/>
        <s v="SHP00887"/>
        <s v="SHP00888"/>
        <s v="SHP00889"/>
        <s v="SHP00890"/>
        <s v="SHP00891"/>
        <s v="SHP00892"/>
        <s v="SHP00893"/>
        <s v="SHP00894"/>
        <s v="SHP00895"/>
        <s v="SHP00896"/>
        <s v="SHP00897"/>
        <s v="SHP00898"/>
        <s v="SHP00899"/>
        <s v="SHP00900"/>
        <s v="SHP00901"/>
        <s v="SHP00902"/>
        <s v="SHP00903"/>
        <s v="SHP00904"/>
        <s v="SHP00905"/>
        <s v="SHP00906"/>
        <s v="SHP00907"/>
        <s v="SHP00908"/>
        <s v="SHP00909"/>
        <s v="SHP00910"/>
        <s v="SHP00911"/>
        <s v="SHP00912"/>
        <s v="SHP00913"/>
        <s v="SHP00914"/>
        <s v="SHP00915"/>
        <s v="SHP00916"/>
        <s v="SHP00917"/>
        <s v="SHP00918"/>
        <s v="SHP00919"/>
        <s v="SHP00920"/>
        <s v="SHP00921"/>
        <s v="SHP00922"/>
        <s v="SHP00923"/>
        <s v="SHP00924"/>
        <s v="SHP00925"/>
        <s v="SHP00926"/>
        <s v="SHP00927"/>
        <s v="SHP00928"/>
        <s v="SHP00929"/>
        <s v="SHP00930"/>
        <s v="SHP00931"/>
        <s v="SHP00932"/>
        <s v="SHP00933"/>
        <s v="SHP00934"/>
        <s v="SHP00935"/>
        <s v="SHP00936"/>
        <s v="SHP00937"/>
        <s v="SHP00938"/>
        <s v="SHP00939"/>
        <s v="SHP00940"/>
        <s v="SHP00941"/>
        <s v="SHP00942"/>
        <s v="SHP00943"/>
        <s v="SHP00944"/>
        <s v="SHP00945"/>
        <s v="SHP00946"/>
        <s v="SHP00947"/>
        <s v="SHP00948"/>
        <s v="SHP00949"/>
        <s v="SHP00950"/>
        <s v="SHP00951"/>
        <s v="SHP00952"/>
        <s v="SHP00953"/>
        <s v="SHP00954"/>
        <s v="SHP00955"/>
        <s v="SHP00956"/>
        <s v="SHP00957"/>
        <s v="SHP00958"/>
        <s v="SHP00959"/>
        <s v="SHP00960"/>
        <s v="SHP00961"/>
        <s v="SHP00962"/>
        <s v="SHP00963"/>
        <s v="SHP00964"/>
        <s v="SHP00965"/>
        <s v="SHP00966"/>
        <s v="SHP00967"/>
        <s v="SHP00968"/>
        <s v="SHP00969"/>
        <s v="SHP00970"/>
        <s v="SHP00971"/>
        <s v="SHP00972"/>
        <s v="SHP00973"/>
        <s v="SHP00974"/>
        <s v="SHP00975"/>
        <s v="SHP00976"/>
        <s v="SHP00977"/>
        <s v="SHP00978"/>
        <s v="SHP00979"/>
        <s v="SHP00980"/>
        <s v="SHP00981"/>
        <s v="SHP00982"/>
        <s v="SHP00983"/>
        <s v="SHP00984"/>
        <s v="SHP00985"/>
        <s v="SHP00986"/>
        <s v="SHP00987"/>
        <s v="SHP00988"/>
        <s v="SHP00989"/>
        <s v="SHP00990"/>
        <s v="SHP00991"/>
        <s v="SHP00992"/>
        <s v="SHP00993"/>
        <s v="SHP00994"/>
        <s v="SHP00995"/>
        <s v="SHP00996"/>
        <s v="SHP00997"/>
        <s v="SHP00998"/>
        <s v="SHP00999"/>
        <s v="SHP01000"/>
      </sharedItems>
    </cacheField>
    <cacheField name="Booking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Departure_Date" numFmtId="164">
      <sharedItems containsSemiMixedTypes="0" containsNonDate="0" containsDate="1" containsString="0" minDate="2025-01-02T00:00:00" maxDate="2026-01-04T00:00:00"/>
    </cacheField>
    <cacheField name="Arrival_Date" numFmtId="164">
      <sharedItems containsSemiMixedTypes="0" containsNonDate="0" containsDate="1" containsString="0" minDate="2025-01-17T00:00:00" maxDate="2026-01-27T00:00:00"/>
    </cacheField>
    <cacheField name="Customer_Name" numFmtId="0">
      <sharedItems count="12">
        <s v="Reliance"/>
        <s v="Unilever"/>
        <s v="Samsung"/>
        <s v="LG"/>
        <s v="Bosch"/>
        <s v="Nestlé"/>
        <s v="Pfizer"/>
        <s v="Adidas"/>
        <s v="IKEA"/>
        <s v="Siemens"/>
        <s v="Amazon"/>
        <s v="Toyota"/>
      </sharedItems>
    </cacheField>
    <cacheField name="Industry" numFmtId="0">
      <sharedItems/>
    </cacheField>
    <cacheField name="Customer_Country" numFmtId="0">
      <sharedItems/>
    </cacheField>
    <cacheField name="Origin_Port" numFmtId="0">
      <sharedItems/>
    </cacheField>
    <cacheField name="Destination_Port" numFmtId="0">
      <sharedItems/>
    </cacheField>
    <cacheField name="Trade_Lane" numFmtId="0">
      <sharedItems count="5">
        <s v="Trans-Pacific"/>
        <s v="Custom"/>
        <s v="Middle East-India"/>
        <s v="Asia-Europe"/>
        <s v="South Asia"/>
      </sharedItems>
    </cacheField>
    <cacheField name="Vessel_Name" numFmtId="0">
      <sharedItems count="8">
        <s v="Mumbai Maersk"/>
        <s v="Ever Ace"/>
        <s v="OOCL Hong Kong"/>
        <s v="Mary Maersk"/>
        <s v="CMA CGM Jacques Saadé"/>
        <s v="MSC Gülsün"/>
        <s v="Monaco Maersk"/>
        <s v="Madrid Maersk"/>
      </sharedItems>
    </cacheField>
    <cacheField name="Container_Type" numFmtId="0">
      <sharedItems/>
    </cacheField>
    <cacheField name="TEU" numFmtId="0">
      <sharedItems containsSemiMixedTypes="0" containsString="0" containsNumber="1" containsInteger="1" minValue="1" maxValue="4"/>
    </cacheField>
    <cacheField name="Cargo_Type" numFmtId="0">
      <sharedItems/>
    </cacheField>
    <cacheField name="Revenue_USD" numFmtId="0">
      <sharedItems containsSemiMixedTypes="0" containsString="0" containsNumber="1" minValue="6083.45" maxValue="179807.73"/>
    </cacheField>
    <cacheField name="Fuel_Cost_USD" numFmtId="0">
      <sharedItems containsSemiMixedTypes="0" containsString="0" containsNumber="1" minValue="1282.6099999999999" maxValue="52552.46"/>
    </cacheField>
    <cacheField name="Port_Charges_USD" numFmtId="0">
      <sharedItems containsSemiMixedTypes="0" containsString="0" containsNumber="1" minValue="317.45" maxValue="13627.97"/>
    </cacheField>
    <cacheField name="Customs_Cost_USD" numFmtId="0">
      <sharedItems containsSemiMixedTypes="0" containsString="0" containsNumber="1" minValue="70" maxValue="4952.2700000000004"/>
    </cacheField>
    <cacheField name="Insurance_USD" numFmtId="0">
      <sharedItems containsSemiMixedTypes="0" containsString="0" containsNumber="1" minValue="60.83" maxValue="1798.08"/>
    </cacheField>
    <cacheField name="Maintenance_Allocation_USD" numFmtId="0">
      <sharedItems containsSemiMixedTypes="0" containsString="0" containsNumber="1" minValue="101.74" maxValue="899.02"/>
    </cacheField>
    <cacheField name="Other_Operating_Cost_USD" numFmtId="0">
      <sharedItems containsSemiMixedTypes="0" containsString="0" containsNumber="1" minValue="301.36" maxValue="2499.9499999999998"/>
    </cacheField>
    <cacheField name="Profit_USD" numFmtId="0">
      <sharedItems containsSemiMixedTypes="0" containsString="0" containsNumber="1" minValue="1453.67" maxValue="128054.9"/>
    </cacheField>
    <cacheField name="Delay_Hours" numFmtId="0">
      <sharedItems containsSemiMixedTypes="0" containsString="0" containsNumber="1" containsInteger="1" minValue="0" maxValue="48"/>
    </cacheField>
    <cacheField name="Delay_Reason" numFmtId="0">
      <sharedItems count="6">
        <s v="Labor Strike"/>
        <s v="Mechanical"/>
        <s v="Customs"/>
        <s v="None"/>
        <s v="Weather"/>
        <s v="Port Congestion"/>
      </sharedItems>
    </cacheField>
    <cacheField name="CO2_Emission_Tonnes" numFmtId="0">
      <sharedItems containsSemiMixedTypes="0" containsString="0" containsNumber="1" minValue="10.69" maxValue="437.94"/>
    </cacheField>
    <cacheField name="Shipment_Status" numFmtId="0">
      <sharedItems count="2">
        <s v="Delayed"/>
        <s v="Completed"/>
      </sharedItems>
    </cacheField>
    <cacheField name="Payment_Status" numFmtId="0">
      <sharedItems/>
    </cacheField>
    <cacheField name="Priority" numFmtId="0">
      <sharedItems/>
    </cacheField>
    <cacheField name="Sales_Manager" numFmtId="0">
      <sharedItems/>
    </cacheField>
    <cacheField name="Region" numFmtId="0">
      <sharedItems/>
    </cacheField>
    <cacheField name="Month" numFmtId="165">
      <sharedItems containsSemiMixedTypes="0" containsNonDate="0" containsDate="1" containsString="0" minDate="2025-01-01T00:00:00" maxDate="2025-12-02T00:00:00" count="12">
        <d v="2025-06-01T00:00:00"/>
        <d v="2025-07-01T00:00:00"/>
        <d v="2025-12-01T00:00:00"/>
        <d v="2025-09-01T00:00:00"/>
        <d v="2025-08-01T00:00:00"/>
        <d v="2025-03-01T00:00:00"/>
        <d v="2025-05-01T00:00:00"/>
        <d v="2025-10-01T00:00:00"/>
        <d v="2025-11-01T00:00:00"/>
        <d v="2025-02-01T00:00:00"/>
        <d v="2025-04-01T00:00:00"/>
        <d v="2025-01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943010763891" createdVersion="8" refreshedVersion="8" minRefreshableVersion="3" recordCount="1001" xr:uid="{43A12FDA-69D2-4D95-BA11-24BE1D74E2A7}">
  <cacheSource type="worksheet">
    <worksheetSource ref="A1:AF1048576" sheet="MGS_Operations_FY2025"/>
  </cacheSource>
  <cacheFields count="32">
    <cacheField name="Shipment_ID" numFmtId="0">
      <sharedItems containsBlank="1"/>
    </cacheField>
    <cacheField name="Booking_ID" numFmtId="0">
      <sharedItems containsBlank="1"/>
    </cacheField>
    <cacheField name="Order_Date" numFmtId="0">
      <sharedItems containsNonDate="0" containsDate="1" containsString="0" containsBlank="1" minDate="2025-01-01T00:00:00" maxDate="2026-01-01T00:00:00"/>
    </cacheField>
    <cacheField name="Departure_Date" numFmtId="0">
      <sharedItems containsNonDate="0" containsDate="1" containsString="0" containsBlank="1" minDate="2025-01-02T00:00:00" maxDate="2026-01-04T00:00:00"/>
    </cacheField>
    <cacheField name="Arrival_Date" numFmtId="0">
      <sharedItems containsNonDate="0" containsDate="1" containsString="0" containsBlank="1" minDate="2025-01-17T00:00:00" maxDate="2026-01-27T00:00:00"/>
    </cacheField>
    <cacheField name="Customer_Name" numFmtId="0">
      <sharedItems containsBlank="1"/>
    </cacheField>
    <cacheField name="Industry" numFmtId="0">
      <sharedItems containsBlank="1"/>
    </cacheField>
    <cacheField name="Customer_Country" numFmtId="0">
      <sharedItems containsBlank="1"/>
    </cacheField>
    <cacheField name="Origin_Port" numFmtId="0">
      <sharedItems containsBlank="1"/>
    </cacheField>
    <cacheField name="Destination_Port" numFmtId="0">
      <sharedItems containsBlank="1"/>
    </cacheField>
    <cacheField name="Trade_Lane" numFmtId="0">
      <sharedItems containsBlank="1" count="6">
        <s v="Middle East-India"/>
        <s v="Asia-Europe"/>
        <s v="Custom"/>
        <s v="Trans-Pacific"/>
        <s v="South Asia"/>
        <m/>
      </sharedItems>
    </cacheField>
    <cacheField name="Vessel_Name" numFmtId="0">
      <sharedItems containsBlank="1"/>
    </cacheField>
    <cacheField name="Container_Type" numFmtId="0">
      <sharedItems containsBlank="1"/>
    </cacheField>
    <cacheField name="TEU" numFmtId="0">
      <sharedItems containsString="0" containsBlank="1" containsNumber="1" containsInteger="1" minValue="1" maxValue="4"/>
    </cacheField>
    <cacheField name="Cargo_Type" numFmtId="0">
      <sharedItems containsBlank="1"/>
    </cacheField>
    <cacheField name="Revenue_USD" numFmtId="0">
      <sharedItems containsString="0" containsBlank="1" containsNumber="1" minValue="6083.45" maxValue="179807.73"/>
    </cacheField>
    <cacheField name="Fuel_Cost_USD" numFmtId="0">
      <sharedItems containsString="0" containsBlank="1" containsNumber="1" minValue="1282.6099999999999" maxValue="52552.46"/>
    </cacheField>
    <cacheField name="Port_Charges_USD" numFmtId="0">
      <sharedItems containsString="0" containsBlank="1" containsNumber="1" minValue="317.45" maxValue="13627.97"/>
    </cacheField>
    <cacheField name="Customs_Cost_USD" numFmtId="0">
      <sharedItems containsString="0" containsBlank="1" containsNumber="1" minValue="70" maxValue="4952.2700000000004"/>
    </cacheField>
    <cacheField name="Insurance_USD" numFmtId="0">
      <sharedItems containsString="0" containsBlank="1" containsNumber="1" minValue="60.83" maxValue="1798.08"/>
    </cacheField>
    <cacheField name="Maintenance_Allocation_USD" numFmtId="0">
      <sharedItems containsString="0" containsBlank="1" containsNumber="1" minValue="101.74" maxValue="899.02"/>
    </cacheField>
    <cacheField name="Other_Operating_Cost_USD" numFmtId="0">
      <sharedItems containsString="0" containsBlank="1" containsNumber="1" minValue="301.36" maxValue="2499.9499999999998"/>
    </cacheField>
    <cacheField name="Profit_USD" numFmtId="0">
      <sharedItems containsString="0" containsBlank="1" containsNumber="1" minValue="1453.67" maxValue="128054.9"/>
    </cacheField>
    <cacheField name="Delay_Hours" numFmtId="0">
      <sharedItems containsString="0" containsBlank="1" containsNumber="1" containsInteger="1" minValue="0" maxValue="48"/>
    </cacheField>
    <cacheField name="Delay_Reason" numFmtId="0">
      <sharedItems containsBlank="1"/>
    </cacheField>
    <cacheField name="CO2_Emission_Tonnes" numFmtId="0">
      <sharedItems containsString="0" containsBlank="1" containsNumber="1" minValue="10.69" maxValue="437.94"/>
    </cacheField>
    <cacheField name="Shipment_Status" numFmtId="0">
      <sharedItems containsBlank="1"/>
    </cacheField>
    <cacheField name="Payment_Status" numFmtId="0">
      <sharedItems containsBlank="1"/>
    </cacheField>
    <cacheField name="Priority" numFmtId="0">
      <sharedItems containsBlank="1"/>
    </cacheField>
    <cacheField name="Sales_Manager" numFmtId="0">
      <sharedItems containsBlank="1"/>
    </cacheField>
    <cacheField name="Region" numFmtId="0">
      <sharedItems containsBlank="1"/>
    </cacheField>
    <cacheField name="Month" numFmtId="0">
      <sharedItems containsNonDate="0" containsDate="1" containsString="0" containsBlank="1" minDate="2025-01-01T00:00:00" maxDate="2025-1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95849247685" createdVersion="8" refreshedVersion="8" minRefreshableVersion="3" recordCount="1000" xr:uid="{ACF4E38D-9317-4D15-899D-83444F497535}">
  <cacheSource type="worksheet">
    <worksheetSource ref="A1:AG1001" sheet="MGS_Operations_FY2025"/>
  </cacheSource>
  <cacheFields count="33">
    <cacheField name="Shipment_ID" numFmtId="0">
      <sharedItems count="1000">
        <s v="SHP00086"/>
        <s v="SHP00142"/>
        <s v="SHP00478"/>
        <s v="SHP00231"/>
        <s v="SHP00651"/>
        <s v="SHP00024"/>
        <s v="SHP00984"/>
        <s v="SHP00127"/>
        <s v="SHP00444"/>
        <s v="SHP00113"/>
        <s v="SHP00439"/>
        <s v="SHP00068"/>
        <s v="SHP00350"/>
        <s v="SHP00158"/>
        <s v="SHP00449"/>
        <s v="SHP00157"/>
        <s v="SHP00925"/>
        <s v="SHP00597"/>
        <s v="SHP00631"/>
        <s v="SHP00921"/>
        <s v="SHP00526"/>
        <s v="SHP00398"/>
        <s v="SHP00151"/>
        <s v="SHP00855"/>
        <s v="SHP00899"/>
        <s v="SHP00079"/>
        <s v="SHP00188"/>
        <s v="SHP00771"/>
        <s v="SHP00373"/>
        <s v="SHP00752"/>
        <s v="SHP00807"/>
        <s v="SHP00803"/>
        <s v="SHP00202"/>
        <s v="SHP00912"/>
        <s v="SHP00164"/>
        <s v="SHP00649"/>
        <s v="SHP00981"/>
        <s v="SHP00928"/>
        <s v="SHP00331"/>
        <s v="SHP00988"/>
        <s v="SHP00569"/>
        <s v="SHP00349"/>
        <s v="SHP00216"/>
        <s v="SHP00592"/>
        <s v="SHP00292"/>
        <s v="SHP00987"/>
        <s v="SHP00057"/>
        <s v="SHP00690"/>
        <s v="SHP00915"/>
        <s v="SHP00520"/>
        <s v="SHP00579"/>
        <s v="SHP00982"/>
        <s v="SHP00522"/>
        <s v="SHP00812"/>
        <s v="SHP00118"/>
        <s v="SHP00318"/>
        <s v="SHP00582"/>
        <s v="SHP00094"/>
        <s v="SHP00782"/>
        <s v="SHP00260"/>
        <s v="SHP00275"/>
        <s v="SHP00035"/>
        <s v="SHP00482"/>
        <s v="SHP00080"/>
        <s v="SHP00392"/>
        <s v="SHP00555"/>
        <s v="SHP00900"/>
        <s v="SHP00845"/>
        <s v="SHP00122"/>
        <s v="SHP00043"/>
        <s v="SHP00405"/>
        <s v="SHP00021"/>
        <s v="SHP00319"/>
        <s v="SHP00645"/>
        <s v="SHP00200"/>
        <s v="SHP00757"/>
        <s v="SHP00163"/>
        <s v="SHP00538"/>
        <s v="SHP00111"/>
        <s v="SHP00174"/>
        <s v="SHP00953"/>
        <s v="SHP00861"/>
        <s v="SHP00844"/>
        <s v="SHP00191"/>
        <s v="SHP00715"/>
        <s v="SHP00665"/>
        <s v="SHP00703"/>
        <s v="SHP00309"/>
        <s v="SHP00368"/>
        <s v="SHP00534"/>
        <s v="SHP00250"/>
        <s v="SHP00294"/>
        <s v="SHP00804"/>
        <s v="SHP00374"/>
        <s v="SHP00236"/>
        <s v="SHP00619"/>
        <s v="SHP00642"/>
        <s v="SHP00124"/>
        <s v="SHP00884"/>
        <s v="SHP00234"/>
        <s v="SHP00638"/>
        <s v="SHP00408"/>
        <s v="SHP00908"/>
        <s v="SHP00704"/>
        <s v="SHP00920"/>
        <s v="SHP00359"/>
        <s v="SHP00672"/>
        <s v="SHP01000"/>
        <s v="SHP00603"/>
        <s v="SHP00870"/>
        <s v="SHP00045"/>
        <s v="SHP00041"/>
        <s v="SHP00091"/>
        <s v="SHP00894"/>
        <s v="SHP00979"/>
        <s v="SHP00650"/>
        <s v="SHP00549"/>
        <s v="SHP00946"/>
        <s v="SHP00914"/>
        <s v="SHP00371"/>
        <s v="SHP00789"/>
        <s v="SHP00031"/>
        <s v="SHP00001"/>
        <s v="SHP00253"/>
        <s v="SHP00930"/>
        <s v="SHP00327"/>
        <s v="SHP00951"/>
        <s v="SHP00097"/>
        <s v="SHP00578"/>
        <s v="SHP00913"/>
        <s v="SHP00390"/>
        <s v="SHP00623"/>
        <s v="SHP00816"/>
        <s v="SHP00039"/>
        <s v="SHP00563"/>
        <s v="SHP00854"/>
        <s v="SHP00213"/>
        <s v="SHP00055"/>
        <s v="SHP00896"/>
        <s v="SHP00835"/>
        <s v="SHP00149"/>
        <s v="SHP00768"/>
        <s v="SHP00573"/>
        <s v="SHP00823"/>
        <s v="SHP00256"/>
        <s v="SHP00367"/>
        <s v="SHP00769"/>
        <s v="SHP00049"/>
        <s v="SHP00527"/>
        <s v="SHP00472"/>
        <s v="SHP00090"/>
        <s v="SHP00495"/>
        <s v="SHP00193"/>
        <s v="SHP00018"/>
        <s v="SHP00685"/>
        <s v="SHP00379"/>
        <s v="SHP00333"/>
        <s v="SHP00565"/>
        <s v="SHP00510"/>
        <s v="SHP00548"/>
        <s v="SHP00707"/>
        <s v="SHP00093"/>
        <s v="SHP00726"/>
        <s v="SHP00919"/>
        <s v="SHP00641"/>
        <s v="SHP00190"/>
        <s v="SHP00007"/>
        <s v="SHP00153"/>
        <s v="SHP00744"/>
        <s v="SHP00967"/>
        <s v="SHP00509"/>
        <s v="SHP00401"/>
        <s v="SHP00976"/>
        <s v="SHP00719"/>
        <s v="SHP00402"/>
        <s v="SHP00570"/>
        <s v="SHP00400"/>
        <s v="SHP00066"/>
        <s v="SHP00314"/>
        <s v="SHP00512"/>
        <s v="SHP00391"/>
        <s v="SHP00388"/>
        <s v="SHP00385"/>
        <s v="SHP00027"/>
        <s v="SHP00725"/>
        <s v="SHP00755"/>
        <s v="SHP00096"/>
        <s v="SHP00251"/>
        <s v="SHP00945"/>
        <s v="SHP00795"/>
        <s v="SHP00443"/>
        <s v="SHP00452"/>
        <s v="SHP00357"/>
        <s v="SHP00893"/>
        <s v="SHP00310"/>
        <s v="SHP00060"/>
        <s v="SHP00189"/>
        <s v="SHP00606"/>
        <s v="SHP00262"/>
        <s v="SHP00787"/>
        <s v="SHP00229"/>
        <s v="SHP00820"/>
        <s v="SHP00916"/>
        <s v="SHP00735"/>
        <s v="SHP00626"/>
        <s v="SHP00134"/>
        <s v="SHP00396"/>
        <s v="SHP00130"/>
        <s v="SHP00997"/>
        <s v="SHP00270"/>
        <s v="SHP00030"/>
        <s v="SHP00668"/>
        <s v="SHP00701"/>
        <s v="SHP00687"/>
        <s v="SHP00741"/>
        <s v="SHP00947"/>
        <s v="SHP00104"/>
        <s v="SHP00972"/>
        <s v="SHP00959"/>
        <s v="SHP00779"/>
        <s v="SHP00205"/>
        <s v="SHP00278"/>
        <s v="SHP00182"/>
        <s v="SHP00797"/>
        <s v="SHP00432"/>
        <s v="SHP00558"/>
        <s v="SHP00087"/>
        <s v="SHP00112"/>
        <s v="SHP00323"/>
        <s v="SHP00839"/>
        <s v="SHP00926"/>
        <s v="SHP00838"/>
        <s v="SHP00364"/>
        <s v="SHP00711"/>
        <s v="SHP00424"/>
        <s v="SHP00999"/>
        <s v="SHP00758"/>
        <s v="SHP00566"/>
        <s v="SHP00479"/>
        <s v="SHP00663"/>
        <s v="SHP00939"/>
        <s v="SHP00587"/>
        <s v="SHP00417"/>
        <s v="SHP00948"/>
        <s v="SHP00048"/>
        <s v="SHP00215"/>
        <s v="SHP00261"/>
        <s v="SHP00315"/>
        <s v="SHP00792"/>
        <s v="SHP00540"/>
        <s v="SHP00208"/>
        <s v="SHP00772"/>
        <s v="SHP00332"/>
        <s v="SHP00969"/>
        <s v="SHP00561"/>
        <s v="SHP00958"/>
        <s v="SHP00942"/>
        <s v="SHP00825"/>
        <s v="SHP00463"/>
        <s v="SHP00991"/>
        <s v="SHP00155"/>
        <s v="SHP00718"/>
        <s v="SHP00351"/>
        <s v="SHP00058"/>
        <s v="SHP00312"/>
        <s v="SHP00675"/>
        <s v="SHP00760"/>
        <s v="SHP00009"/>
        <s v="SHP00214"/>
        <s v="SHP00903"/>
        <s v="SHP00494"/>
        <s v="SHP00524"/>
        <s v="SHP00515"/>
        <s v="SHP00195"/>
        <s v="SHP00863"/>
        <s v="SHP00268"/>
        <s v="SHP00028"/>
        <s v="SHP00790"/>
        <s v="SHP00546"/>
        <s v="SHP00721"/>
        <s v="SHP00557"/>
        <s v="SHP00366"/>
        <s v="SHP00753"/>
        <s v="SHP00177"/>
        <s v="SHP00545"/>
        <s v="SHP00514"/>
        <s v="SHP00708"/>
        <s v="SHP00814"/>
        <s v="SHP00681"/>
        <s v="SHP00567"/>
        <s v="SHP00584"/>
        <s v="SHP00064"/>
        <s v="SHP00596"/>
        <s v="SHP00489"/>
        <s v="SHP00535"/>
        <s v="SHP00075"/>
        <s v="SHP00805"/>
        <s v="SHP00618"/>
        <s v="SHP00556"/>
        <s v="SHP00242"/>
        <s v="SHP00695"/>
        <s v="SHP00011"/>
        <s v="SHP00083"/>
        <s v="SHP00732"/>
        <s v="SHP00219"/>
        <s v="SHP00481"/>
        <s v="SHP00892"/>
        <s v="SHP00433"/>
        <s v="SHP00750"/>
        <s v="SHP00664"/>
        <s v="SHP00830"/>
        <s v="SHP00201"/>
        <s v="SHP00676"/>
        <s v="SHP00519"/>
        <s v="SHP00698"/>
        <s v="SHP00652"/>
        <s v="SHP00078"/>
        <s v="SHP00949"/>
        <s v="SHP00382"/>
        <s v="SHP00937"/>
        <s v="SHP00604"/>
        <s v="SHP00211"/>
        <s v="SHP00742"/>
        <s v="SHP00849"/>
        <s v="SHP00628"/>
        <s v="SHP00985"/>
        <s v="SHP00683"/>
        <s v="SHP00501"/>
        <s v="SHP00621"/>
        <s v="SHP00858"/>
        <s v="SHP00005"/>
        <s v="SHP00372"/>
        <s v="SHP00634"/>
        <s v="SHP00962"/>
        <s v="SHP00120"/>
        <s v="SHP00950"/>
        <s v="SHP00856"/>
        <s v="SHP00994"/>
        <s v="SHP00437"/>
        <s v="SHP00904"/>
        <s v="SHP00420"/>
        <s v="SHP00799"/>
        <s v="SHP00530"/>
        <s v="SHP00395"/>
        <s v="SHP00300"/>
        <s v="SHP00794"/>
        <s v="SHP00145"/>
        <s v="SHP00643"/>
        <s v="SHP00228"/>
        <s v="SHP00409"/>
        <s v="SHP00506"/>
        <s v="SHP00542"/>
        <s v="SHP00944"/>
        <s v="SHP00776"/>
        <s v="SHP00864"/>
        <s v="SHP00429"/>
        <s v="SHP00165"/>
        <s v="SHP00203"/>
        <s v="SHP00720"/>
        <s v="SHP00483"/>
        <s v="SHP00905"/>
        <s v="SHP00138"/>
        <s v="SHP00595"/>
        <s v="SHP00670"/>
        <s v="SHP00224"/>
        <s v="SHP00160"/>
        <s v="SHP00887"/>
        <s v="SHP00179"/>
        <s v="SHP00454"/>
        <s v="SHP00453"/>
        <s v="SHP00121"/>
        <s v="SHP00577"/>
        <s v="SHP00957"/>
        <s v="SHP00218"/>
        <s v="SHP00284"/>
        <s v="SHP00636"/>
        <s v="SHP00591"/>
        <s v="SHP00431"/>
        <s v="SHP00004"/>
        <s v="SHP00034"/>
        <s v="SHP00765"/>
        <s v="SHP00240"/>
        <s v="SHP00119"/>
        <s v="SHP00505"/>
        <s v="SHP00674"/>
        <s v="SHP00036"/>
        <s v="SHP00877"/>
        <s v="SHP00766"/>
        <s v="SHP00943"/>
        <s v="SHP00412"/>
        <s v="SHP00802"/>
        <s v="SHP00285"/>
        <s v="SHP00415"/>
        <s v="SHP00020"/>
        <s v="SHP00488"/>
        <s v="SHP00141"/>
        <s v="SHP00037"/>
        <s v="SHP00117"/>
        <s v="SHP00129"/>
        <s v="SHP00147"/>
        <s v="SHP00249"/>
        <s v="SHP00699"/>
        <s v="SHP00895"/>
        <s v="SHP00485"/>
        <s v="SHP00342"/>
        <s v="SHP00508"/>
        <s v="SHP00671"/>
        <s v="SHP00325"/>
        <s v="SHP00764"/>
        <s v="SHP00889"/>
        <s v="SHP00966"/>
        <s v="SHP00277"/>
        <s v="SHP00423"/>
        <s v="SHP00480"/>
        <s v="SHP00992"/>
        <s v="SHP00712"/>
        <s v="SHP00271"/>
        <s v="SHP00222"/>
        <s v="SHP00737"/>
        <s v="SHP00010"/>
        <s v="SHP00196"/>
        <s v="SHP00724"/>
        <s v="SHP00252"/>
        <s v="SHP00927"/>
        <s v="SHP00154"/>
        <s v="SHP00736"/>
        <s v="SHP00321"/>
        <s v="SHP00180"/>
        <s v="SHP00133"/>
        <s v="SHP00956"/>
        <s v="SHP00322"/>
        <s v="SHP00186"/>
        <s v="SHP00504"/>
        <s v="SHP00289"/>
        <s v="SHP00239"/>
        <s v="SHP00783"/>
        <s v="SHP00688"/>
        <s v="SHP00450"/>
        <s v="SHP00241"/>
        <s v="SHP00403"/>
        <s v="SHP00593"/>
        <s v="SHP00363"/>
        <s v="SHP00749"/>
        <s v="SHP00227"/>
        <s v="SHP00071"/>
        <s v="SHP00150"/>
        <s v="SHP00404"/>
        <s v="SHP00365"/>
        <s v="SHP00414"/>
        <s v="SHP00629"/>
        <s v="SHP00826"/>
        <s v="SHP00808"/>
        <s v="SHP00383"/>
        <s v="SHP00473"/>
        <s v="SHP00677"/>
        <s v="SHP00399"/>
        <s v="SHP00632"/>
        <s v="SHP00343"/>
        <s v="SHP00167"/>
        <s v="SHP00722"/>
        <s v="SHP00786"/>
        <s v="SHP00210"/>
        <s v="SHP00089"/>
        <s v="SHP00131"/>
        <s v="SHP00291"/>
        <s v="SHP00733"/>
        <s v="SHP00425"/>
        <s v="SHP00594"/>
        <s v="SHP00358"/>
        <s v="SHP00630"/>
        <s v="SHP00532"/>
        <s v="SHP00821"/>
        <s v="SHP00279"/>
        <s v="SHP00679"/>
        <s v="SHP00477"/>
        <s v="SHP00181"/>
        <s v="SHP00932"/>
        <s v="SHP00929"/>
        <s v="SHP00125"/>
        <s v="SHP00274"/>
        <s v="SHP00627"/>
        <s v="SHP00084"/>
        <s v="SHP00468"/>
        <s v="SHP00178"/>
        <s v="SHP00416"/>
        <s v="SHP00933"/>
        <s v="SHP00194"/>
        <s v="SHP00061"/>
        <s v="SHP00705"/>
        <s v="SHP00993"/>
        <s v="SHP00901"/>
        <s v="SHP00376"/>
        <s v="SHP00605"/>
        <s v="SHP00354"/>
        <s v="SHP00355"/>
        <s v="SHP00362"/>
        <s v="SHP00352"/>
        <s v="SHP00550"/>
        <s v="SHP00247"/>
        <s v="SHP00640"/>
        <s v="SHP00175"/>
        <s v="SHP00983"/>
        <s v="SHP00095"/>
        <s v="SHP00487"/>
        <s v="SHP00748"/>
        <s v="SHP00335"/>
        <s v="SHP00774"/>
        <s v="SHP00290"/>
        <s v="SHP00347"/>
        <s v="SHP00819"/>
        <s v="SHP00230"/>
        <s v="SHP00832"/>
        <s v="SHP00493"/>
        <s v="SHP00576"/>
        <s v="SHP00660"/>
        <s v="SHP00554"/>
        <s v="SHP00156"/>
        <s v="SHP00259"/>
        <s v="SHP00474"/>
        <s v="SHP00326"/>
        <s v="SHP00276"/>
        <s v="SHP00600"/>
        <s v="SHP00466"/>
        <s v="SHP00517"/>
        <s v="SHP00051"/>
        <s v="SHP00003"/>
        <s v="SHP00448"/>
        <s v="SHP00857"/>
        <s v="SHP00159"/>
        <s v="SHP00047"/>
        <s v="SHP00475"/>
        <s v="SHP00267"/>
        <s v="SHP00146"/>
        <s v="SHP00305"/>
        <s v="SHP00465"/>
        <s v="SHP00898"/>
        <s v="SHP00612"/>
        <s v="SHP00123"/>
        <s v="SHP00907"/>
        <s v="SHP00906"/>
        <s v="SHP00280"/>
        <s v="SHP00564"/>
        <s v="SHP00225"/>
        <s v="SHP00693"/>
        <s v="SHP00082"/>
        <s v="SHP00973"/>
        <s v="SHP00890"/>
        <s v="SHP00462"/>
        <s v="SHP00380"/>
        <s v="SHP00841"/>
        <s v="SHP00773"/>
        <s v="SHP00187"/>
        <s v="SHP00853"/>
        <s v="SHP00888"/>
        <s v="SHP00761"/>
        <s v="SHP00102"/>
        <s v="SHP00866"/>
        <s v="SHP00324"/>
        <s v="SHP00560"/>
        <s v="SHP00867"/>
        <s v="SHP00316"/>
        <s v="SHP00777"/>
        <s v="SHP00822"/>
        <s v="SHP00143"/>
        <s v="SHP00678"/>
        <s v="SHP00669"/>
        <s v="SHP00728"/>
        <s v="SHP00547"/>
        <s v="SHP00344"/>
        <s v="SHP00052"/>
        <s v="SHP00571"/>
        <s v="SHP00296"/>
        <s v="SHP00457"/>
        <s v="SHP00653"/>
        <s v="SHP00209"/>
        <s v="SHP00680"/>
        <s v="SHP00694"/>
        <s v="SHP00273"/>
        <s v="SHP00730"/>
        <s v="SHP00338"/>
        <s v="SHP00964"/>
        <s v="SHP00659"/>
        <s v="SHP00529"/>
        <s v="SHP00666"/>
        <s v="SHP00171"/>
        <s v="SHP00023"/>
        <s v="SHP00389"/>
        <s v="SHP00745"/>
        <s v="SHP00873"/>
        <s v="SHP00788"/>
        <s v="SHP00406"/>
        <s v="SHP00859"/>
        <s v="SHP00696"/>
        <s v="SHP00223"/>
        <s v="SHP00220"/>
        <s v="SHP00689"/>
        <s v="SHP00397"/>
        <s v="SHP00954"/>
        <s v="SHP00662"/>
        <s v="SHP00192"/>
        <s v="SHP00445"/>
        <s v="SHP00778"/>
        <s v="SHP00427"/>
        <s v="SHP00971"/>
        <s v="SHP00968"/>
        <s v="SHP00523"/>
        <s v="SHP00085"/>
        <s v="SHP00661"/>
        <s v="SHP00006"/>
        <s v="SHP00800"/>
        <s v="SHP00710"/>
        <s v="SHP00152"/>
        <s v="SHP00166"/>
        <s v="SHP00811"/>
        <s v="SHP00936"/>
        <s v="SHP00609"/>
        <s v="SHP00244"/>
        <s v="SHP00502"/>
        <s v="SHP00447"/>
        <s v="SHP00886"/>
        <s v="SHP00059"/>
        <s v="SHP00140"/>
        <s v="SHP00282"/>
        <s v="SHP00706"/>
        <s v="SHP00286"/>
        <s v="SHP00572"/>
        <s v="SHP00525"/>
        <s v="SHP00775"/>
        <s v="SHP00303"/>
        <s v="SHP00098"/>
        <s v="SHP00780"/>
        <s v="SHP00610"/>
        <s v="SHP00918"/>
        <s v="SHP00074"/>
        <s v="SHP00965"/>
        <s v="SHP00436"/>
        <s v="SHP00077"/>
        <s v="SHP00910"/>
        <s v="SHP00288"/>
        <s v="SHP00330"/>
        <s v="SHP00516"/>
        <s v="SHP00980"/>
        <s v="SHP00070"/>
        <s v="SHP00834"/>
        <s v="SHP00471"/>
        <s v="SHP00897"/>
        <s v="SHP00655"/>
        <s v="SHP00544"/>
        <s v="SHP00806"/>
        <s v="SHP00851"/>
        <s v="SHP00378"/>
        <s v="SHP00101"/>
        <s v="SHP00283"/>
        <s v="SHP00461"/>
        <s v="SHP00656"/>
        <s v="SHP00246"/>
        <s v="SHP00738"/>
        <s v="SHP00882"/>
        <s v="SHP00492"/>
        <s v="SHP00387"/>
        <s v="SHP00232"/>
        <s v="SHP00881"/>
        <s v="SHP00798"/>
        <s v="SHP00369"/>
        <s v="SHP00702"/>
        <s v="SHP00875"/>
        <s v="SHP00329"/>
        <s v="SHP00476"/>
        <s v="SHP00611"/>
        <s v="SHP00746"/>
        <s v="SHP00384"/>
        <s v="SHP00562"/>
        <s v="SHP00116"/>
        <s v="SHP00860"/>
        <s v="SHP00607"/>
        <s v="SHP00658"/>
        <s v="SHP00874"/>
        <s v="SHP00935"/>
        <s v="SHP00038"/>
        <s v="SHP00996"/>
        <s v="SHP00598"/>
        <s v="SHP00583"/>
        <s v="SHP00269"/>
        <s v="SHP00381"/>
        <s v="SHP00865"/>
        <s v="SHP00963"/>
        <s v="SHP00585"/>
        <s v="SHP00032"/>
        <s v="SHP00955"/>
        <s v="SHP00902"/>
        <s v="SHP00346"/>
        <s v="SHP00883"/>
        <s v="SHP00961"/>
        <s v="SHP00751"/>
        <s v="SHP00518"/>
        <s v="SHP00451"/>
        <s v="SHP00533"/>
        <s v="SHP00469"/>
        <s v="SHP00552"/>
        <s v="SHP00513"/>
        <s v="SHP00868"/>
        <s v="SHP00528"/>
        <s v="SHP00531"/>
        <s v="SHP00128"/>
        <s v="SHP00053"/>
        <s v="SHP00599"/>
        <s v="SHP00212"/>
        <s v="SHP00455"/>
        <s v="SHP00136"/>
        <s v="SHP00697"/>
        <s v="SHP00713"/>
        <s v="SHP00543"/>
        <s v="SHP00072"/>
        <s v="SHP00960"/>
        <s v="SHP00441"/>
        <s v="SHP00348"/>
        <s v="SHP00568"/>
        <s v="SHP00941"/>
        <s v="SHP00022"/>
        <s v="SHP00217"/>
        <s v="SHP00620"/>
        <s v="SHP00353"/>
        <s v="SHP00852"/>
        <s v="SHP00909"/>
        <s v="SHP00069"/>
        <s v="SHP00521"/>
        <s v="SHP00148"/>
        <s v="SHP00245"/>
        <s v="SHP00422"/>
        <s v="SHP00226"/>
        <s v="SHP00287"/>
        <s v="SHP00334"/>
        <s v="SHP00017"/>
        <s v="SHP00709"/>
        <s v="SHP00081"/>
        <s v="SHP00625"/>
        <s v="SHP00491"/>
        <s v="SHP00197"/>
        <s v="SHP00050"/>
        <s v="SHP00238"/>
        <s v="SHP00421"/>
        <s v="SHP00785"/>
        <s v="SHP00446"/>
        <s v="SHP00781"/>
        <s v="SHP00295"/>
        <s v="SHP00617"/>
        <s v="SHP00931"/>
        <s v="SHP00843"/>
        <s v="SHP00199"/>
        <s v="SHP00739"/>
        <s v="SHP00729"/>
        <s v="SHP00762"/>
        <s v="SHP00126"/>
        <s v="SHP00076"/>
        <s v="SHP00763"/>
        <s v="SHP00430"/>
        <s v="SHP00012"/>
        <s v="SHP00723"/>
        <s v="SHP00829"/>
        <s v="SHP00977"/>
        <s v="SHP00975"/>
        <s v="SHP00114"/>
        <s v="SHP00067"/>
        <s v="SHP00161"/>
        <s v="SHP00298"/>
        <s v="SHP00809"/>
        <s v="SHP00686"/>
        <s v="SHP00756"/>
        <s v="SHP00615"/>
        <s v="SHP00170"/>
        <s v="SHP00307"/>
        <s v="SHP00470"/>
        <s v="SHP00684"/>
        <s v="SHP00185"/>
        <s v="SHP00062"/>
        <s v="SHP00265"/>
        <s v="SHP00440"/>
        <s v="SHP00637"/>
        <s v="SHP00169"/>
        <s v="SHP00106"/>
        <s v="SHP00498"/>
        <s v="SHP00056"/>
        <s v="SHP00940"/>
        <s v="SHP00818"/>
        <s v="SHP00872"/>
        <s v="SHP00183"/>
        <s v="SHP00871"/>
        <s v="SHP00978"/>
        <s v="SHP00589"/>
        <s v="SHP00848"/>
        <s v="SHP00207"/>
        <s v="SHP00952"/>
        <s v="SHP00328"/>
        <s v="SHP00575"/>
        <s v="SHP00840"/>
        <s v="SHP00581"/>
        <s v="SHP00911"/>
        <s v="SHP00700"/>
        <s v="SHP00754"/>
        <s v="SHP00539"/>
        <s v="SHP00836"/>
        <s v="SHP00042"/>
        <s v="SHP00115"/>
        <s v="SHP00885"/>
        <s v="SHP00986"/>
        <s v="SHP00299"/>
        <s v="SHP00206"/>
        <s v="SHP00622"/>
        <s v="SHP00313"/>
        <s v="SHP00459"/>
        <s v="SHP00467"/>
        <s v="SHP00460"/>
        <s v="SHP00862"/>
        <s v="SHP00029"/>
        <s v="SHP00847"/>
        <s v="SHP00970"/>
        <s v="SHP00876"/>
        <s v="SHP00302"/>
        <s v="SHP00458"/>
        <s v="SHP00934"/>
        <s v="SHP00536"/>
        <s v="SHP00827"/>
        <s v="SHP00879"/>
        <s v="SHP00791"/>
        <s v="SHP00046"/>
        <s v="SHP00503"/>
        <s v="SHP00336"/>
        <s v="SHP00990"/>
        <s v="SHP00646"/>
        <s v="SHP00500"/>
        <s v="SHP00828"/>
        <s v="SHP00063"/>
        <s v="SHP00644"/>
        <s v="SHP00880"/>
        <s v="SHP00386"/>
        <s v="SHP00044"/>
        <s v="SHP00541"/>
        <s v="SHP00717"/>
        <s v="SHP00923"/>
        <s v="SHP00109"/>
        <s v="SHP00092"/>
        <s v="SHP00248"/>
        <s v="SHP00132"/>
        <s v="SHP00815"/>
        <s v="SHP00108"/>
        <s v="SHP00375"/>
        <s v="SHP00486"/>
        <s v="SHP00995"/>
        <s v="SHP00308"/>
        <s v="SHP00602"/>
        <s v="SHP00002"/>
        <s v="SHP00588"/>
        <s v="SHP00426"/>
        <s v="SHP00311"/>
        <s v="SHP00590"/>
        <s v="SHP00490"/>
        <s v="SHP00743"/>
        <s v="SHP00989"/>
        <s v="SHP00413"/>
        <s v="SHP00337"/>
        <s v="SHP00297"/>
        <s v="SHP00257"/>
        <s v="SHP00616"/>
        <s v="SHP00878"/>
        <s v="SHP00464"/>
        <s v="SHP00137"/>
        <s v="SHP00727"/>
        <s v="SHP00139"/>
        <s v="SHP00345"/>
        <s v="SHP00869"/>
        <s v="SHP00176"/>
        <s v="SHP00073"/>
        <s v="SHP00435"/>
        <s v="SHP00015"/>
        <s v="SHP00998"/>
        <s v="SHP00716"/>
        <s v="SHP00418"/>
        <s v="SHP00654"/>
        <s v="SHP00434"/>
        <s v="SHP00667"/>
        <s v="SHP00608"/>
        <s v="SHP00551"/>
        <s v="SHP00507"/>
        <s v="SHP00026"/>
        <s v="SHP00734"/>
        <s v="SHP00393"/>
        <s v="SHP00846"/>
        <s v="SHP00647"/>
        <s v="SHP00837"/>
        <s v="SHP00065"/>
        <s v="SHP00254"/>
        <s v="SHP00281"/>
        <s v="SHP00938"/>
        <s v="SHP00304"/>
        <s v="SHP00580"/>
        <s v="SHP00767"/>
        <s v="SHP00394"/>
        <s v="SHP00235"/>
        <s v="SHP00013"/>
        <s v="SHP00320"/>
        <s v="SHP00341"/>
        <s v="SHP00691"/>
        <s v="SHP00635"/>
        <s v="SHP00842"/>
        <s v="SHP00759"/>
        <s v="SHP00370"/>
        <s v="SHP00456"/>
        <s v="SHP00293"/>
        <s v="SHP00817"/>
        <s v="SHP00614"/>
        <s v="SHP00586"/>
        <s v="SHP00014"/>
        <s v="SHP00356"/>
        <s v="SHP00237"/>
        <s v="SHP00221"/>
        <s v="SHP00184"/>
        <s v="SHP00272"/>
        <s v="SHP00266"/>
        <s v="SHP00613"/>
        <s v="SHP00264"/>
        <s v="SHP00008"/>
        <s v="SHP00110"/>
        <s v="SHP00484"/>
        <s v="SHP00784"/>
        <s v="SHP00019"/>
        <s v="SHP00361"/>
        <s v="SHP00100"/>
        <s v="SHP00831"/>
        <s v="SHP00204"/>
        <s v="SHP00103"/>
        <s v="SHP00682"/>
        <s v="SHP00499"/>
        <s v="SHP00411"/>
        <s v="SHP00428"/>
        <s v="SHP00850"/>
        <s v="SHP00173"/>
        <s v="SHP00054"/>
        <s v="SHP00419"/>
        <s v="SHP00377"/>
        <s v="SHP00162"/>
        <s v="SHP00263"/>
        <s v="SHP00511"/>
        <s v="SHP00317"/>
        <s v="SHP00639"/>
        <s v="SHP00714"/>
        <s v="SHP00796"/>
        <s v="SHP00258"/>
        <s v="SHP00624"/>
        <s v="SHP00801"/>
        <s v="SHP00442"/>
        <s v="SHP00553"/>
        <s v="SHP00731"/>
        <s v="SHP00105"/>
        <s v="SHP00099"/>
        <s v="SHP00144"/>
        <s v="SHP00340"/>
        <s v="SHP00648"/>
        <s v="SHP00657"/>
        <s v="SHP00040"/>
        <s v="SHP00497"/>
        <s v="SHP00088"/>
        <s v="SHP00922"/>
        <s v="SHP00410"/>
        <s v="SHP00172"/>
        <s v="SHP00301"/>
        <s v="SHP00496"/>
        <s v="SHP00407"/>
        <s v="SHP00135"/>
        <s v="SHP00833"/>
        <s v="SHP00924"/>
        <s v="SHP00770"/>
        <s v="SHP00601"/>
        <s v="SHP00974"/>
        <s v="SHP00633"/>
        <s v="SHP00107"/>
        <s v="SHP00233"/>
        <s v="SHP00016"/>
        <s v="SHP00243"/>
        <s v="SHP00537"/>
        <s v="SHP00824"/>
        <s v="SHP00747"/>
        <s v="SHP00198"/>
        <s v="SHP00255"/>
        <s v="SHP00891"/>
        <s v="SHP00692"/>
        <s v="SHP00793"/>
        <s v="SHP00813"/>
        <s v="SHP00438"/>
        <s v="SHP00559"/>
        <s v="SHP00360"/>
        <s v="SHP00025"/>
        <s v="SHP00574"/>
        <s v="SHP00306"/>
        <s v="SHP00339"/>
        <s v="SHP00917"/>
        <s v="SHP00810"/>
        <s v="SHP00168"/>
        <s v="SHP00033"/>
        <s v="SHP00740"/>
        <s v="SHP00673"/>
      </sharedItems>
    </cacheField>
    <cacheField name="Booking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Departure_Date" numFmtId="164">
      <sharedItems containsSemiMixedTypes="0" containsNonDate="0" containsDate="1" containsString="0" minDate="2025-01-02T00:00:00" maxDate="2026-01-04T00:00:00"/>
    </cacheField>
    <cacheField name="Arrival_Date" numFmtId="164">
      <sharedItems containsSemiMixedTypes="0" containsNonDate="0" containsDate="1" containsString="0" minDate="2025-01-17T00:00:00" maxDate="2026-01-27T00:00:00"/>
    </cacheField>
    <cacheField name="Customer_Name" numFmtId="0">
      <sharedItems/>
    </cacheField>
    <cacheField name="Industry" numFmtId="0">
      <sharedItems/>
    </cacheField>
    <cacheField name="Customer_Country" numFmtId="0">
      <sharedItems/>
    </cacheField>
    <cacheField name="Origin_Port" numFmtId="0">
      <sharedItems/>
    </cacheField>
    <cacheField name="Destination_Port" numFmtId="0">
      <sharedItems/>
    </cacheField>
    <cacheField name="Trade_Lane" numFmtId="0">
      <sharedItems count="5">
        <s v="Middle East-India"/>
        <s v="Asia-Europe"/>
        <s v="Custom"/>
        <s v="Trans-Pacific"/>
        <s v="South Asia"/>
      </sharedItems>
    </cacheField>
    <cacheField name="Vessel_Name" numFmtId="0">
      <sharedItems/>
    </cacheField>
    <cacheField name="Container_Type" numFmtId="0">
      <sharedItems/>
    </cacheField>
    <cacheField name="TEU" numFmtId="0">
      <sharedItems containsSemiMixedTypes="0" containsString="0" containsNumber="1" containsInteger="1" minValue="1" maxValue="4"/>
    </cacheField>
    <cacheField name="Cargo_Type" numFmtId="0">
      <sharedItems/>
    </cacheField>
    <cacheField name="Revenue_USD" numFmtId="0">
      <sharedItems containsSemiMixedTypes="0" containsString="0" containsNumber="1" minValue="6083.45" maxValue="179807.73"/>
    </cacheField>
    <cacheField name="Fuel_Cost_USD" numFmtId="0">
      <sharedItems containsSemiMixedTypes="0" containsString="0" containsNumber="1" minValue="1282.6099999999999" maxValue="52552.46"/>
    </cacheField>
    <cacheField name="Port_Charges_USD" numFmtId="0">
      <sharedItems containsSemiMixedTypes="0" containsString="0" containsNumber="1" minValue="317.45" maxValue="13627.97"/>
    </cacheField>
    <cacheField name="Customs_Cost_USD" numFmtId="0">
      <sharedItems containsSemiMixedTypes="0" containsString="0" containsNumber="1" minValue="70" maxValue="4952.2700000000004"/>
    </cacheField>
    <cacheField name="Insurance_USD" numFmtId="0">
      <sharedItems containsSemiMixedTypes="0" containsString="0" containsNumber="1" minValue="60.83" maxValue="1798.08"/>
    </cacheField>
    <cacheField name="Maintenance_Allocation_USD" numFmtId="0">
      <sharedItems containsSemiMixedTypes="0" containsString="0" containsNumber="1" minValue="101.74" maxValue="899.02"/>
    </cacheField>
    <cacheField name="Other_Operating_Cost_USD" numFmtId="0">
      <sharedItems containsSemiMixedTypes="0" containsString="0" containsNumber="1" minValue="301.36" maxValue="2499.9499999999998"/>
    </cacheField>
    <cacheField name="Profit_USD" numFmtId="0">
      <sharedItems containsSemiMixedTypes="0" containsString="0" containsNumber="1" minValue="1453.67" maxValue="128054.9"/>
    </cacheField>
    <cacheField name="Delay_Hours" numFmtId="0">
      <sharedItems containsSemiMixedTypes="0" containsString="0" containsNumber="1" containsInteger="1" minValue="0" maxValue="48"/>
    </cacheField>
    <cacheField name="Delay_Reason" numFmtId="0">
      <sharedItems/>
    </cacheField>
    <cacheField name="CO2_Emission_Tonnes" numFmtId="0">
      <sharedItems containsSemiMixedTypes="0" containsString="0" containsNumber="1" minValue="10.69" maxValue="437.94"/>
    </cacheField>
    <cacheField name="Shipment_Status" numFmtId="0">
      <sharedItems/>
    </cacheField>
    <cacheField name="Payment_Status" numFmtId="0">
      <sharedItems/>
    </cacheField>
    <cacheField name="Priority" numFmtId="0">
      <sharedItems/>
    </cacheField>
    <cacheField name="Sales_Manager" numFmtId="0">
      <sharedItems/>
    </cacheField>
    <cacheField name="Region" numFmtId="0">
      <sharedItems/>
    </cacheField>
    <cacheField name="Month" numFmtId="165">
      <sharedItems containsSemiMixedTypes="0" containsNonDate="0" containsDate="1" containsString="0" minDate="2025-01-01T00:00:00" maxDate="2025-12-02T00:00:00"/>
    </cacheField>
    <cacheField name="Duration" numFmtId="0">
      <sharedItems containsSemiMixedTypes="0" containsString="0" containsNumber="1" containsInteger="1" minValue="10" maxValue="30" count="21">
        <n v="16"/>
        <n v="14"/>
        <n v="27"/>
        <n v="26"/>
        <n v="22"/>
        <n v="11"/>
        <n v="15"/>
        <n v="23"/>
        <n v="24"/>
        <n v="21"/>
        <n v="25"/>
        <n v="19"/>
        <n v="12"/>
        <n v="13"/>
        <n v="18"/>
        <n v="10"/>
        <n v="20"/>
        <n v="28"/>
        <n v="17"/>
        <n v="30"/>
        <n v="2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BK50001"/>
    <d v="2025-06-28T00:00:00"/>
    <d v="2025-07-02T00:00:00"/>
    <d v="2025-07-25T00:00:00"/>
    <x v="0"/>
    <s v="Retail"/>
    <s v="India"/>
    <s v="Busan"/>
    <s v="Los Angeles"/>
    <x v="0"/>
    <x v="0"/>
    <s v="High Cube"/>
    <n v="2"/>
    <s v="Furniture"/>
    <n v="18690"/>
    <n v="5394.26"/>
    <n v="1311.49"/>
    <n v="221.44"/>
    <n v="186.9"/>
    <n v="801.45"/>
    <n v="2070.34"/>
    <n v="8704.1200000000008"/>
    <n v="24"/>
    <x v="0"/>
    <n v="44.95"/>
    <x v="0"/>
    <s v="Pending"/>
    <s v="Critical"/>
    <s v="R. Mehta"/>
    <s v="North America"/>
    <x v="0"/>
  </r>
  <r>
    <x v="1"/>
    <s v="BK50002"/>
    <d v="2025-07-12T00:00:00"/>
    <d v="2025-07-15T00:00:00"/>
    <d v="2025-07-28T00:00:00"/>
    <x v="1"/>
    <s v="FMCG"/>
    <s v="UK"/>
    <s v="Nhava Sheva"/>
    <s v="Los Angeles"/>
    <x v="1"/>
    <x v="0"/>
    <s v="High Cube"/>
    <n v="4"/>
    <s v="Food"/>
    <n v="93591.95"/>
    <n v="25012.22"/>
    <n v="7195.1"/>
    <n v="1868.07"/>
    <n v="935.92"/>
    <n v="306.05"/>
    <n v="991.46"/>
    <n v="57283.13"/>
    <n v="12"/>
    <x v="0"/>
    <n v="208.44"/>
    <x v="0"/>
    <s v="Paid"/>
    <s v="High"/>
    <s v="M. Ahmed"/>
    <s v="Europe"/>
    <x v="1"/>
  </r>
  <r>
    <x v="2"/>
    <s v="BK50003"/>
    <d v="2025-12-21T00:00:00"/>
    <d v="2025-12-24T00:00:00"/>
    <d v="2026-01-04T00:00:00"/>
    <x v="2"/>
    <s v="Electronics"/>
    <s v="South Korea"/>
    <s v="Jebel Ali"/>
    <s v="Nhava Sheva"/>
    <x v="2"/>
    <x v="1"/>
    <s v="40FT"/>
    <n v="4"/>
    <s v="Machinery"/>
    <n v="49247.29"/>
    <n v="13881.31"/>
    <n v="2247.5100000000002"/>
    <n v="498.97"/>
    <n v="492.47"/>
    <n v="241.6"/>
    <n v="1652.17"/>
    <n v="30233.26"/>
    <n v="4"/>
    <x v="1"/>
    <n v="115.68"/>
    <x v="0"/>
    <s v="Pending"/>
    <s v="High"/>
    <s v="A. Tan"/>
    <s v="Middle East"/>
    <x v="2"/>
  </r>
  <r>
    <x v="3"/>
    <s v="BK50004"/>
    <d v="2025-09-04T00:00:00"/>
    <d v="2025-09-05T00:00:00"/>
    <d v="2025-09-25T00:00:00"/>
    <x v="3"/>
    <s v="Electronics"/>
    <s v="South Korea"/>
    <s v="Jebel Ali"/>
    <s v="Nhava Sheva"/>
    <x v="2"/>
    <x v="0"/>
    <s v="40FT"/>
    <n v="1"/>
    <s v="Food"/>
    <n v="37760.550000000003"/>
    <n v="7410.01"/>
    <n v="2216.38"/>
    <n v="1030.74"/>
    <n v="377.61"/>
    <n v="658.9"/>
    <n v="2334.4699999999998"/>
    <n v="23732.44"/>
    <n v="24"/>
    <x v="2"/>
    <n v="61.75"/>
    <x v="0"/>
    <s v="Paid"/>
    <s v="Standard"/>
    <s v="J. Smith"/>
    <s v="Asia"/>
    <x v="3"/>
  </r>
  <r>
    <x v="4"/>
    <s v="BK50005"/>
    <d v="2025-09-06T00:00:00"/>
    <d v="2025-09-10T00:00:00"/>
    <d v="2025-10-05T00:00:00"/>
    <x v="1"/>
    <s v="FMCG"/>
    <s v="UK"/>
    <s v="Singapore"/>
    <s v="Jebel Ali"/>
    <x v="1"/>
    <x v="2"/>
    <s v="40FT"/>
    <n v="2"/>
    <s v="Food"/>
    <n v="34375.42"/>
    <n v="8263.4599999999991"/>
    <n v="2575.59"/>
    <n v="720.45"/>
    <n v="343.75"/>
    <n v="383.84"/>
    <n v="1310.33"/>
    <n v="20778"/>
    <n v="0"/>
    <x v="3"/>
    <n v="68.86"/>
    <x v="1"/>
    <s v="Pending"/>
    <s v="Critical"/>
    <s v="J. Smith"/>
    <s v="North America"/>
    <x v="3"/>
  </r>
  <r>
    <x v="5"/>
    <s v="BK50006"/>
    <d v="2025-08-16T00:00:00"/>
    <d v="2025-08-19T00:00:00"/>
    <d v="2025-09-11T00:00:00"/>
    <x v="4"/>
    <s v="Manufacturing"/>
    <s v="Germany"/>
    <s v="Busan"/>
    <s v="Los Angeles"/>
    <x v="0"/>
    <x v="3"/>
    <s v="High Cube"/>
    <n v="2"/>
    <s v="Chemicals"/>
    <n v="58605.69"/>
    <n v="9838.74"/>
    <n v="2538.7800000000002"/>
    <n v="1540.42"/>
    <n v="586.05999999999995"/>
    <n v="222.65"/>
    <n v="934.84"/>
    <n v="42944.2"/>
    <n v="4"/>
    <x v="4"/>
    <n v="81.99"/>
    <x v="0"/>
    <s v="Paid"/>
    <s v="High"/>
    <s v="R. Mehta"/>
    <s v="Asia"/>
    <x v="4"/>
  </r>
  <r>
    <x v="6"/>
    <s v="BK50007"/>
    <d v="2025-03-26T00:00:00"/>
    <d v="2025-03-30T00:00:00"/>
    <d v="2025-04-26T00:00:00"/>
    <x v="5"/>
    <s v="Food"/>
    <s v="Switzerland"/>
    <s v="Jebel Ali"/>
    <s v="New York"/>
    <x v="1"/>
    <x v="4"/>
    <s v="40FT"/>
    <n v="2"/>
    <s v="Electronics"/>
    <n v="23004.7"/>
    <n v="6214.21"/>
    <n v="1594.33"/>
    <n v="564.61"/>
    <n v="230.05"/>
    <n v="522.48"/>
    <n v="1800.25"/>
    <n v="12078.77"/>
    <n v="0"/>
    <x v="3"/>
    <n v="51.79"/>
    <x v="1"/>
    <s v="Pending"/>
    <s v="Critical"/>
    <s v="A. Tan"/>
    <s v="Asia"/>
    <x v="5"/>
  </r>
  <r>
    <x v="7"/>
    <s v="BK50008"/>
    <d v="2025-06-20T00:00:00"/>
    <d v="2025-06-24T00:00:00"/>
    <d v="2025-07-06T00:00:00"/>
    <x v="1"/>
    <s v="FMCG"/>
    <s v="UK"/>
    <s v="Shanghai"/>
    <s v="Rotterdam"/>
    <x v="3"/>
    <x v="3"/>
    <s v="High Cube"/>
    <n v="4"/>
    <s v="Food"/>
    <n v="132552.51999999999"/>
    <n v="36370.82"/>
    <n v="9792.27"/>
    <n v="2529.41"/>
    <n v="1325.53"/>
    <n v="860.96"/>
    <n v="2493"/>
    <n v="79180.53"/>
    <n v="0"/>
    <x v="3"/>
    <n v="303.08999999999997"/>
    <x v="1"/>
    <s v="Paid"/>
    <s v="Standard"/>
    <s v="J. Smith"/>
    <s v="North America"/>
    <x v="0"/>
  </r>
  <r>
    <x v="8"/>
    <s v="BK50009"/>
    <d v="2025-05-05T00:00:00"/>
    <d v="2025-05-09T00:00:00"/>
    <d v="2025-06-04T00:00:00"/>
    <x v="6"/>
    <s v="Pharma"/>
    <s v="USA"/>
    <s v="Singapore"/>
    <s v="Rotterdam"/>
    <x v="3"/>
    <x v="1"/>
    <s v="Reefer"/>
    <n v="1"/>
    <s v="Electronics"/>
    <n v="30629.18"/>
    <n v="5075.16"/>
    <n v="1696.72"/>
    <n v="775.69"/>
    <n v="306.29000000000002"/>
    <n v="382.9"/>
    <n v="638.34"/>
    <n v="21754.080000000002"/>
    <n v="0"/>
    <x v="3"/>
    <n v="42.29"/>
    <x v="1"/>
    <s v="Pending"/>
    <s v="Critical"/>
    <s v="R. Mehta"/>
    <s v="North America"/>
    <x v="6"/>
  </r>
  <r>
    <x v="9"/>
    <s v="BK50010"/>
    <d v="2025-08-14T00:00:00"/>
    <d v="2025-08-17T00:00:00"/>
    <d v="2025-09-14T00:00:00"/>
    <x v="3"/>
    <s v="Electronics"/>
    <s v="South Korea"/>
    <s v="Colombo"/>
    <s v="Hamburg"/>
    <x v="1"/>
    <x v="4"/>
    <s v="20FT"/>
    <n v="1"/>
    <s v="Furniture"/>
    <n v="40914.449999999997"/>
    <n v="8449.39"/>
    <n v="2618.9299999999998"/>
    <n v="1189.95"/>
    <n v="409.14"/>
    <n v="668.72"/>
    <n v="1180.77"/>
    <n v="26397.55"/>
    <n v="48"/>
    <x v="5"/>
    <n v="70.41"/>
    <x v="0"/>
    <s v="Paid"/>
    <s v="Critical"/>
    <s v="L. Chen"/>
    <s v="Middle East"/>
    <x v="4"/>
  </r>
  <r>
    <x v="10"/>
    <s v="BK50011"/>
    <d v="2025-06-29T00:00:00"/>
    <d v="2025-07-01T00:00:00"/>
    <d v="2025-07-31T00:00:00"/>
    <x v="7"/>
    <s v="Retail"/>
    <s v="Germany"/>
    <s v="Shanghai"/>
    <s v="Rotterdam"/>
    <x v="3"/>
    <x v="0"/>
    <s v="20FT"/>
    <n v="1"/>
    <s v="Auto Parts"/>
    <n v="32782.57"/>
    <n v="9419.66"/>
    <n v="1363.54"/>
    <n v="548.07000000000005"/>
    <n v="327.83"/>
    <n v="601.70000000000005"/>
    <n v="622.05999999999995"/>
    <n v="19899.71"/>
    <n v="48"/>
    <x v="5"/>
    <n v="78.5"/>
    <x v="0"/>
    <s v="Paid"/>
    <s v="Standard"/>
    <s v="J. Smith"/>
    <s v="Middle East"/>
    <x v="0"/>
  </r>
  <r>
    <x v="11"/>
    <s v="BK50012"/>
    <d v="2025-08-29T00:00:00"/>
    <d v="2025-08-31T00:00:00"/>
    <d v="2025-09-26T00:00:00"/>
    <x v="8"/>
    <s v="Retail"/>
    <s v="Sweden"/>
    <s v="Colombo"/>
    <s v="Singapore"/>
    <x v="4"/>
    <x v="1"/>
    <s v="High Cube"/>
    <n v="2"/>
    <s v="Textiles"/>
    <n v="78606.11"/>
    <n v="22652.38"/>
    <n v="5424.17"/>
    <n v="1506.41"/>
    <n v="786.06"/>
    <n v="465.82"/>
    <n v="651.13"/>
    <n v="47120.14"/>
    <n v="36"/>
    <x v="4"/>
    <n v="188.77"/>
    <x v="0"/>
    <s v="Paid"/>
    <s v="High"/>
    <s v="R. Mehta"/>
    <s v="North America"/>
    <x v="4"/>
  </r>
  <r>
    <x v="12"/>
    <s v="BK50013"/>
    <d v="2025-09-09T00:00:00"/>
    <d v="2025-09-13T00:00:00"/>
    <d v="2025-10-02T00:00:00"/>
    <x v="3"/>
    <s v="Electronics"/>
    <s v="South Korea"/>
    <s v="Colombo"/>
    <s v="Singapore"/>
    <x v="4"/>
    <x v="4"/>
    <s v="High Cube"/>
    <n v="4"/>
    <s v="Auto Parts"/>
    <n v="123186.5"/>
    <n v="19787.849999999999"/>
    <n v="8608.84"/>
    <n v="3355.19"/>
    <n v="1231.8699999999999"/>
    <n v="243.57"/>
    <n v="1155.6199999999999"/>
    <n v="88803.56"/>
    <n v="0"/>
    <x v="3"/>
    <n v="164.9"/>
    <x v="1"/>
    <s v="Pending"/>
    <s v="Standard"/>
    <s v="A. Tan"/>
    <s v="North America"/>
    <x v="3"/>
  </r>
  <r>
    <x v="13"/>
    <s v="BK50014"/>
    <d v="2025-10-18T00:00:00"/>
    <d v="2025-10-20T00:00:00"/>
    <d v="2025-11-14T00:00:00"/>
    <x v="9"/>
    <s v="Engineering"/>
    <s v="Germany"/>
    <s v="New York"/>
    <s v="Singapore"/>
    <x v="1"/>
    <x v="5"/>
    <s v="40FT"/>
    <n v="4"/>
    <s v="Textiles"/>
    <n v="129574.56"/>
    <n v="31923.19"/>
    <n v="5480.87"/>
    <n v="2551.4299999999998"/>
    <n v="1295.75"/>
    <n v="111.99"/>
    <n v="2227.2199999999998"/>
    <n v="85984.11"/>
    <n v="8"/>
    <x v="2"/>
    <n v="266.02999999999997"/>
    <x v="0"/>
    <s v="Pending"/>
    <s v="Standard"/>
    <s v="L. Chen"/>
    <s v="Europe"/>
    <x v="7"/>
  </r>
  <r>
    <x v="14"/>
    <s v="BK50015"/>
    <d v="2025-11-30T00:00:00"/>
    <d v="2025-12-04T00:00:00"/>
    <d v="2025-12-30T00:00:00"/>
    <x v="8"/>
    <s v="Retail"/>
    <s v="Sweden"/>
    <s v="Singapore"/>
    <s v="Rotterdam"/>
    <x v="3"/>
    <x v="1"/>
    <s v="Reefer"/>
    <n v="4"/>
    <s v="Electronics"/>
    <n v="108755.74"/>
    <n v="26463.16"/>
    <n v="7055.89"/>
    <n v="3000.93"/>
    <n v="1087.56"/>
    <n v="748.16"/>
    <n v="1232.29"/>
    <n v="69167.75"/>
    <n v="12"/>
    <x v="0"/>
    <n v="220.53"/>
    <x v="0"/>
    <s v="Pending"/>
    <s v="Critical"/>
    <s v="L. Chen"/>
    <s v="Europe"/>
    <x v="8"/>
  </r>
  <r>
    <x v="15"/>
    <s v="BK50016"/>
    <d v="2025-09-25T00:00:00"/>
    <d v="2025-09-28T00:00:00"/>
    <d v="2025-10-27T00:00:00"/>
    <x v="8"/>
    <s v="Retail"/>
    <s v="Sweden"/>
    <s v="Busan"/>
    <s v="Los Angeles"/>
    <x v="0"/>
    <x v="6"/>
    <s v="20FT"/>
    <n v="4"/>
    <s v="Chemicals"/>
    <n v="164628.16"/>
    <n v="41835.53"/>
    <n v="11526.81"/>
    <n v="4436.37"/>
    <n v="1646.28"/>
    <n v="415.15"/>
    <n v="1096.43"/>
    <n v="103671.59"/>
    <n v="48"/>
    <x v="5"/>
    <n v="348.63"/>
    <x v="0"/>
    <s v="Pending"/>
    <s v="Standard"/>
    <s v="L. Chen"/>
    <s v="Asia"/>
    <x v="3"/>
  </r>
  <r>
    <x v="16"/>
    <s v="BK50017"/>
    <d v="2025-05-04T00:00:00"/>
    <d v="2025-05-05T00:00:00"/>
    <d v="2025-06-01T00:00:00"/>
    <x v="10"/>
    <s v="E-commerce"/>
    <s v="USA"/>
    <s v="Busan"/>
    <s v="Rotterdam"/>
    <x v="1"/>
    <x v="7"/>
    <s v="40FT"/>
    <n v="2"/>
    <s v="Electronics"/>
    <n v="75509.86"/>
    <n v="16510.759999999998"/>
    <n v="3118.01"/>
    <n v="1451.96"/>
    <n v="755.1"/>
    <n v="811.37"/>
    <n v="481.06"/>
    <n v="52381.599999999999"/>
    <n v="0"/>
    <x v="3"/>
    <n v="137.59"/>
    <x v="1"/>
    <s v="Pending"/>
    <s v="Critical"/>
    <s v="M. Ahmed"/>
    <s v="Europe"/>
    <x v="6"/>
  </r>
  <r>
    <x v="17"/>
    <s v="BK50018"/>
    <d v="2025-03-28T00:00:00"/>
    <d v="2025-03-31T00:00:00"/>
    <d v="2025-04-12T00:00:00"/>
    <x v="7"/>
    <s v="Retail"/>
    <s v="Germany"/>
    <s v="Rotterdam"/>
    <s v="Colombo"/>
    <x v="1"/>
    <x v="4"/>
    <s v="High Cube"/>
    <n v="2"/>
    <s v="Furniture"/>
    <n v="21713.85"/>
    <n v="5945.2"/>
    <n v="1205.9100000000001"/>
    <n v="302.70999999999998"/>
    <n v="217.14"/>
    <n v="767.97"/>
    <n v="1388.37"/>
    <n v="11886.55"/>
    <n v="36"/>
    <x v="5"/>
    <n v="49.54"/>
    <x v="0"/>
    <s v="Pending"/>
    <s v="Standard"/>
    <s v="M. Ahmed"/>
    <s v="Middle East"/>
    <x v="5"/>
  </r>
  <r>
    <x v="18"/>
    <s v="BK50019"/>
    <d v="2025-05-11T00:00:00"/>
    <d v="2025-05-12T00:00:00"/>
    <d v="2025-05-27T00:00:00"/>
    <x v="1"/>
    <s v="FMCG"/>
    <s v="UK"/>
    <s v="Colombo"/>
    <s v="Singapore"/>
    <x v="4"/>
    <x v="4"/>
    <s v="40FT"/>
    <n v="4"/>
    <s v="Furniture"/>
    <n v="134395.82999999999"/>
    <n v="27651.87"/>
    <n v="6252.97"/>
    <n v="1987.69"/>
    <n v="1343.96"/>
    <n v="220.24"/>
    <n v="1996.44"/>
    <n v="94942.66"/>
    <n v="4"/>
    <x v="0"/>
    <n v="230.43"/>
    <x v="0"/>
    <s v="Pending"/>
    <s v="High"/>
    <s v="J. Smith"/>
    <s v="Europe"/>
    <x v="6"/>
  </r>
  <r>
    <x v="19"/>
    <s v="BK50020"/>
    <d v="2025-02-10T00:00:00"/>
    <d v="2025-02-13T00:00:00"/>
    <d v="2025-03-01T00:00:00"/>
    <x v="8"/>
    <s v="Retail"/>
    <s v="Sweden"/>
    <s v="Shanghai"/>
    <s v="Rotterdam"/>
    <x v="3"/>
    <x v="6"/>
    <s v="Reefer"/>
    <n v="1"/>
    <s v="Food"/>
    <n v="38564.480000000003"/>
    <n v="9606.7800000000007"/>
    <n v="1757.12"/>
    <n v="462.07"/>
    <n v="385.64"/>
    <n v="858.37"/>
    <n v="1415.24"/>
    <n v="24079.26"/>
    <n v="0"/>
    <x v="3"/>
    <n v="80.06"/>
    <x v="1"/>
    <s v="Pending"/>
    <s v="Critical"/>
    <s v="M. Ahmed"/>
    <s v="Asia"/>
    <x v="9"/>
  </r>
  <r>
    <x v="20"/>
    <s v="BK50021"/>
    <d v="2025-11-06T00:00:00"/>
    <d v="2025-11-07T00:00:00"/>
    <d v="2025-11-27T00:00:00"/>
    <x v="7"/>
    <s v="Retail"/>
    <s v="Germany"/>
    <s v="Busan"/>
    <s v="Los Angeles"/>
    <x v="0"/>
    <x v="5"/>
    <s v="20FT"/>
    <n v="2"/>
    <s v="Auto Parts"/>
    <n v="13896.53"/>
    <n v="2348.77"/>
    <n v="621.23"/>
    <n v="237.04"/>
    <n v="138.97"/>
    <n v="139.88"/>
    <n v="770.1"/>
    <n v="9640.5400000000009"/>
    <n v="12"/>
    <x v="2"/>
    <n v="19.57"/>
    <x v="0"/>
    <s v="Paid"/>
    <s v="High"/>
    <s v="L. Chen"/>
    <s v="Middle East"/>
    <x v="8"/>
  </r>
  <r>
    <x v="21"/>
    <s v="BK50022"/>
    <d v="2025-02-11T00:00:00"/>
    <d v="2025-02-14T00:00:00"/>
    <d v="2025-02-26T00:00:00"/>
    <x v="0"/>
    <s v="Retail"/>
    <s v="India"/>
    <s v="Jebel Ali"/>
    <s v="Nhava Sheva"/>
    <x v="2"/>
    <x v="6"/>
    <s v="20FT"/>
    <n v="2"/>
    <s v="Textiles"/>
    <n v="73432.63"/>
    <n v="13076.19"/>
    <n v="5369.64"/>
    <n v="2012.48"/>
    <n v="734.33"/>
    <n v="277.81"/>
    <n v="2459"/>
    <n v="49503.18"/>
    <n v="24"/>
    <x v="5"/>
    <n v="108.97"/>
    <x v="0"/>
    <s v="Pending"/>
    <s v="Critical"/>
    <s v="R. Mehta"/>
    <s v="North America"/>
    <x v="9"/>
  </r>
  <r>
    <x v="22"/>
    <s v="BK50023"/>
    <d v="2025-06-11T00:00:00"/>
    <d v="2025-06-15T00:00:00"/>
    <d v="2025-07-07T00:00:00"/>
    <x v="3"/>
    <s v="Electronics"/>
    <s v="South Korea"/>
    <s v="Hamburg"/>
    <s v="Colombo"/>
    <x v="1"/>
    <x v="7"/>
    <s v="High Cube"/>
    <n v="2"/>
    <s v="Chemicals"/>
    <n v="55757.52"/>
    <n v="15415.04"/>
    <n v="2413.1799999999998"/>
    <n v="1190.45"/>
    <n v="557.58000000000004"/>
    <n v="879.98"/>
    <n v="952.95"/>
    <n v="34348.339999999997"/>
    <n v="0"/>
    <x v="3"/>
    <n v="128.46"/>
    <x v="1"/>
    <s v="Paid"/>
    <s v="Standard"/>
    <s v="J. Smith"/>
    <s v="North America"/>
    <x v="0"/>
  </r>
  <r>
    <x v="23"/>
    <s v="BK50024"/>
    <d v="2025-10-30T00:00:00"/>
    <d v="2025-11-02T00:00:00"/>
    <d v="2025-11-24T00:00:00"/>
    <x v="4"/>
    <s v="Manufacturing"/>
    <s v="Germany"/>
    <s v="Shanghai"/>
    <s v="Rotterdam"/>
    <x v="3"/>
    <x v="2"/>
    <s v="20FT"/>
    <n v="1"/>
    <s v="Electronics"/>
    <n v="6831.78"/>
    <n v="1665.16"/>
    <n v="466"/>
    <n v="131.52000000000001"/>
    <n v="68.319999999999993"/>
    <n v="316.54000000000002"/>
    <n v="2373.2600000000002"/>
    <n v="1810.98"/>
    <n v="0"/>
    <x v="3"/>
    <n v="13.88"/>
    <x v="1"/>
    <s v="Pending"/>
    <s v="Critical"/>
    <s v="R. Mehta"/>
    <s v="Middle East"/>
    <x v="7"/>
  </r>
  <r>
    <x v="24"/>
    <s v="BK50025"/>
    <d v="2025-03-31T00:00:00"/>
    <d v="2025-04-02T00:00:00"/>
    <d v="2025-04-18T00:00:00"/>
    <x v="7"/>
    <s v="Retail"/>
    <s v="Germany"/>
    <s v="Shanghai"/>
    <s v="Rotterdam"/>
    <x v="3"/>
    <x v="2"/>
    <s v="20FT"/>
    <n v="4"/>
    <s v="Machinery"/>
    <n v="172340.72"/>
    <n v="40500.21"/>
    <n v="8284.33"/>
    <n v="2572.6799999999998"/>
    <n v="1723.41"/>
    <n v="803.43"/>
    <n v="1937.15"/>
    <n v="116519.51"/>
    <n v="48"/>
    <x v="5"/>
    <n v="337.5"/>
    <x v="0"/>
    <s v="Paid"/>
    <s v="Critical"/>
    <s v="A. Tan"/>
    <s v="Middle East"/>
    <x v="5"/>
  </r>
  <r>
    <x v="25"/>
    <s v="BK50026"/>
    <d v="2025-05-31T00:00:00"/>
    <d v="2025-06-04T00:00:00"/>
    <d v="2025-06-15T00:00:00"/>
    <x v="10"/>
    <s v="E-commerce"/>
    <s v="USA"/>
    <s v="Colombo"/>
    <s v="Singapore"/>
    <x v="4"/>
    <x v="7"/>
    <s v="20FT"/>
    <n v="4"/>
    <s v="Furniture"/>
    <n v="113699.48"/>
    <n v="27291.19"/>
    <n v="6083.06"/>
    <n v="1925.25"/>
    <n v="1136.99"/>
    <n v="353.02"/>
    <n v="2496.67"/>
    <n v="74413.3"/>
    <n v="8"/>
    <x v="5"/>
    <n v="227.43"/>
    <x v="0"/>
    <s v="Paid"/>
    <s v="Critical"/>
    <s v="L. Chen"/>
    <s v="Middle East"/>
    <x v="6"/>
  </r>
  <r>
    <x v="26"/>
    <s v="BK50027"/>
    <d v="2025-08-03T00:00:00"/>
    <d v="2025-08-05T00:00:00"/>
    <d v="2025-08-30T00:00:00"/>
    <x v="2"/>
    <s v="Electronics"/>
    <s v="South Korea"/>
    <s v="Shanghai"/>
    <s v="Rotterdam"/>
    <x v="3"/>
    <x v="1"/>
    <s v="40FT"/>
    <n v="1"/>
    <s v="Food"/>
    <n v="24286.98"/>
    <n v="5524.66"/>
    <n v="1068.28"/>
    <n v="353.86"/>
    <n v="242.87"/>
    <n v="382.18"/>
    <n v="364.25"/>
    <n v="16350.88"/>
    <n v="0"/>
    <x v="3"/>
    <n v="46.04"/>
    <x v="1"/>
    <s v="Pending"/>
    <s v="High"/>
    <s v="J. Smith"/>
    <s v="Europe"/>
    <x v="4"/>
  </r>
  <r>
    <x v="27"/>
    <s v="BK50028"/>
    <d v="2025-09-24T00:00:00"/>
    <d v="2025-09-26T00:00:00"/>
    <d v="2025-10-12T00:00:00"/>
    <x v="1"/>
    <s v="FMCG"/>
    <s v="UK"/>
    <s v="Shanghai"/>
    <s v="Rotterdam"/>
    <x v="3"/>
    <x v="4"/>
    <s v="40FT"/>
    <n v="2"/>
    <s v="Auto Parts"/>
    <n v="31138.06"/>
    <n v="8039.4"/>
    <n v="2187.3000000000002"/>
    <n v="421.78"/>
    <n v="311.38"/>
    <n v="498.32"/>
    <n v="1451.57"/>
    <n v="18228.310000000001"/>
    <n v="0"/>
    <x v="3"/>
    <n v="66.989999999999995"/>
    <x v="1"/>
    <s v="Pending"/>
    <s v="Standard"/>
    <s v="J. Smith"/>
    <s v="Asia"/>
    <x v="3"/>
  </r>
  <r>
    <x v="28"/>
    <s v="BK50029"/>
    <d v="2025-08-21T00:00:00"/>
    <d v="2025-08-24T00:00:00"/>
    <d v="2025-09-20T00:00:00"/>
    <x v="10"/>
    <s v="E-commerce"/>
    <s v="USA"/>
    <s v="Busan"/>
    <s v="Los Angeles"/>
    <x v="0"/>
    <x v="4"/>
    <s v="40FT"/>
    <n v="2"/>
    <s v="Textiles"/>
    <n v="85938.559999999998"/>
    <n v="14391.58"/>
    <n v="3642.72"/>
    <n v="1592.36"/>
    <n v="859.39"/>
    <n v="740.64"/>
    <n v="1314.97"/>
    <n v="63396.9"/>
    <n v="0"/>
    <x v="3"/>
    <n v="119.93"/>
    <x v="1"/>
    <s v="Pending"/>
    <s v="Critical"/>
    <s v="J. Smith"/>
    <s v="Europe"/>
    <x v="4"/>
  </r>
  <r>
    <x v="29"/>
    <s v="BK50030"/>
    <d v="2025-11-12T00:00:00"/>
    <d v="2025-11-15T00:00:00"/>
    <d v="2025-11-28T00:00:00"/>
    <x v="0"/>
    <s v="Retail"/>
    <s v="India"/>
    <s v="Singapore"/>
    <s v="Rotterdam"/>
    <x v="3"/>
    <x v="4"/>
    <s v="High Cube"/>
    <n v="2"/>
    <s v="Chemicals"/>
    <n v="26954.39"/>
    <n v="4690.57"/>
    <n v="1209.3800000000001"/>
    <n v="548.46"/>
    <n v="269.54000000000002"/>
    <n v="264.79000000000002"/>
    <n v="1798.05"/>
    <n v="18173.599999999999"/>
    <n v="0"/>
    <x v="3"/>
    <n v="39.090000000000003"/>
    <x v="1"/>
    <s v="Paid"/>
    <s v="High"/>
    <s v="A. Tan"/>
    <s v="Asia"/>
    <x v="8"/>
  </r>
  <r>
    <x v="30"/>
    <s v="BK50031"/>
    <d v="2025-12-18T00:00:00"/>
    <d v="2025-12-22T00:00:00"/>
    <d v="2026-01-07T00:00:00"/>
    <x v="10"/>
    <s v="E-commerce"/>
    <s v="USA"/>
    <s v="Colombo"/>
    <s v="Singapore"/>
    <x v="4"/>
    <x v="7"/>
    <s v="High Cube"/>
    <n v="2"/>
    <s v="Food"/>
    <n v="18593.64"/>
    <n v="4980.78"/>
    <n v="1072.5999999999999"/>
    <n v="213.11"/>
    <n v="185.94"/>
    <n v="736.59"/>
    <n v="1441.42"/>
    <n v="9963.2000000000007"/>
    <n v="0"/>
    <x v="3"/>
    <n v="41.51"/>
    <x v="1"/>
    <s v="Paid"/>
    <s v="High"/>
    <s v="L. Chen"/>
    <s v="Asia"/>
    <x v="2"/>
  </r>
  <r>
    <x v="31"/>
    <s v="BK50032"/>
    <d v="2025-07-23T00:00:00"/>
    <d v="2025-07-25T00:00:00"/>
    <d v="2025-08-08T00:00:00"/>
    <x v="7"/>
    <s v="Retail"/>
    <s v="Germany"/>
    <s v="New York"/>
    <s v="Nhava Sheva"/>
    <x v="1"/>
    <x v="1"/>
    <s v="Reefer"/>
    <n v="2"/>
    <s v="Furniture"/>
    <n v="68976.38"/>
    <n v="16790.54"/>
    <n v="2761.1"/>
    <n v="951.93"/>
    <n v="689.76"/>
    <n v="103.26"/>
    <n v="1295.72"/>
    <n v="46384.07"/>
    <n v="0"/>
    <x v="3"/>
    <n v="139.91999999999999"/>
    <x v="1"/>
    <s v="Paid"/>
    <s v="High"/>
    <s v="M. Ahmed"/>
    <s v="North America"/>
    <x v="1"/>
  </r>
  <r>
    <x v="32"/>
    <s v="BK50033"/>
    <d v="2025-09-30T00:00:00"/>
    <d v="2025-10-01T00:00:00"/>
    <d v="2025-10-20T00:00:00"/>
    <x v="6"/>
    <s v="Pharma"/>
    <s v="USA"/>
    <s v="New York"/>
    <s v="Jebel Ali"/>
    <x v="1"/>
    <x v="3"/>
    <s v="20FT"/>
    <n v="4"/>
    <s v="Chemicals"/>
    <n v="177919.26"/>
    <n v="52552.46"/>
    <n v="13393.57"/>
    <n v="4000.28"/>
    <n v="1779.19"/>
    <n v="832.28"/>
    <n v="2089.5"/>
    <n v="103271.98"/>
    <n v="0"/>
    <x v="3"/>
    <n v="437.94"/>
    <x v="1"/>
    <s v="Paid"/>
    <s v="High"/>
    <s v="R. Mehta"/>
    <s v="Middle East"/>
    <x v="3"/>
  </r>
  <r>
    <x v="33"/>
    <s v="BK50034"/>
    <d v="2025-08-31T00:00:00"/>
    <d v="2025-09-04T00:00:00"/>
    <d v="2025-09-17T00:00:00"/>
    <x v="11"/>
    <s v="Automotive"/>
    <s v="Japan"/>
    <s v="New York"/>
    <s v="New York"/>
    <x v="1"/>
    <x v="3"/>
    <s v="20FT"/>
    <n v="1"/>
    <s v="Machinery"/>
    <n v="37792.29"/>
    <n v="6057.06"/>
    <n v="2836.14"/>
    <n v="787.91"/>
    <n v="377.92"/>
    <n v="834.53"/>
    <n v="904.51"/>
    <n v="25994.22"/>
    <n v="24"/>
    <x v="5"/>
    <n v="50.48"/>
    <x v="0"/>
    <s v="Paid"/>
    <s v="Standard"/>
    <s v="A. Tan"/>
    <s v="Europe"/>
    <x v="4"/>
  </r>
  <r>
    <x v="34"/>
    <s v="BK50035"/>
    <d v="2025-04-10T00:00:00"/>
    <d v="2025-04-11T00:00:00"/>
    <d v="2025-05-05T00:00:00"/>
    <x v="4"/>
    <s v="Manufacturing"/>
    <s v="Germany"/>
    <s v="Singapore"/>
    <s v="Los Angeles"/>
    <x v="1"/>
    <x v="5"/>
    <s v="20FT"/>
    <n v="1"/>
    <s v="Textiles"/>
    <n v="13328.12"/>
    <n v="2843.78"/>
    <n v="597.96"/>
    <n v="312.3"/>
    <n v="133.28"/>
    <n v="587.47"/>
    <n v="789.91"/>
    <n v="8063.42"/>
    <n v="0"/>
    <x v="3"/>
    <n v="23.7"/>
    <x v="1"/>
    <s v="Pending"/>
    <s v="Standard"/>
    <s v="L. Chen"/>
    <s v="North America"/>
    <x v="10"/>
  </r>
  <r>
    <x v="35"/>
    <s v="BK50036"/>
    <d v="2025-02-05T00:00:00"/>
    <d v="2025-02-06T00:00:00"/>
    <d v="2025-03-06T00:00:00"/>
    <x v="2"/>
    <s v="Electronics"/>
    <s v="South Korea"/>
    <s v="Singapore"/>
    <s v="Rotterdam"/>
    <x v="3"/>
    <x v="5"/>
    <s v="40FT"/>
    <n v="2"/>
    <s v="Furniture"/>
    <n v="38022.29"/>
    <n v="8641.0300000000007"/>
    <n v="2071.2399999999998"/>
    <n v="688.41"/>
    <n v="380.22"/>
    <n v="669"/>
    <n v="1625.29"/>
    <n v="23947.1"/>
    <n v="24"/>
    <x v="2"/>
    <n v="72.010000000000005"/>
    <x v="0"/>
    <s v="Paid"/>
    <s v="Critical"/>
    <s v="M. Ahmed"/>
    <s v="North America"/>
    <x v="9"/>
  </r>
  <r>
    <x v="36"/>
    <s v="BK50037"/>
    <d v="2025-06-03T00:00:00"/>
    <d v="2025-06-06T00:00:00"/>
    <d v="2025-06-17T00:00:00"/>
    <x v="8"/>
    <s v="Retail"/>
    <s v="Sweden"/>
    <s v="Busan"/>
    <s v="Singapore"/>
    <x v="1"/>
    <x v="4"/>
    <s v="High Cube"/>
    <n v="1"/>
    <s v="Auto Parts"/>
    <n v="38808.269999999997"/>
    <n v="9667.3799999999992"/>
    <n v="2035.75"/>
    <n v="507.57"/>
    <n v="388.08"/>
    <n v="147.65"/>
    <n v="1406.85"/>
    <n v="24654.99"/>
    <n v="0"/>
    <x v="3"/>
    <n v="80.56"/>
    <x v="1"/>
    <s v="Pending"/>
    <s v="Standard"/>
    <s v="R. Mehta"/>
    <s v="Middle East"/>
    <x v="0"/>
  </r>
  <r>
    <x v="37"/>
    <s v="BK50038"/>
    <d v="2025-10-25T00:00:00"/>
    <d v="2025-10-29T00:00:00"/>
    <d v="2025-11-11T00:00:00"/>
    <x v="10"/>
    <s v="E-commerce"/>
    <s v="USA"/>
    <s v="Jebel Ali"/>
    <s v="Nhava Sheva"/>
    <x v="2"/>
    <x v="0"/>
    <s v="High Cube"/>
    <n v="4"/>
    <s v="Food"/>
    <n v="68022.02"/>
    <n v="17947.02"/>
    <n v="2997.75"/>
    <n v="1475.74"/>
    <n v="680.22"/>
    <n v="341.82"/>
    <n v="2180.65"/>
    <n v="42398.82"/>
    <n v="0"/>
    <x v="3"/>
    <n v="149.56"/>
    <x v="1"/>
    <s v="Paid"/>
    <s v="High"/>
    <s v="J. Smith"/>
    <s v="Middle East"/>
    <x v="7"/>
  </r>
  <r>
    <x v="38"/>
    <s v="BK50039"/>
    <d v="2025-04-06T00:00:00"/>
    <d v="2025-04-09T00:00:00"/>
    <d v="2025-04-23T00:00:00"/>
    <x v="9"/>
    <s v="Engineering"/>
    <s v="Germany"/>
    <s v="Shanghai"/>
    <s v="Rotterdam"/>
    <x v="3"/>
    <x v="6"/>
    <s v="Reefer"/>
    <n v="2"/>
    <s v="Electronics"/>
    <n v="20005.150000000001"/>
    <n v="3447.11"/>
    <n v="836.62"/>
    <n v="281.95"/>
    <n v="200.05"/>
    <n v="415.96"/>
    <n v="978.42"/>
    <n v="13845.04"/>
    <n v="0"/>
    <x v="3"/>
    <n v="28.73"/>
    <x v="1"/>
    <s v="Pending"/>
    <s v="High"/>
    <s v="J. Smith"/>
    <s v="Asia"/>
    <x v="10"/>
  </r>
  <r>
    <x v="39"/>
    <s v="BK50040"/>
    <d v="2025-09-28T00:00:00"/>
    <d v="2025-09-29T00:00:00"/>
    <d v="2025-10-27T00:00:00"/>
    <x v="9"/>
    <s v="Engineering"/>
    <s v="Germany"/>
    <s v="Busan"/>
    <s v="Los Angeles"/>
    <x v="0"/>
    <x v="5"/>
    <s v="Reefer"/>
    <n v="4"/>
    <s v="Food"/>
    <n v="153940.6"/>
    <n v="43251.7"/>
    <n v="11603.46"/>
    <n v="1941.62"/>
    <n v="1539.41"/>
    <n v="186.3"/>
    <n v="1718.54"/>
    <n v="93699.57"/>
    <n v="48"/>
    <x v="4"/>
    <n v="360.43"/>
    <x v="0"/>
    <s v="Paid"/>
    <s v="Standard"/>
    <s v="M. Ahmed"/>
    <s v="Middle East"/>
    <x v="3"/>
  </r>
  <r>
    <x v="40"/>
    <s v="BK50041"/>
    <d v="2025-03-24T00:00:00"/>
    <d v="2025-03-28T00:00:00"/>
    <d v="2025-04-14T00:00:00"/>
    <x v="11"/>
    <s v="Automotive"/>
    <s v="Japan"/>
    <s v="Shanghai"/>
    <s v="Rotterdam"/>
    <x v="3"/>
    <x v="7"/>
    <s v="40FT"/>
    <n v="2"/>
    <s v="Food"/>
    <n v="17572.900000000001"/>
    <n v="4201.7299999999996"/>
    <n v="912.58"/>
    <n v="452.94"/>
    <n v="175.73"/>
    <n v="810.49"/>
    <n v="1830.25"/>
    <n v="9189.18"/>
    <n v="12"/>
    <x v="0"/>
    <n v="35.01"/>
    <x v="0"/>
    <s v="Paid"/>
    <s v="High"/>
    <s v="A. Tan"/>
    <s v="North America"/>
    <x v="5"/>
  </r>
  <r>
    <x v="41"/>
    <s v="BK50042"/>
    <d v="2025-12-22T00:00:00"/>
    <d v="2025-12-26T00:00:00"/>
    <d v="2026-01-06T00:00:00"/>
    <x v="11"/>
    <s v="Automotive"/>
    <s v="Japan"/>
    <s v="Jebel Ali"/>
    <s v="Nhava Sheva"/>
    <x v="2"/>
    <x v="0"/>
    <s v="40FT"/>
    <n v="2"/>
    <s v="Auto Parts"/>
    <n v="84805.6"/>
    <n v="24312.15"/>
    <n v="5823.13"/>
    <n v="1954.19"/>
    <n v="848.06"/>
    <n v="683.38"/>
    <n v="1184.3699999999999"/>
    <n v="50000.32"/>
    <n v="12"/>
    <x v="5"/>
    <n v="202.6"/>
    <x v="0"/>
    <s v="Pending"/>
    <s v="High"/>
    <s v="J. Smith"/>
    <s v="North America"/>
    <x v="2"/>
  </r>
  <r>
    <x v="42"/>
    <s v="BK50043"/>
    <d v="2025-04-23T00:00:00"/>
    <d v="2025-04-27T00:00:00"/>
    <d v="2025-05-23T00:00:00"/>
    <x v="1"/>
    <s v="FMCG"/>
    <s v="UK"/>
    <s v="Singapore"/>
    <s v="New York"/>
    <x v="1"/>
    <x v="2"/>
    <s v="Reefer"/>
    <n v="2"/>
    <s v="Chemicals"/>
    <n v="13871.36"/>
    <n v="2720.23"/>
    <n v="966.73"/>
    <n v="204.53"/>
    <n v="138.71"/>
    <n v="853.27"/>
    <n v="1354.49"/>
    <n v="7633.4"/>
    <n v="24"/>
    <x v="4"/>
    <n v="22.67"/>
    <x v="0"/>
    <s v="Paid"/>
    <s v="High"/>
    <s v="A. Tan"/>
    <s v="Middle East"/>
    <x v="10"/>
  </r>
  <r>
    <x v="43"/>
    <s v="BK50044"/>
    <d v="2025-02-16T00:00:00"/>
    <d v="2025-02-18T00:00:00"/>
    <d v="2025-03-11T00:00:00"/>
    <x v="9"/>
    <s v="Engineering"/>
    <s v="Germany"/>
    <s v="Hamburg"/>
    <s v="Colombo"/>
    <x v="1"/>
    <x v="5"/>
    <s v="20FT"/>
    <n v="4"/>
    <s v="Food"/>
    <n v="88428.12"/>
    <n v="15132.64"/>
    <n v="5524.44"/>
    <n v="1246.7"/>
    <n v="884.28"/>
    <n v="607.9"/>
    <n v="2481.91"/>
    <n v="62550.25"/>
    <n v="0"/>
    <x v="3"/>
    <n v="126.11"/>
    <x v="1"/>
    <s v="Pending"/>
    <s v="Critical"/>
    <s v="A. Tan"/>
    <s v="Europe"/>
    <x v="9"/>
  </r>
  <r>
    <x v="44"/>
    <s v="BK50045"/>
    <d v="2025-04-27T00:00:00"/>
    <d v="2025-04-29T00:00:00"/>
    <d v="2025-05-22T00:00:00"/>
    <x v="2"/>
    <s v="Electronics"/>
    <s v="South Korea"/>
    <s v="Jebel Ali"/>
    <s v="Jebel Ali"/>
    <x v="1"/>
    <x v="0"/>
    <s v="40FT"/>
    <n v="2"/>
    <s v="Food"/>
    <n v="17444.18"/>
    <n v="3675.9"/>
    <n v="901.35"/>
    <n v="283.12"/>
    <n v="174.44"/>
    <n v="692.77"/>
    <n v="945"/>
    <n v="10771.6"/>
    <n v="4"/>
    <x v="4"/>
    <n v="30.63"/>
    <x v="0"/>
    <s v="Pending"/>
    <s v="Critical"/>
    <s v="R. Mehta"/>
    <s v="Europe"/>
    <x v="10"/>
  </r>
  <r>
    <x v="45"/>
    <s v="BK50046"/>
    <d v="2025-07-30T00:00:00"/>
    <d v="2025-07-31T00:00:00"/>
    <d v="2025-08-21T00:00:00"/>
    <x v="11"/>
    <s v="Automotive"/>
    <s v="Japan"/>
    <s v="Jebel Ali"/>
    <s v="Nhava Sheva"/>
    <x v="2"/>
    <x v="5"/>
    <s v="40FT"/>
    <n v="4"/>
    <s v="Furniture"/>
    <n v="87261.8"/>
    <n v="14466.56"/>
    <n v="6938.52"/>
    <n v="957.44"/>
    <n v="872.62"/>
    <n v="524.86"/>
    <n v="1889.44"/>
    <n v="61612.36"/>
    <n v="36"/>
    <x v="4"/>
    <n v="120.55"/>
    <x v="0"/>
    <s v="Pending"/>
    <s v="Standard"/>
    <s v="A. Tan"/>
    <s v="Europe"/>
    <x v="1"/>
  </r>
  <r>
    <x v="46"/>
    <s v="BK50047"/>
    <d v="2025-10-07T00:00:00"/>
    <d v="2025-10-08T00:00:00"/>
    <d v="2025-10-30T00:00:00"/>
    <x v="5"/>
    <s v="Food"/>
    <s v="Switzerland"/>
    <s v="Singapore"/>
    <s v="New York"/>
    <x v="1"/>
    <x v="2"/>
    <s v="20FT"/>
    <n v="2"/>
    <s v="Auto Parts"/>
    <n v="49962.16"/>
    <n v="9152.74"/>
    <n v="3967.64"/>
    <n v="1396.46"/>
    <n v="499.62"/>
    <n v="624.05999999999995"/>
    <n v="642.78"/>
    <n v="33678.86"/>
    <n v="0"/>
    <x v="3"/>
    <n v="76.27"/>
    <x v="1"/>
    <s v="Paid"/>
    <s v="Standard"/>
    <s v="M. Ahmed"/>
    <s v="North America"/>
    <x v="7"/>
  </r>
  <r>
    <x v="47"/>
    <s v="BK50048"/>
    <d v="2025-07-14T00:00:00"/>
    <d v="2025-07-18T00:00:00"/>
    <d v="2025-08-10T00:00:00"/>
    <x v="2"/>
    <s v="Electronics"/>
    <s v="South Korea"/>
    <s v="Shanghai"/>
    <s v="Rotterdam"/>
    <x v="3"/>
    <x v="1"/>
    <s v="40FT"/>
    <n v="1"/>
    <s v="Chemicals"/>
    <n v="29210.67"/>
    <n v="7799.79"/>
    <n v="1624.31"/>
    <n v="437.6"/>
    <n v="292.11"/>
    <n v="443.3"/>
    <n v="1372"/>
    <n v="17241.560000000001"/>
    <n v="0"/>
    <x v="3"/>
    <n v="65"/>
    <x v="1"/>
    <s v="Pending"/>
    <s v="Critical"/>
    <s v="A. Tan"/>
    <s v="Middle East"/>
    <x v="1"/>
  </r>
  <r>
    <x v="48"/>
    <s v="BK50049"/>
    <d v="2025-08-29T00:00:00"/>
    <d v="2025-08-30T00:00:00"/>
    <d v="2025-09-25T00:00:00"/>
    <x v="8"/>
    <s v="Retail"/>
    <s v="Sweden"/>
    <s v="Singapore"/>
    <s v="Rotterdam"/>
    <x v="3"/>
    <x v="0"/>
    <s v="High Cube"/>
    <n v="2"/>
    <s v="Furniture"/>
    <n v="21164.45"/>
    <n v="4042.24"/>
    <n v="1253.18"/>
    <n v="455.25"/>
    <n v="211.64"/>
    <n v="130.22999999999999"/>
    <n v="1196.05"/>
    <n v="13875.86"/>
    <n v="48"/>
    <x v="4"/>
    <n v="33.69"/>
    <x v="0"/>
    <s v="Paid"/>
    <s v="Standard"/>
    <s v="R. Mehta"/>
    <s v="Asia"/>
    <x v="4"/>
  </r>
  <r>
    <x v="49"/>
    <s v="BK50050"/>
    <d v="2025-04-04T00:00:00"/>
    <d v="2025-04-08T00:00:00"/>
    <d v="2025-04-28T00:00:00"/>
    <x v="5"/>
    <s v="Food"/>
    <s v="Switzerland"/>
    <s v="Jebel Ali"/>
    <s v="Nhava Sheva"/>
    <x v="2"/>
    <x v="7"/>
    <s v="40FT"/>
    <n v="2"/>
    <s v="Auto Parts"/>
    <n v="76254.210000000006"/>
    <n v="17084.23"/>
    <n v="4672.34"/>
    <n v="1363.4"/>
    <n v="762.54"/>
    <n v="825.49"/>
    <n v="560.64"/>
    <n v="50985.57"/>
    <n v="24"/>
    <x v="4"/>
    <n v="142.37"/>
    <x v="0"/>
    <s v="Paid"/>
    <s v="High"/>
    <s v="L. Chen"/>
    <s v="Europe"/>
    <x v="10"/>
  </r>
  <r>
    <x v="50"/>
    <s v="BK50051"/>
    <d v="2025-06-17T00:00:00"/>
    <d v="2025-06-20T00:00:00"/>
    <d v="2025-07-03T00:00:00"/>
    <x v="4"/>
    <s v="Manufacturing"/>
    <s v="Germany"/>
    <s v="Colombo"/>
    <s v="Singapore"/>
    <x v="4"/>
    <x v="5"/>
    <s v="40FT"/>
    <n v="2"/>
    <s v="Food"/>
    <n v="48991.85"/>
    <n v="10933.9"/>
    <n v="2125.0500000000002"/>
    <n v="843.5"/>
    <n v="489.92"/>
    <n v="524.41"/>
    <n v="2098.44"/>
    <n v="31976.63"/>
    <n v="48"/>
    <x v="1"/>
    <n v="91.12"/>
    <x v="0"/>
    <s v="Paid"/>
    <s v="Standard"/>
    <s v="J. Smith"/>
    <s v="Middle East"/>
    <x v="0"/>
  </r>
  <r>
    <x v="51"/>
    <s v="BK50052"/>
    <d v="2025-07-26T00:00:00"/>
    <d v="2025-07-29T00:00:00"/>
    <d v="2025-08-20T00:00:00"/>
    <x v="6"/>
    <s v="Pharma"/>
    <s v="USA"/>
    <s v="Busan"/>
    <s v="Los Angeles"/>
    <x v="0"/>
    <x v="0"/>
    <s v="Reefer"/>
    <n v="4"/>
    <s v="Auto Parts"/>
    <n v="54541.06"/>
    <n v="13211.06"/>
    <n v="3106.57"/>
    <n v="1603.78"/>
    <n v="545.41"/>
    <n v="204.99"/>
    <n v="640.54"/>
    <n v="35228.71"/>
    <n v="36"/>
    <x v="0"/>
    <n v="110.09"/>
    <x v="0"/>
    <s v="Paid"/>
    <s v="High"/>
    <s v="M. Ahmed"/>
    <s v="Europe"/>
    <x v="1"/>
  </r>
  <r>
    <x v="52"/>
    <s v="BK50053"/>
    <d v="2025-04-18T00:00:00"/>
    <d v="2025-04-21T00:00:00"/>
    <d v="2025-05-18T00:00:00"/>
    <x v="5"/>
    <s v="Food"/>
    <s v="Switzerland"/>
    <s v="Shanghai"/>
    <s v="Rotterdam"/>
    <x v="3"/>
    <x v="0"/>
    <s v="40FT"/>
    <n v="4"/>
    <s v="Machinery"/>
    <n v="71294.2"/>
    <n v="17001.79"/>
    <n v="4338.9799999999996"/>
    <n v="1263.69"/>
    <n v="712.94"/>
    <n v="564.95000000000005"/>
    <n v="828.14"/>
    <n v="46583.71"/>
    <n v="0"/>
    <x v="3"/>
    <n v="141.68"/>
    <x v="1"/>
    <s v="Pending"/>
    <s v="High"/>
    <s v="R. Mehta"/>
    <s v="Asia"/>
    <x v="10"/>
  </r>
  <r>
    <x v="53"/>
    <s v="BK50054"/>
    <d v="2025-05-03T00:00:00"/>
    <d v="2025-05-07T00:00:00"/>
    <d v="2025-05-18T00:00:00"/>
    <x v="0"/>
    <s v="Retail"/>
    <s v="India"/>
    <s v="Jebel Ali"/>
    <s v="Nhava Sheva"/>
    <x v="2"/>
    <x v="0"/>
    <s v="Reefer"/>
    <n v="4"/>
    <s v="Auto Parts"/>
    <n v="139286.81"/>
    <n v="33522.589999999997"/>
    <n v="10258.620000000001"/>
    <n v="1555.8"/>
    <n v="1392.87"/>
    <n v="880.03"/>
    <n v="2016.39"/>
    <n v="89660.51"/>
    <n v="0"/>
    <x v="3"/>
    <n v="279.35000000000002"/>
    <x v="1"/>
    <s v="Pending"/>
    <s v="Standard"/>
    <s v="A. Tan"/>
    <s v="Middle East"/>
    <x v="6"/>
  </r>
  <r>
    <x v="54"/>
    <s v="BK50055"/>
    <d v="2025-12-04T00:00:00"/>
    <d v="2025-12-05T00:00:00"/>
    <d v="2025-12-24T00:00:00"/>
    <x v="3"/>
    <s v="Electronics"/>
    <s v="South Korea"/>
    <s v="Busan"/>
    <s v="Los Angeles"/>
    <x v="0"/>
    <x v="3"/>
    <s v="Reefer"/>
    <n v="1"/>
    <s v="Furniture"/>
    <n v="20328.48"/>
    <n v="5294.13"/>
    <n v="1331.37"/>
    <n v="326.81"/>
    <n v="203.28"/>
    <n v="590.48"/>
    <n v="2067.5"/>
    <n v="10514.91"/>
    <n v="12"/>
    <x v="0"/>
    <n v="44.12"/>
    <x v="0"/>
    <s v="Paid"/>
    <s v="Critical"/>
    <s v="L. Chen"/>
    <s v="Asia"/>
    <x v="2"/>
  </r>
  <r>
    <x v="55"/>
    <s v="BK50056"/>
    <d v="2025-09-25T00:00:00"/>
    <d v="2025-09-27T00:00:00"/>
    <d v="2025-10-12T00:00:00"/>
    <x v="4"/>
    <s v="Manufacturing"/>
    <s v="Germany"/>
    <s v="Shanghai"/>
    <s v="Rotterdam"/>
    <x v="3"/>
    <x v="5"/>
    <s v="20FT"/>
    <n v="2"/>
    <s v="Food"/>
    <n v="81529.960000000006"/>
    <n v="17949.55"/>
    <n v="5182.1400000000003"/>
    <n v="1265.5899999999999"/>
    <n v="815.3"/>
    <n v="226.38"/>
    <n v="1852.23"/>
    <n v="54238.77"/>
    <n v="36"/>
    <x v="1"/>
    <n v="149.58000000000001"/>
    <x v="0"/>
    <s v="Pending"/>
    <s v="High"/>
    <s v="J. Smith"/>
    <s v="Europe"/>
    <x v="3"/>
  </r>
  <r>
    <x v="56"/>
    <s v="BK50057"/>
    <d v="2025-10-20T00:00:00"/>
    <d v="2025-10-22T00:00:00"/>
    <d v="2025-11-03T00:00:00"/>
    <x v="4"/>
    <s v="Manufacturing"/>
    <s v="Germany"/>
    <s v="Hamburg"/>
    <s v="Busan"/>
    <x v="1"/>
    <x v="3"/>
    <s v="High Cube"/>
    <n v="2"/>
    <s v="Food"/>
    <n v="12794.03"/>
    <n v="2379"/>
    <n v="845.71"/>
    <n v="376.03"/>
    <n v="127.94"/>
    <n v="829.32"/>
    <n v="2387.39"/>
    <n v="5848.64"/>
    <n v="8"/>
    <x v="2"/>
    <n v="19.82"/>
    <x v="0"/>
    <s v="Pending"/>
    <s v="Standard"/>
    <s v="R. Mehta"/>
    <s v="Asia"/>
    <x v="7"/>
  </r>
  <r>
    <x v="57"/>
    <s v="BK50058"/>
    <d v="2025-09-26T00:00:00"/>
    <d v="2025-09-28T00:00:00"/>
    <d v="2025-10-23T00:00:00"/>
    <x v="11"/>
    <s v="Automotive"/>
    <s v="Japan"/>
    <s v="Colombo"/>
    <s v="Singapore"/>
    <x v="4"/>
    <x v="6"/>
    <s v="20FT"/>
    <n v="2"/>
    <s v="Textiles"/>
    <n v="30407.360000000001"/>
    <n v="5458.48"/>
    <n v="1299.43"/>
    <n v="402.85"/>
    <n v="304.07"/>
    <n v="847.42"/>
    <n v="977.5"/>
    <n v="21117.61"/>
    <n v="4"/>
    <x v="4"/>
    <n v="45.49"/>
    <x v="0"/>
    <s v="Pending"/>
    <s v="Standard"/>
    <s v="R. Mehta"/>
    <s v="Europe"/>
    <x v="3"/>
  </r>
  <r>
    <x v="58"/>
    <s v="BK50059"/>
    <d v="2025-05-26T00:00:00"/>
    <d v="2025-05-30T00:00:00"/>
    <d v="2025-06-13T00:00:00"/>
    <x v="7"/>
    <s v="Retail"/>
    <s v="Germany"/>
    <s v="Jebel Ali"/>
    <s v="Nhava Sheva"/>
    <x v="2"/>
    <x v="6"/>
    <s v="Reefer"/>
    <n v="2"/>
    <s v="Furniture"/>
    <n v="59760.08"/>
    <n v="14377.64"/>
    <n v="3788.17"/>
    <n v="1172.57"/>
    <n v="597.6"/>
    <n v="865.57"/>
    <n v="1252"/>
    <n v="37706.53"/>
    <n v="36"/>
    <x v="4"/>
    <n v="119.81"/>
    <x v="0"/>
    <s v="Paid"/>
    <s v="High"/>
    <s v="M. Ahmed"/>
    <s v="Middle East"/>
    <x v="6"/>
  </r>
  <r>
    <x v="59"/>
    <s v="BK50060"/>
    <d v="2025-12-18T00:00:00"/>
    <d v="2025-12-21T00:00:00"/>
    <d v="2026-01-08T00:00:00"/>
    <x v="3"/>
    <s v="Electronics"/>
    <s v="South Korea"/>
    <s v="Busan"/>
    <s v="Los Angeles"/>
    <x v="0"/>
    <x v="1"/>
    <s v="High Cube"/>
    <n v="2"/>
    <s v="Machinery"/>
    <n v="25988.73"/>
    <n v="7709.04"/>
    <n v="1214.05"/>
    <n v="706.44"/>
    <n v="259.89"/>
    <n v="311.26"/>
    <n v="2109.9899999999998"/>
    <n v="13678.06"/>
    <n v="0"/>
    <x v="3"/>
    <n v="64.239999999999995"/>
    <x v="1"/>
    <s v="Paid"/>
    <s v="High"/>
    <s v="L. Chen"/>
    <s v="Middle East"/>
    <x v="2"/>
  </r>
  <r>
    <x v="60"/>
    <s v="BK50061"/>
    <d v="2025-10-27T00:00:00"/>
    <d v="2025-10-31T00:00:00"/>
    <d v="2025-11-12T00:00:00"/>
    <x v="3"/>
    <s v="Electronics"/>
    <s v="South Korea"/>
    <s v="Busan"/>
    <s v="Los Angeles"/>
    <x v="0"/>
    <x v="2"/>
    <s v="High Cube"/>
    <n v="2"/>
    <s v="Auto Parts"/>
    <n v="45033.99"/>
    <n v="9349.27"/>
    <n v="2941.75"/>
    <n v="884.47"/>
    <n v="450.34"/>
    <n v="834.05"/>
    <n v="604.24"/>
    <n v="29969.87"/>
    <n v="0"/>
    <x v="3"/>
    <n v="77.91"/>
    <x v="1"/>
    <s v="Pending"/>
    <s v="High"/>
    <s v="A. Tan"/>
    <s v="North America"/>
    <x v="7"/>
  </r>
  <r>
    <x v="61"/>
    <s v="BK50062"/>
    <d v="2025-04-21T00:00:00"/>
    <d v="2025-04-24T00:00:00"/>
    <d v="2025-05-24T00:00:00"/>
    <x v="8"/>
    <s v="Retail"/>
    <s v="Sweden"/>
    <s v="Colombo"/>
    <s v="Singapore"/>
    <x v="4"/>
    <x v="2"/>
    <s v="Reefer"/>
    <n v="2"/>
    <s v="Textiles"/>
    <n v="80432.009999999995"/>
    <n v="20369.060000000001"/>
    <n v="4901.46"/>
    <n v="2322.59"/>
    <n v="804.32"/>
    <n v="827.3"/>
    <n v="1156.22"/>
    <n v="50051.06"/>
    <n v="48"/>
    <x v="2"/>
    <n v="169.74"/>
    <x v="0"/>
    <s v="Pending"/>
    <s v="Critical"/>
    <s v="J. Smith"/>
    <s v="Middle East"/>
    <x v="10"/>
  </r>
  <r>
    <x v="62"/>
    <s v="BK50063"/>
    <d v="2025-04-29T00:00:00"/>
    <d v="2025-04-30T00:00:00"/>
    <d v="2025-05-16T00:00:00"/>
    <x v="3"/>
    <s v="Electronics"/>
    <s v="South Korea"/>
    <s v="Jebel Ali"/>
    <s v="Nhava Sheva"/>
    <x v="2"/>
    <x v="1"/>
    <s v="Reefer"/>
    <n v="2"/>
    <s v="Food"/>
    <n v="88043.6"/>
    <n v="16411.560000000001"/>
    <n v="6524.12"/>
    <n v="1395.04"/>
    <n v="880.44"/>
    <n v="727.45"/>
    <n v="406.83"/>
    <n v="61698.16"/>
    <n v="48"/>
    <x v="1"/>
    <n v="136.76"/>
    <x v="0"/>
    <s v="Pending"/>
    <s v="Standard"/>
    <s v="L. Chen"/>
    <s v="North America"/>
    <x v="10"/>
  </r>
  <r>
    <x v="63"/>
    <s v="BK50064"/>
    <d v="2025-03-29T00:00:00"/>
    <d v="2025-04-01T00:00:00"/>
    <d v="2025-04-25T00:00:00"/>
    <x v="1"/>
    <s v="FMCG"/>
    <s v="UK"/>
    <s v="Nhava Sheva"/>
    <s v="Hamburg"/>
    <x v="1"/>
    <x v="1"/>
    <s v="40FT"/>
    <n v="1"/>
    <s v="Food"/>
    <n v="32394.79"/>
    <n v="9582.7900000000009"/>
    <n v="1506.53"/>
    <n v="336.07"/>
    <n v="323.95"/>
    <n v="617.09"/>
    <n v="2118.91"/>
    <n v="17909.45"/>
    <n v="24"/>
    <x v="1"/>
    <n v="79.86"/>
    <x v="0"/>
    <s v="Paid"/>
    <s v="Standard"/>
    <s v="J. Smith"/>
    <s v="North America"/>
    <x v="5"/>
  </r>
  <r>
    <x v="64"/>
    <s v="BK50065"/>
    <d v="2025-06-30T00:00:00"/>
    <d v="2025-07-01T00:00:00"/>
    <d v="2025-07-13T00:00:00"/>
    <x v="2"/>
    <s v="Electronics"/>
    <s v="South Korea"/>
    <s v="Busan"/>
    <s v="Los Angeles"/>
    <x v="0"/>
    <x v="5"/>
    <s v="High Cube"/>
    <n v="4"/>
    <s v="Electronics"/>
    <n v="115687.94"/>
    <n v="25465.439999999999"/>
    <n v="6731.54"/>
    <n v="2323.2800000000002"/>
    <n v="1156.8800000000001"/>
    <n v="648.16"/>
    <n v="1755.22"/>
    <n v="77607.42"/>
    <n v="0"/>
    <x v="3"/>
    <n v="212.21"/>
    <x v="1"/>
    <s v="Paid"/>
    <s v="High"/>
    <s v="L. Chen"/>
    <s v="Asia"/>
    <x v="0"/>
  </r>
  <r>
    <x v="65"/>
    <s v="BK50066"/>
    <d v="2025-08-16T00:00:00"/>
    <d v="2025-08-17T00:00:00"/>
    <d v="2025-09-10T00:00:00"/>
    <x v="8"/>
    <s v="Retail"/>
    <s v="Sweden"/>
    <s v="Busan"/>
    <s v="Los Angeles"/>
    <x v="0"/>
    <x v="5"/>
    <s v="High Cube"/>
    <n v="1"/>
    <s v="Textiles"/>
    <n v="23576.99"/>
    <n v="5585.4"/>
    <n v="1525.39"/>
    <n v="643.13"/>
    <n v="235.77"/>
    <n v="182.25"/>
    <n v="1084.6600000000001"/>
    <n v="14320.39"/>
    <n v="0"/>
    <x v="3"/>
    <n v="46.54"/>
    <x v="1"/>
    <s v="Paid"/>
    <s v="High"/>
    <s v="J. Smith"/>
    <s v="Europe"/>
    <x v="4"/>
  </r>
  <r>
    <x v="66"/>
    <s v="BK50067"/>
    <d v="2025-09-09T00:00:00"/>
    <d v="2025-09-12T00:00:00"/>
    <d v="2025-10-07T00:00:00"/>
    <x v="4"/>
    <s v="Manufacturing"/>
    <s v="Germany"/>
    <s v="Nhava Sheva"/>
    <s v="Rotterdam"/>
    <x v="1"/>
    <x v="4"/>
    <s v="Reefer"/>
    <n v="2"/>
    <s v="Food"/>
    <n v="79090.600000000006"/>
    <n v="17229.560000000001"/>
    <n v="3526.2"/>
    <n v="1688.79"/>
    <n v="790.91"/>
    <n v="608.19000000000005"/>
    <n v="1265.3399999999999"/>
    <n v="53981.61"/>
    <n v="24"/>
    <x v="1"/>
    <n v="143.58000000000001"/>
    <x v="0"/>
    <s v="Paid"/>
    <s v="Critical"/>
    <s v="J. Smith"/>
    <s v="Europe"/>
    <x v="3"/>
  </r>
  <r>
    <x v="67"/>
    <s v="BK50068"/>
    <d v="2025-01-15T00:00:00"/>
    <d v="2025-01-17T00:00:00"/>
    <d v="2025-02-12T00:00:00"/>
    <x v="7"/>
    <s v="Retail"/>
    <s v="Germany"/>
    <s v="Singapore"/>
    <s v="Rotterdam"/>
    <x v="3"/>
    <x v="3"/>
    <s v="Reefer"/>
    <n v="1"/>
    <s v="Textiles"/>
    <n v="7543.88"/>
    <n v="1814.58"/>
    <n v="598.59"/>
    <n v="220.74"/>
    <n v="75.44"/>
    <n v="562.91999999999996"/>
    <n v="802.94"/>
    <n v="3468.67"/>
    <n v="0"/>
    <x v="3"/>
    <n v="15.12"/>
    <x v="1"/>
    <s v="Pending"/>
    <s v="High"/>
    <s v="R. Mehta"/>
    <s v="Europe"/>
    <x v="11"/>
  </r>
  <r>
    <x v="68"/>
    <s v="BK50069"/>
    <d v="2025-05-13T00:00:00"/>
    <d v="2025-05-14T00:00:00"/>
    <d v="2025-06-04T00:00:00"/>
    <x v="1"/>
    <s v="FMCG"/>
    <s v="UK"/>
    <s v="Colombo"/>
    <s v="Singapore"/>
    <x v="4"/>
    <x v="2"/>
    <s v="Reefer"/>
    <n v="2"/>
    <s v="Chemicals"/>
    <n v="74300.820000000007"/>
    <n v="19974.599999999999"/>
    <n v="4977.54"/>
    <n v="1395.08"/>
    <n v="743.01"/>
    <n v="369.35"/>
    <n v="1473.99"/>
    <n v="45367.25"/>
    <n v="12"/>
    <x v="0"/>
    <n v="166.45"/>
    <x v="0"/>
    <s v="Paid"/>
    <s v="Critical"/>
    <s v="J. Smith"/>
    <s v="Asia"/>
    <x v="6"/>
  </r>
  <r>
    <x v="69"/>
    <s v="BK50070"/>
    <d v="2025-06-28T00:00:00"/>
    <d v="2025-07-01T00:00:00"/>
    <d v="2025-07-26T00:00:00"/>
    <x v="11"/>
    <s v="Automotive"/>
    <s v="Japan"/>
    <s v="Singapore"/>
    <s v="Rotterdam"/>
    <x v="3"/>
    <x v="0"/>
    <s v="High Cube"/>
    <n v="2"/>
    <s v="Auto Parts"/>
    <n v="63390.11"/>
    <n v="14883.13"/>
    <n v="5021.68"/>
    <n v="647.54"/>
    <n v="633.9"/>
    <n v="769.11"/>
    <n v="507.55"/>
    <n v="40927.199999999997"/>
    <n v="48"/>
    <x v="4"/>
    <n v="124.03"/>
    <x v="0"/>
    <s v="Paid"/>
    <s v="High"/>
    <s v="J. Smith"/>
    <s v="Middle East"/>
    <x v="0"/>
  </r>
  <r>
    <x v="70"/>
    <s v="BK50071"/>
    <d v="2025-02-26T00:00:00"/>
    <d v="2025-02-27T00:00:00"/>
    <d v="2025-03-17T00:00:00"/>
    <x v="7"/>
    <s v="Retail"/>
    <s v="Germany"/>
    <s v="Shanghai"/>
    <s v="Rotterdam"/>
    <x v="3"/>
    <x v="2"/>
    <s v="Reefer"/>
    <n v="1"/>
    <s v="Textiles"/>
    <n v="42239.56"/>
    <n v="11949.01"/>
    <n v="3234.39"/>
    <n v="557.64"/>
    <n v="422.4"/>
    <n v="284.73"/>
    <n v="960.56"/>
    <n v="24830.83"/>
    <n v="0"/>
    <x v="3"/>
    <n v="99.58"/>
    <x v="1"/>
    <s v="Paid"/>
    <s v="Standard"/>
    <s v="J. Smith"/>
    <s v="North America"/>
    <x v="9"/>
  </r>
  <r>
    <x v="71"/>
    <s v="BK50072"/>
    <d v="2025-11-04T00:00:00"/>
    <d v="2025-11-06T00:00:00"/>
    <d v="2025-11-19T00:00:00"/>
    <x v="7"/>
    <s v="Retail"/>
    <s v="Germany"/>
    <s v="Jebel Ali"/>
    <s v="Busan"/>
    <x v="1"/>
    <x v="0"/>
    <s v="Reefer"/>
    <n v="2"/>
    <s v="Furniture"/>
    <n v="72641.98"/>
    <n v="20418.66"/>
    <n v="4240.8500000000004"/>
    <n v="750.52"/>
    <n v="726.42"/>
    <n v="151.80000000000001"/>
    <n v="1465.25"/>
    <n v="44888.480000000003"/>
    <n v="4"/>
    <x v="0"/>
    <n v="170.16"/>
    <x v="0"/>
    <s v="Pending"/>
    <s v="Critical"/>
    <s v="M. Ahmed"/>
    <s v="Europe"/>
    <x v="8"/>
  </r>
  <r>
    <x v="72"/>
    <s v="BK50073"/>
    <d v="2025-05-16T00:00:00"/>
    <d v="2025-05-17T00:00:00"/>
    <d v="2025-06-12T00:00:00"/>
    <x v="1"/>
    <s v="FMCG"/>
    <s v="UK"/>
    <s v="Singapore"/>
    <s v="Rotterdam"/>
    <x v="3"/>
    <x v="5"/>
    <s v="20FT"/>
    <n v="4"/>
    <s v="Auto Parts"/>
    <n v="108258.86"/>
    <n v="20667.05"/>
    <n v="5793.96"/>
    <n v="2548.6"/>
    <n v="1082.5899999999999"/>
    <n v="785.06"/>
    <n v="1138.8499999999999"/>
    <n v="76242.75"/>
    <n v="0"/>
    <x v="3"/>
    <n v="172.23"/>
    <x v="1"/>
    <s v="Pending"/>
    <s v="Standard"/>
    <s v="A. Tan"/>
    <s v="Asia"/>
    <x v="6"/>
  </r>
  <r>
    <x v="73"/>
    <s v="BK50074"/>
    <d v="2025-03-26T00:00:00"/>
    <d v="2025-03-29T00:00:00"/>
    <d v="2025-04-11T00:00:00"/>
    <x v="9"/>
    <s v="Engineering"/>
    <s v="Germany"/>
    <s v="Colombo"/>
    <s v="Singapore"/>
    <x v="4"/>
    <x v="0"/>
    <s v="20FT"/>
    <n v="4"/>
    <s v="Textiles"/>
    <n v="62047.42"/>
    <n v="15724"/>
    <n v="4830.3100000000004"/>
    <n v="1068.48"/>
    <n v="620.47"/>
    <n v="233.15"/>
    <n v="855.39"/>
    <n v="38715.620000000003"/>
    <n v="0"/>
    <x v="3"/>
    <n v="131.03"/>
    <x v="1"/>
    <s v="Paid"/>
    <s v="Standard"/>
    <s v="R. Mehta"/>
    <s v="Asia"/>
    <x v="5"/>
  </r>
  <r>
    <x v="74"/>
    <s v="BK50075"/>
    <d v="2025-02-28T00:00:00"/>
    <d v="2025-03-02T00:00:00"/>
    <d v="2025-03-14T00:00:00"/>
    <x v="2"/>
    <s v="Electronics"/>
    <s v="South Korea"/>
    <s v="Colombo"/>
    <s v="Singapore"/>
    <x v="4"/>
    <x v="7"/>
    <s v="40FT"/>
    <n v="2"/>
    <s v="Furniture"/>
    <n v="32454.33"/>
    <n v="5641.19"/>
    <n v="1665.77"/>
    <n v="354.33"/>
    <n v="324.54000000000002"/>
    <n v="820.24"/>
    <n v="709.06"/>
    <n v="22939.200000000001"/>
    <n v="0"/>
    <x v="3"/>
    <n v="47.01"/>
    <x v="1"/>
    <s v="Pending"/>
    <s v="Standard"/>
    <s v="R. Mehta"/>
    <s v="Europe"/>
    <x v="9"/>
  </r>
  <r>
    <x v="75"/>
    <s v="BK50076"/>
    <d v="2025-08-29T00:00:00"/>
    <d v="2025-09-01T00:00:00"/>
    <d v="2025-09-27T00:00:00"/>
    <x v="8"/>
    <s v="Retail"/>
    <s v="Sweden"/>
    <s v="Jebel Ali"/>
    <s v="Nhava Sheva"/>
    <x v="2"/>
    <x v="7"/>
    <s v="High Cube"/>
    <n v="2"/>
    <s v="Chemicals"/>
    <n v="78123.44"/>
    <n v="23047.8"/>
    <n v="5359.36"/>
    <n v="1308.22"/>
    <n v="781.23"/>
    <n v="629.66999999999996"/>
    <n v="537.11"/>
    <n v="46460.05"/>
    <n v="0"/>
    <x v="3"/>
    <n v="192.06"/>
    <x v="1"/>
    <s v="Pending"/>
    <s v="Critical"/>
    <s v="A. Tan"/>
    <s v="Europe"/>
    <x v="4"/>
  </r>
  <r>
    <x v="76"/>
    <s v="BK50077"/>
    <d v="2025-06-24T00:00:00"/>
    <d v="2025-06-28T00:00:00"/>
    <d v="2025-07-24T00:00:00"/>
    <x v="3"/>
    <s v="Electronics"/>
    <s v="South Korea"/>
    <s v="Shanghai"/>
    <s v="Rotterdam"/>
    <x v="3"/>
    <x v="2"/>
    <s v="High Cube"/>
    <n v="4"/>
    <s v="Furniture"/>
    <n v="62271.68"/>
    <n v="17425.71"/>
    <n v="3544.97"/>
    <n v="1821.53"/>
    <n v="622.72"/>
    <n v="877.31"/>
    <n v="2311.04"/>
    <n v="35668.400000000001"/>
    <n v="0"/>
    <x v="3"/>
    <n v="145.21"/>
    <x v="1"/>
    <s v="Paid"/>
    <s v="Standard"/>
    <s v="L. Chen"/>
    <s v="Europe"/>
    <x v="0"/>
  </r>
  <r>
    <x v="77"/>
    <s v="BK50078"/>
    <d v="2025-02-03T00:00:00"/>
    <d v="2025-02-07T00:00:00"/>
    <d v="2025-02-20T00:00:00"/>
    <x v="8"/>
    <s v="Retail"/>
    <s v="Sweden"/>
    <s v="Busan"/>
    <s v="Los Angeles"/>
    <x v="0"/>
    <x v="6"/>
    <s v="40FT"/>
    <n v="4"/>
    <s v="Machinery"/>
    <n v="33545.81"/>
    <n v="8132.87"/>
    <n v="1726.38"/>
    <n v="380.14"/>
    <n v="335.46"/>
    <n v="594.99"/>
    <n v="528.57000000000005"/>
    <n v="21847.4"/>
    <n v="0"/>
    <x v="3"/>
    <n v="67.77"/>
    <x v="1"/>
    <s v="Paid"/>
    <s v="High"/>
    <s v="M. Ahmed"/>
    <s v="Europe"/>
    <x v="9"/>
  </r>
  <r>
    <x v="78"/>
    <s v="BK50079"/>
    <d v="2025-05-01T00:00:00"/>
    <d v="2025-05-03T00:00:00"/>
    <d v="2025-05-21T00:00:00"/>
    <x v="1"/>
    <s v="FMCG"/>
    <s v="UK"/>
    <s v="Colombo"/>
    <s v="Rotterdam"/>
    <x v="1"/>
    <x v="5"/>
    <s v="40FT"/>
    <n v="1"/>
    <s v="Furniture"/>
    <n v="10802.64"/>
    <n v="3001.34"/>
    <n v="639.23"/>
    <n v="242.73"/>
    <n v="108.03"/>
    <n v="160.72"/>
    <n v="718.01"/>
    <n v="5932.58"/>
    <n v="0"/>
    <x v="3"/>
    <n v="25.01"/>
    <x v="1"/>
    <s v="Pending"/>
    <s v="High"/>
    <s v="R. Mehta"/>
    <s v="Asia"/>
    <x v="6"/>
  </r>
  <r>
    <x v="79"/>
    <s v="BK50080"/>
    <d v="2025-11-19T00:00:00"/>
    <d v="2025-11-21T00:00:00"/>
    <d v="2025-12-14T00:00:00"/>
    <x v="6"/>
    <s v="Pharma"/>
    <s v="USA"/>
    <s v="Busan"/>
    <s v="Los Angeles"/>
    <x v="0"/>
    <x v="7"/>
    <s v="20FT"/>
    <n v="1"/>
    <s v="Furniture"/>
    <n v="13391.78"/>
    <n v="2541.91"/>
    <n v="914.12"/>
    <n v="375.71"/>
    <n v="133.91999999999999"/>
    <n v="388.69"/>
    <n v="2150.02"/>
    <n v="6887.41"/>
    <n v="4"/>
    <x v="5"/>
    <n v="21.18"/>
    <x v="0"/>
    <s v="Pending"/>
    <s v="Critical"/>
    <s v="M. Ahmed"/>
    <s v="Europe"/>
    <x v="8"/>
  </r>
  <r>
    <x v="80"/>
    <s v="BK50081"/>
    <d v="2025-05-12T00:00:00"/>
    <d v="2025-05-15T00:00:00"/>
    <d v="2025-06-08T00:00:00"/>
    <x v="5"/>
    <s v="Food"/>
    <s v="Switzerland"/>
    <s v="Singapore"/>
    <s v="Rotterdam"/>
    <x v="3"/>
    <x v="2"/>
    <s v="20FT"/>
    <n v="2"/>
    <s v="Furniture"/>
    <n v="75993.56"/>
    <n v="19631.36"/>
    <n v="6035.07"/>
    <n v="1747.31"/>
    <n v="759.94"/>
    <n v="815.93"/>
    <n v="1789.33"/>
    <n v="45214.62"/>
    <n v="12"/>
    <x v="4"/>
    <n v="163.59"/>
    <x v="0"/>
    <s v="Pending"/>
    <s v="Critical"/>
    <s v="A. Tan"/>
    <s v="North America"/>
    <x v="6"/>
  </r>
  <r>
    <x v="81"/>
    <s v="BK50082"/>
    <d v="2025-04-13T00:00:00"/>
    <d v="2025-04-15T00:00:00"/>
    <d v="2025-05-06T00:00:00"/>
    <x v="0"/>
    <s v="Retail"/>
    <s v="India"/>
    <s v="Busan"/>
    <s v="Jebel Ali"/>
    <x v="1"/>
    <x v="3"/>
    <s v="40FT"/>
    <n v="2"/>
    <s v="Chemicals"/>
    <n v="51758.69"/>
    <n v="11843.85"/>
    <n v="2936.27"/>
    <n v="561.66"/>
    <n v="517.59"/>
    <n v="619.66999999999996"/>
    <n v="2480.87"/>
    <n v="32798.78"/>
    <n v="48"/>
    <x v="0"/>
    <n v="98.7"/>
    <x v="0"/>
    <s v="Paid"/>
    <s v="High"/>
    <s v="M. Ahmed"/>
    <s v="Asia"/>
    <x v="10"/>
  </r>
  <r>
    <x v="82"/>
    <s v="BK50083"/>
    <d v="2025-05-26T00:00:00"/>
    <d v="2025-05-28T00:00:00"/>
    <d v="2025-06-13T00:00:00"/>
    <x v="8"/>
    <s v="Retail"/>
    <s v="Sweden"/>
    <s v="Shanghai"/>
    <s v="Rotterdam"/>
    <x v="1"/>
    <x v="2"/>
    <s v="Reefer"/>
    <n v="1"/>
    <s v="Furniture"/>
    <n v="32794.5"/>
    <n v="8207.82"/>
    <n v="2329.06"/>
    <n v="906.79"/>
    <n v="327.94"/>
    <n v="283.39999999999998"/>
    <n v="1559.19"/>
    <n v="19180.3"/>
    <n v="48"/>
    <x v="4"/>
    <n v="68.400000000000006"/>
    <x v="0"/>
    <s v="Paid"/>
    <s v="Standard"/>
    <s v="A. Tan"/>
    <s v="Asia"/>
    <x v="6"/>
  </r>
  <r>
    <x v="83"/>
    <s v="BK50084"/>
    <d v="2025-03-19T00:00:00"/>
    <d v="2025-03-20T00:00:00"/>
    <d v="2025-03-31T00:00:00"/>
    <x v="6"/>
    <s v="Pharma"/>
    <s v="USA"/>
    <s v="Singapore"/>
    <s v="Nhava Sheva"/>
    <x v="1"/>
    <x v="2"/>
    <s v="High Cube"/>
    <n v="1"/>
    <s v="Furniture"/>
    <n v="44221.07"/>
    <n v="13095.12"/>
    <n v="3058.25"/>
    <n v="1246.03"/>
    <n v="442.21"/>
    <n v="789.14"/>
    <n v="503.63"/>
    <n v="25086.69"/>
    <n v="4"/>
    <x v="0"/>
    <n v="109.13"/>
    <x v="0"/>
    <s v="Pending"/>
    <s v="High"/>
    <s v="L. Chen"/>
    <s v="North America"/>
    <x v="5"/>
  </r>
  <r>
    <x v="84"/>
    <s v="BK50085"/>
    <d v="2025-08-08T00:00:00"/>
    <d v="2025-08-09T00:00:00"/>
    <d v="2025-09-04T00:00:00"/>
    <x v="3"/>
    <s v="Electronics"/>
    <s v="South Korea"/>
    <s v="Shanghai"/>
    <s v="Rotterdam"/>
    <x v="3"/>
    <x v="1"/>
    <s v="20FT"/>
    <n v="2"/>
    <s v="Machinery"/>
    <n v="58213.16"/>
    <n v="14612.99"/>
    <n v="3952.11"/>
    <n v="1393.65"/>
    <n v="582.13"/>
    <n v="587.22"/>
    <n v="2271.11"/>
    <n v="34813.949999999997"/>
    <n v="0"/>
    <x v="3"/>
    <n v="121.77"/>
    <x v="1"/>
    <s v="Paid"/>
    <s v="High"/>
    <s v="R. Mehta"/>
    <s v="North America"/>
    <x v="4"/>
  </r>
  <r>
    <x v="85"/>
    <s v="BK50086"/>
    <d v="2025-08-18T00:00:00"/>
    <d v="2025-08-19T00:00:00"/>
    <d v="2025-09-04T00:00:00"/>
    <x v="5"/>
    <s v="Food"/>
    <s v="Switzerland"/>
    <s v="Jebel Ali"/>
    <s v="Nhava Sheva"/>
    <x v="2"/>
    <x v="0"/>
    <s v="40FT"/>
    <n v="1"/>
    <s v="Chemicals"/>
    <n v="6083.45"/>
    <n v="1433.79"/>
    <n v="474.42"/>
    <n v="80.459999999999994"/>
    <n v="60.83"/>
    <n v="462.42"/>
    <n v="779.57"/>
    <n v="2791.96"/>
    <n v="0"/>
    <x v="3"/>
    <n v="11.95"/>
    <x v="1"/>
    <s v="Pending"/>
    <s v="Standard"/>
    <s v="A. Tan"/>
    <s v="North America"/>
    <x v="4"/>
  </r>
  <r>
    <x v="86"/>
    <s v="BK50087"/>
    <d v="2025-01-04T00:00:00"/>
    <d v="2025-01-06T00:00:00"/>
    <d v="2025-01-20T00:00:00"/>
    <x v="10"/>
    <s v="E-commerce"/>
    <s v="USA"/>
    <s v="Busan"/>
    <s v="Busan"/>
    <x v="1"/>
    <x v="7"/>
    <s v="High Cube"/>
    <n v="1"/>
    <s v="Auto Parts"/>
    <n v="27812.18"/>
    <n v="6919.33"/>
    <n v="2088.37"/>
    <n v="315.38"/>
    <n v="278.12"/>
    <n v="849.76"/>
    <n v="1910.19"/>
    <n v="15451.03"/>
    <n v="0"/>
    <x v="3"/>
    <n v="57.66"/>
    <x v="1"/>
    <s v="Paid"/>
    <s v="High"/>
    <s v="M. Ahmed"/>
    <s v="North America"/>
    <x v="11"/>
  </r>
  <r>
    <x v="87"/>
    <s v="BK50088"/>
    <d v="2025-06-03T00:00:00"/>
    <d v="2025-06-07T00:00:00"/>
    <d v="2025-06-25T00:00:00"/>
    <x v="6"/>
    <s v="Pharma"/>
    <s v="USA"/>
    <s v="Colombo"/>
    <s v="Shanghai"/>
    <x v="1"/>
    <x v="5"/>
    <s v="Reefer"/>
    <n v="4"/>
    <s v="Chemicals"/>
    <n v="154540.21"/>
    <n v="37576.400000000001"/>
    <n v="10241.77"/>
    <n v="2445.34"/>
    <n v="1545.4"/>
    <n v="756.05"/>
    <n v="492.56"/>
    <n v="101482.69"/>
    <n v="36"/>
    <x v="4"/>
    <n v="313.14"/>
    <x v="0"/>
    <s v="Pending"/>
    <s v="Standard"/>
    <s v="M. Ahmed"/>
    <s v="Asia"/>
    <x v="0"/>
  </r>
  <r>
    <x v="88"/>
    <s v="BK50089"/>
    <d v="2025-06-07T00:00:00"/>
    <d v="2025-06-08T00:00:00"/>
    <d v="2025-06-20T00:00:00"/>
    <x v="10"/>
    <s v="E-commerce"/>
    <s v="USA"/>
    <s v="Busan"/>
    <s v="Los Angeles"/>
    <x v="0"/>
    <x v="0"/>
    <s v="Reefer"/>
    <n v="1"/>
    <s v="Machinery"/>
    <n v="43489.49"/>
    <n v="12769.37"/>
    <n v="2674.7"/>
    <n v="1137.51"/>
    <n v="434.89"/>
    <n v="846.43"/>
    <n v="2473"/>
    <n v="23153.59"/>
    <n v="0"/>
    <x v="3"/>
    <n v="106.41"/>
    <x v="1"/>
    <s v="Pending"/>
    <s v="High"/>
    <s v="M. Ahmed"/>
    <s v="Europe"/>
    <x v="0"/>
  </r>
  <r>
    <x v="89"/>
    <s v="BK50090"/>
    <d v="2025-01-01T00:00:00"/>
    <d v="2025-01-04T00:00:00"/>
    <d v="2025-01-27T00:00:00"/>
    <x v="5"/>
    <s v="Food"/>
    <s v="Switzerland"/>
    <s v="Colombo"/>
    <s v="Singapore"/>
    <x v="4"/>
    <x v="2"/>
    <s v="20FT"/>
    <n v="1"/>
    <s v="Chemicals"/>
    <n v="21591.19"/>
    <n v="4173.34"/>
    <n v="1023.26"/>
    <n v="464.09"/>
    <n v="215.91"/>
    <n v="438.15"/>
    <n v="1616.95"/>
    <n v="13659.49"/>
    <n v="0"/>
    <x v="3"/>
    <n v="34.78"/>
    <x v="1"/>
    <s v="Paid"/>
    <s v="High"/>
    <s v="R. Mehta"/>
    <s v="North America"/>
    <x v="11"/>
  </r>
  <r>
    <x v="90"/>
    <s v="BK50091"/>
    <d v="2025-02-12T00:00:00"/>
    <d v="2025-02-14T00:00:00"/>
    <d v="2025-03-04T00:00:00"/>
    <x v="9"/>
    <s v="Engineering"/>
    <s v="Germany"/>
    <s v="Jebel Ali"/>
    <s v="Nhava Sheva"/>
    <x v="2"/>
    <x v="2"/>
    <s v="Reefer"/>
    <n v="1"/>
    <s v="Electronics"/>
    <n v="17640.400000000001"/>
    <n v="4519.5600000000004"/>
    <n v="1006.62"/>
    <n v="359.47"/>
    <n v="176.4"/>
    <n v="730.01"/>
    <n v="2428.73"/>
    <n v="8419.61"/>
    <n v="0"/>
    <x v="3"/>
    <n v="37.659999999999997"/>
    <x v="1"/>
    <s v="Paid"/>
    <s v="High"/>
    <s v="A. Tan"/>
    <s v="Asia"/>
    <x v="9"/>
  </r>
  <r>
    <x v="91"/>
    <s v="BK50092"/>
    <d v="2025-05-07T00:00:00"/>
    <d v="2025-05-10T00:00:00"/>
    <d v="2025-06-02T00:00:00"/>
    <x v="0"/>
    <s v="Retail"/>
    <s v="India"/>
    <s v="Colombo"/>
    <s v="Singapore"/>
    <x v="4"/>
    <x v="3"/>
    <s v="40FT"/>
    <n v="2"/>
    <s v="Chemicals"/>
    <n v="89468.76"/>
    <n v="26556.87"/>
    <n v="5618.88"/>
    <n v="2439.2199999999998"/>
    <n v="894.69"/>
    <n v="803.04"/>
    <n v="1801.22"/>
    <n v="51354.84"/>
    <n v="0"/>
    <x v="3"/>
    <n v="221.31"/>
    <x v="1"/>
    <s v="Pending"/>
    <s v="High"/>
    <s v="R. Mehta"/>
    <s v="Middle East"/>
    <x v="6"/>
  </r>
  <r>
    <x v="92"/>
    <s v="BK50093"/>
    <d v="2025-02-21T00:00:00"/>
    <d v="2025-02-24T00:00:00"/>
    <d v="2025-03-18T00:00:00"/>
    <x v="1"/>
    <s v="FMCG"/>
    <s v="UK"/>
    <s v="Jebel Ali"/>
    <s v="Nhava Sheva"/>
    <x v="2"/>
    <x v="0"/>
    <s v="High Cube"/>
    <n v="1"/>
    <s v="Auto Parts"/>
    <n v="22503.47"/>
    <n v="4659.72"/>
    <n v="1671.42"/>
    <n v="290.43"/>
    <n v="225.03"/>
    <n v="406.32"/>
    <n v="1083.5899999999999"/>
    <n v="14166.96"/>
    <n v="4"/>
    <x v="4"/>
    <n v="38.83"/>
    <x v="0"/>
    <s v="Paid"/>
    <s v="Critical"/>
    <s v="R. Mehta"/>
    <s v="North America"/>
    <x v="9"/>
  </r>
  <r>
    <x v="93"/>
    <s v="BK50094"/>
    <d v="2025-03-16T00:00:00"/>
    <d v="2025-03-19T00:00:00"/>
    <d v="2025-04-06T00:00:00"/>
    <x v="11"/>
    <s v="Automotive"/>
    <s v="Japan"/>
    <s v="Colombo"/>
    <s v="Singapore"/>
    <x v="4"/>
    <x v="3"/>
    <s v="Reefer"/>
    <n v="2"/>
    <s v="Machinery"/>
    <n v="13167.36"/>
    <n v="3339.51"/>
    <n v="1035.7"/>
    <n v="377.58"/>
    <n v="131.66999999999999"/>
    <n v="766.98"/>
    <n v="778.43"/>
    <n v="6737.49"/>
    <n v="12"/>
    <x v="5"/>
    <n v="27.83"/>
    <x v="0"/>
    <s v="Paid"/>
    <s v="Critical"/>
    <s v="A. Tan"/>
    <s v="Middle East"/>
    <x v="5"/>
  </r>
  <r>
    <x v="94"/>
    <s v="BK50095"/>
    <d v="2025-06-11T00:00:00"/>
    <d v="2025-06-14T00:00:00"/>
    <d v="2025-07-01T00:00:00"/>
    <x v="5"/>
    <s v="Food"/>
    <s v="Switzerland"/>
    <s v="Singapore"/>
    <s v="Rotterdam"/>
    <x v="3"/>
    <x v="2"/>
    <s v="20FT"/>
    <n v="2"/>
    <s v="Furniture"/>
    <n v="46469.62"/>
    <n v="12193.86"/>
    <n v="3656.51"/>
    <n v="947.21"/>
    <n v="464.7"/>
    <n v="477.8"/>
    <n v="1451.06"/>
    <n v="27278.48"/>
    <n v="48"/>
    <x v="5"/>
    <n v="101.62"/>
    <x v="0"/>
    <s v="Pending"/>
    <s v="High"/>
    <s v="R. Mehta"/>
    <s v="Europe"/>
    <x v="0"/>
  </r>
  <r>
    <x v="95"/>
    <s v="BK50096"/>
    <d v="2025-09-12T00:00:00"/>
    <d v="2025-09-14T00:00:00"/>
    <d v="2025-09-29T00:00:00"/>
    <x v="5"/>
    <s v="Food"/>
    <s v="Switzerland"/>
    <s v="Busan"/>
    <s v="Los Angeles"/>
    <x v="0"/>
    <x v="6"/>
    <s v="High Cube"/>
    <n v="2"/>
    <s v="Food"/>
    <n v="24510.37"/>
    <n v="5922.21"/>
    <n v="1875.19"/>
    <n v="366.96"/>
    <n v="245.1"/>
    <n v="543.51"/>
    <n v="1228.21"/>
    <n v="14329.19"/>
    <n v="12"/>
    <x v="2"/>
    <n v="49.35"/>
    <x v="0"/>
    <s v="Paid"/>
    <s v="High"/>
    <s v="R. Mehta"/>
    <s v="Europe"/>
    <x v="3"/>
  </r>
  <r>
    <x v="96"/>
    <s v="BK50097"/>
    <d v="2025-08-13T00:00:00"/>
    <d v="2025-08-17T00:00:00"/>
    <d v="2025-09-02T00:00:00"/>
    <x v="6"/>
    <s v="Pharma"/>
    <s v="USA"/>
    <s v="Colombo"/>
    <s v="Singapore"/>
    <x v="4"/>
    <x v="6"/>
    <s v="20FT"/>
    <n v="1"/>
    <s v="Auto Parts"/>
    <n v="19160.18"/>
    <n v="5099.66"/>
    <n v="1406.94"/>
    <n v="295.10000000000002"/>
    <n v="191.6"/>
    <n v="783.72"/>
    <n v="1369.81"/>
    <n v="10013.35"/>
    <n v="0"/>
    <x v="3"/>
    <n v="42.5"/>
    <x v="1"/>
    <s v="Pending"/>
    <s v="High"/>
    <s v="J. Smith"/>
    <s v="Asia"/>
    <x v="4"/>
  </r>
  <r>
    <x v="97"/>
    <s v="BK50098"/>
    <d v="2025-01-24T00:00:00"/>
    <d v="2025-01-26T00:00:00"/>
    <d v="2025-02-08T00:00:00"/>
    <x v="10"/>
    <s v="E-commerce"/>
    <s v="USA"/>
    <s v="Busan"/>
    <s v="Los Angeles"/>
    <x v="0"/>
    <x v="4"/>
    <s v="Reefer"/>
    <n v="2"/>
    <s v="Chemicals"/>
    <n v="61610.66"/>
    <n v="15061.4"/>
    <n v="3528.34"/>
    <n v="1471.8"/>
    <n v="616.11"/>
    <n v="543.15"/>
    <n v="2043.92"/>
    <n v="38345.94"/>
    <n v="48"/>
    <x v="1"/>
    <n v="125.51"/>
    <x v="0"/>
    <s v="Paid"/>
    <s v="Standard"/>
    <s v="J. Smith"/>
    <s v="Europe"/>
    <x v="11"/>
  </r>
  <r>
    <x v="98"/>
    <s v="BK50099"/>
    <d v="2025-10-18T00:00:00"/>
    <d v="2025-10-19T00:00:00"/>
    <d v="2025-11-11T00:00:00"/>
    <x v="8"/>
    <s v="Retail"/>
    <s v="Sweden"/>
    <s v="Busan"/>
    <s v="Los Angeles"/>
    <x v="0"/>
    <x v="2"/>
    <s v="High Cube"/>
    <n v="4"/>
    <s v="Food"/>
    <n v="152808.59"/>
    <n v="31790.34"/>
    <n v="8460.76"/>
    <n v="2288.75"/>
    <n v="1528.09"/>
    <n v="268.70999999999998"/>
    <n v="1041.06"/>
    <n v="107430.88"/>
    <n v="8"/>
    <x v="2"/>
    <n v="264.92"/>
    <x v="0"/>
    <s v="Paid"/>
    <s v="Standard"/>
    <s v="R. Mehta"/>
    <s v="North America"/>
    <x v="7"/>
  </r>
  <r>
    <x v="99"/>
    <s v="BK50100"/>
    <d v="2025-04-05T00:00:00"/>
    <d v="2025-04-07T00:00:00"/>
    <d v="2025-05-03T00:00:00"/>
    <x v="2"/>
    <s v="Electronics"/>
    <s v="South Korea"/>
    <s v="Busan"/>
    <s v="Los Angeles"/>
    <x v="0"/>
    <x v="4"/>
    <s v="High Cube"/>
    <n v="4"/>
    <s v="Auto Parts"/>
    <n v="134562.76"/>
    <n v="32798.730000000003"/>
    <n v="7585.9"/>
    <n v="2424.13"/>
    <n v="1345.63"/>
    <n v="781.79"/>
    <n v="359.86"/>
    <n v="89266.72"/>
    <n v="4"/>
    <x v="0"/>
    <n v="273.32"/>
    <x v="0"/>
    <s v="Pending"/>
    <s v="High"/>
    <s v="R. Mehta"/>
    <s v="Europe"/>
    <x v="10"/>
  </r>
  <r>
    <x v="100"/>
    <s v="BK50101"/>
    <d v="2025-12-17T00:00:00"/>
    <d v="2025-12-18T00:00:00"/>
    <d v="2026-01-08T00:00:00"/>
    <x v="4"/>
    <s v="Manufacturing"/>
    <s v="Germany"/>
    <s v="Singapore"/>
    <s v="Rotterdam"/>
    <x v="3"/>
    <x v="5"/>
    <s v="20FT"/>
    <n v="2"/>
    <s v="Machinery"/>
    <n v="65088.54"/>
    <n v="16649.93"/>
    <n v="4056.39"/>
    <n v="1890.48"/>
    <n v="650.89"/>
    <n v="665.48"/>
    <n v="1765.68"/>
    <n v="39409.69"/>
    <n v="24"/>
    <x v="1"/>
    <n v="138.75"/>
    <x v="0"/>
    <s v="Paid"/>
    <s v="High"/>
    <s v="L. Chen"/>
    <s v="Middle East"/>
    <x v="2"/>
  </r>
  <r>
    <x v="101"/>
    <s v="BK50102"/>
    <d v="2025-10-20T00:00:00"/>
    <d v="2025-10-24T00:00:00"/>
    <d v="2025-11-04T00:00:00"/>
    <x v="7"/>
    <s v="Retail"/>
    <s v="Germany"/>
    <s v="Busan"/>
    <s v="Hamburg"/>
    <x v="1"/>
    <x v="1"/>
    <s v="Reefer"/>
    <n v="2"/>
    <s v="Machinery"/>
    <n v="52963.47"/>
    <n v="13685.36"/>
    <n v="2524.92"/>
    <n v="743.86"/>
    <n v="529.63"/>
    <n v="417.99"/>
    <n v="814.76"/>
    <n v="34246.949999999997"/>
    <n v="36"/>
    <x v="2"/>
    <n v="114.04"/>
    <x v="0"/>
    <s v="Paid"/>
    <s v="High"/>
    <s v="A. Tan"/>
    <s v="Asia"/>
    <x v="7"/>
  </r>
  <r>
    <x v="102"/>
    <s v="BK50103"/>
    <d v="2025-06-28T00:00:00"/>
    <d v="2025-07-01T00:00:00"/>
    <d v="2025-07-23T00:00:00"/>
    <x v="11"/>
    <s v="Automotive"/>
    <s v="Japan"/>
    <s v="Colombo"/>
    <s v="Singapore"/>
    <x v="4"/>
    <x v="6"/>
    <s v="Reefer"/>
    <n v="4"/>
    <s v="Textiles"/>
    <n v="136104.17000000001"/>
    <n v="39083.82"/>
    <n v="9060.27"/>
    <n v="1536.3"/>
    <n v="1361.04"/>
    <n v="204.32"/>
    <n v="1173.82"/>
    <n v="83684.600000000006"/>
    <n v="4"/>
    <x v="2"/>
    <n v="325.7"/>
    <x v="0"/>
    <s v="Pending"/>
    <s v="Critical"/>
    <s v="L. Chen"/>
    <s v="North America"/>
    <x v="0"/>
  </r>
  <r>
    <x v="103"/>
    <s v="BK50104"/>
    <d v="2025-11-25T00:00:00"/>
    <d v="2025-11-27T00:00:00"/>
    <d v="2025-12-20T00:00:00"/>
    <x v="9"/>
    <s v="Engineering"/>
    <s v="Germany"/>
    <s v="Colombo"/>
    <s v="Singapore"/>
    <x v="4"/>
    <x v="6"/>
    <s v="40FT"/>
    <n v="2"/>
    <s v="Electronics"/>
    <n v="27178.61"/>
    <n v="6374.89"/>
    <n v="2088.77"/>
    <n v="405.13"/>
    <n v="271.79000000000002"/>
    <n v="341.09"/>
    <n v="1559.25"/>
    <n v="16137.69"/>
    <n v="24"/>
    <x v="0"/>
    <n v="53.12"/>
    <x v="0"/>
    <s v="Paid"/>
    <s v="Standard"/>
    <s v="M. Ahmed"/>
    <s v="Middle East"/>
    <x v="8"/>
  </r>
  <r>
    <x v="104"/>
    <s v="BK50105"/>
    <d v="2025-09-22T00:00:00"/>
    <d v="2025-09-25T00:00:00"/>
    <d v="2025-10-16T00:00:00"/>
    <x v="1"/>
    <s v="FMCG"/>
    <s v="UK"/>
    <s v="Shanghai"/>
    <s v="Shanghai"/>
    <x v="1"/>
    <x v="4"/>
    <s v="Reefer"/>
    <n v="4"/>
    <s v="Auto Parts"/>
    <n v="151768.12"/>
    <n v="45134.27"/>
    <n v="6710.19"/>
    <n v="4109.7"/>
    <n v="1517.68"/>
    <n v="632.83000000000004"/>
    <n v="2028.74"/>
    <n v="91634.71"/>
    <n v="8"/>
    <x v="1"/>
    <n v="376.12"/>
    <x v="0"/>
    <s v="Pending"/>
    <s v="Critical"/>
    <s v="M. Ahmed"/>
    <s v="North America"/>
    <x v="3"/>
  </r>
  <r>
    <x v="105"/>
    <s v="BK50106"/>
    <d v="2025-10-15T00:00:00"/>
    <d v="2025-10-19T00:00:00"/>
    <d v="2025-11-07T00:00:00"/>
    <x v="9"/>
    <s v="Engineering"/>
    <s v="Germany"/>
    <s v="Shanghai"/>
    <s v="Rotterdam"/>
    <x v="3"/>
    <x v="6"/>
    <s v="High Cube"/>
    <n v="2"/>
    <s v="Machinery"/>
    <n v="80890.720000000001"/>
    <n v="13001.03"/>
    <n v="6095.58"/>
    <n v="1965.85"/>
    <n v="808.91"/>
    <n v="428.61"/>
    <n v="1685.39"/>
    <n v="56905.35"/>
    <n v="12"/>
    <x v="2"/>
    <n v="108.34"/>
    <x v="0"/>
    <s v="Paid"/>
    <s v="Critical"/>
    <s v="R. Mehta"/>
    <s v="Middle East"/>
    <x v="7"/>
  </r>
  <r>
    <x v="106"/>
    <s v="BK50107"/>
    <d v="2025-10-06T00:00:00"/>
    <d v="2025-10-09T00:00:00"/>
    <d v="2025-10-29T00:00:00"/>
    <x v="6"/>
    <s v="Pharma"/>
    <s v="USA"/>
    <s v="Singapore"/>
    <s v="Rotterdam"/>
    <x v="3"/>
    <x v="4"/>
    <s v="High Cube"/>
    <n v="4"/>
    <s v="Textiles"/>
    <n v="163216.49"/>
    <n v="30689.14"/>
    <n v="11660.53"/>
    <n v="3227.77"/>
    <n v="1632.16"/>
    <n v="166.41"/>
    <n v="979.14"/>
    <n v="114861.34"/>
    <n v="4"/>
    <x v="1"/>
    <n v="255.74"/>
    <x v="0"/>
    <s v="Pending"/>
    <s v="Standard"/>
    <s v="J. Smith"/>
    <s v="Europe"/>
    <x v="7"/>
  </r>
  <r>
    <x v="107"/>
    <s v="BK50108"/>
    <d v="2025-12-26T00:00:00"/>
    <d v="2025-12-27T00:00:00"/>
    <d v="2026-01-19T00:00:00"/>
    <x v="0"/>
    <s v="Retail"/>
    <s v="India"/>
    <s v="Hamburg"/>
    <s v="Singapore"/>
    <x v="1"/>
    <x v="2"/>
    <s v="Reefer"/>
    <n v="2"/>
    <s v="Machinery"/>
    <n v="89731.57"/>
    <n v="20946.25"/>
    <n v="4334.78"/>
    <n v="1357.46"/>
    <n v="897.32"/>
    <n v="645.1"/>
    <n v="1161.3"/>
    <n v="60389.36"/>
    <n v="0"/>
    <x v="3"/>
    <n v="174.55"/>
    <x v="1"/>
    <s v="Pending"/>
    <s v="Standard"/>
    <s v="R. Mehta"/>
    <s v="Asia"/>
    <x v="2"/>
  </r>
  <r>
    <x v="108"/>
    <s v="BK50109"/>
    <d v="2025-12-27T00:00:00"/>
    <d v="2025-12-30T00:00:00"/>
    <d v="2026-01-21T00:00:00"/>
    <x v="0"/>
    <s v="Retail"/>
    <s v="India"/>
    <s v="Jebel Ali"/>
    <s v="Nhava Sheva"/>
    <x v="2"/>
    <x v="3"/>
    <s v="High Cube"/>
    <n v="2"/>
    <s v="Furniture"/>
    <n v="89238.15"/>
    <n v="18807.98"/>
    <n v="6786.06"/>
    <n v="2607.63"/>
    <n v="892.38"/>
    <n v="349.19"/>
    <n v="2376.81"/>
    <n v="57418.1"/>
    <n v="4"/>
    <x v="4"/>
    <n v="156.72999999999999"/>
    <x v="0"/>
    <s v="Paid"/>
    <s v="Critical"/>
    <s v="L. Chen"/>
    <s v="Asia"/>
    <x v="2"/>
  </r>
  <r>
    <x v="109"/>
    <s v="BK50110"/>
    <d v="2025-01-09T00:00:00"/>
    <d v="2025-01-10T00:00:00"/>
    <d v="2025-02-03T00:00:00"/>
    <x v="3"/>
    <s v="Electronics"/>
    <s v="South Korea"/>
    <s v="Busan"/>
    <s v="Los Angeles"/>
    <x v="0"/>
    <x v="2"/>
    <s v="20FT"/>
    <n v="4"/>
    <s v="Textiles"/>
    <n v="133156.73000000001"/>
    <n v="21821.82"/>
    <n v="9515.2999999999993"/>
    <n v="1673.12"/>
    <n v="1331.57"/>
    <n v="222.6"/>
    <n v="2430.75"/>
    <n v="96161.57"/>
    <n v="0"/>
    <x v="3"/>
    <n v="181.85"/>
    <x v="1"/>
    <s v="Pending"/>
    <s v="Critical"/>
    <s v="R. Mehta"/>
    <s v="Europe"/>
    <x v="11"/>
  </r>
  <r>
    <x v="110"/>
    <s v="BK50111"/>
    <d v="2025-02-26T00:00:00"/>
    <d v="2025-02-27T00:00:00"/>
    <d v="2025-03-21T00:00:00"/>
    <x v="11"/>
    <s v="Automotive"/>
    <s v="Japan"/>
    <s v="Colombo"/>
    <s v="Singapore"/>
    <x v="4"/>
    <x v="5"/>
    <s v="High Cube"/>
    <n v="2"/>
    <s v="Chemicals"/>
    <n v="14617.15"/>
    <n v="3326.26"/>
    <n v="1040.2"/>
    <n v="160.78"/>
    <n v="146.16999999999999"/>
    <n v="872.36"/>
    <n v="2439.9299999999998"/>
    <n v="6631.45"/>
    <n v="0"/>
    <x v="3"/>
    <n v="27.72"/>
    <x v="1"/>
    <s v="Paid"/>
    <s v="Standard"/>
    <s v="R. Mehta"/>
    <s v="Europe"/>
    <x v="9"/>
  </r>
  <r>
    <x v="111"/>
    <s v="BK50112"/>
    <d v="2025-01-13T00:00:00"/>
    <d v="2025-01-14T00:00:00"/>
    <d v="2025-01-26T00:00:00"/>
    <x v="8"/>
    <s v="Retail"/>
    <s v="Sweden"/>
    <s v="Singapore"/>
    <s v="Rotterdam"/>
    <x v="3"/>
    <x v="3"/>
    <s v="20FT"/>
    <n v="4"/>
    <s v="Textiles"/>
    <n v="28074.82"/>
    <n v="6551.31"/>
    <n v="2137.7800000000002"/>
    <n v="408.72"/>
    <n v="280.75"/>
    <n v="607.08000000000004"/>
    <n v="2402.2199999999998"/>
    <n v="15686.96"/>
    <n v="8"/>
    <x v="2"/>
    <n v="54.59"/>
    <x v="0"/>
    <s v="Pending"/>
    <s v="Critical"/>
    <s v="L. Chen"/>
    <s v="Middle East"/>
    <x v="11"/>
  </r>
  <r>
    <x v="112"/>
    <s v="BK50113"/>
    <d v="2025-11-24T00:00:00"/>
    <d v="2025-11-27T00:00:00"/>
    <d v="2025-12-20T00:00:00"/>
    <x v="3"/>
    <s v="Electronics"/>
    <s v="South Korea"/>
    <s v="Colombo"/>
    <s v="Singapore"/>
    <x v="4"/>
    <x v="5"/>
    <s v="20FT"/>
    <n v="1"/>
    <s v="Textiles"/>
    <n v="7466.22"/>
    <n v="1909.84"/>
    <n v="369.25"/>
    <n v="144.55000000000001"/>
    <n v="74.66"/>
    <n v="383.37"/>
    <n v="796.33"/>
    <n v="3788.22"/>
    <n v="36"/>
    <x v="0"/>
    <n v="15.92"/>
    <x v="0"/>
    <s v="Paid"/>
    <s v="Critical"/>
    <s v="J. Smith"/>
    <s v="Middle East"/>
    <x v="8"/>
  </r>
  <r>
    <x v="113"/>
    <s v="BK50114"/>
    <d v="2025-10-09T00:00:00"/>
    <d v="2025-10-13T00:00:00"/>
    <d v="2025-10-24T00:00:00"/>
    <x v="1"/>
    <s v="FMCG"/>
    <s v="UK"/>
    <s v="Hamburg"/>
    <s v="Jebel Ali"/>
    <x v="1"/>
    <x v="6"/>
    <s v="High Cube"/>
    <n v="2"/>
    <s v="Chemicals"/>
    <n v="79082.62"/>
    <n v="19057.54"/>
    <n v="3578.21"/>
    <n v="1786.84"/>
    <n v="790.83"/>
    <n v="846.55"/>
    <n v="2156.98"/>
    <n v="50865.67"/>
    <n v="0"/>
    <x v="3"/>
    <n v="158.81"/>
    <x v="1"/>
    <s v="Pending"/>
    <s v="Standard"/>
    <s v="R. Mehta"/>
    <s v="Asia"/>
    <x v="7"/>
  </r>
  <r>
    <x v="114"/>
    <s v="BK50115"/>
    <d v="2025-11-08T00:00:00"/>
    <d v="2025-11-11T00:00:00"/>
    <d v="2025-12-04T00:00:00"/>
    <x v="11"/>
    <s v="Automotive"/>
    <s v="Japan"/>
    <s v="Jebel Ali"/>
    <s v="Nhava Sheva"/>
    <x v="2"/>
    <x v="2"/>
    <s v="High Cube"/>
    <n v="2"/>
    <s v="Textiles"/>
    <n v="84810.92"/>
    <n v="15637.59"/>
    <n v="4483.53"/>
    <n v="1107.58"/>
    <n v="848.11"/>
    <n v="609.47"/>
    <n v="1658.3"/>
    <n v="60466.34"/>
    <n v="0"/>
    <x v="3"/>
    <n v="130.31"/>
    <x v="1"/>
    <s v="Paid"/>
    <s v="High"/>
    <s v="L. Chen"/>
    <s v="North America"/>
    <x v="8"/>
  </r>
  <r>
    <x v="115"/>
    <s v="BK50116"/>
    <d v="2025-05-20T00:00:00"/>
    <d v="2025-05-24T00:00:00"/>
    <d v="2025-06-11T00:00:00"/>
    <x v="8"/>
    <s v="Retail"/>
    <s v="Sweden"/>
    <s v="Jebel Ali"/>
    <s v="Nhava Sheva"/>
    <x v="2"/>
    <x v="3"/>
    <s v="40FT"/>
    <n v="2"/>
    <s v="Electronics"/>
    <n v="67143.350000000006"/>
    <n v="16037.09"/>
    <n v="4735.67"/>
    <n v="921.94"/>
    <n v="671.43"/>
    <n v="138.58000000000001"/>
    <n v="2037.73"/>
    <n v="42600.91"/>
    <n v="0"/>
    <x v="3"/>
    <n v="133.63999999999999"/>
    <x v="1"/>
    <s v="Pending"/>
    <s v="High"/>
    <s v="M. Ahmed"/>
    <s v="Middle East"/>
    <x v="6"/>
  </r>
  <r>
    <x v="116"/>
    <s v="BK50117"/>
    <d v="2025-10-24T00:00:00"/>
    <d v="2025-10-27T00:00:00"/>
    <d v="2025-11-10T00:00:00"/>
    <x v="10"/>
    <s v="E-commerce"/>
    <s v="USA"/>
    <s v="Colombo"/>
    <s v="Singapore"/>
    <x v="4"/>
    <x v="0"/>
    <s v="20FT"/>
    <n v="2"/>
    <s v="Electronics"/>
    <n v="38977.660000000003"/>
    <n v="8196.0400000000009"/>
    <n v="2946.86"/>
    <n v="1043.1099999999999"/>
    <n v="389.78"/>
    <n v="120.82"/>
    <n v="1878.06"/>
    <n v="24402.99"/>
    <n v="24"/>
    <x v="1"/>
    <n v="68.3"/>
    <x v="0"/>
    <s v="Paid"/>
    <s v="High"/>
    <s v="J. Smith"/>
    <s v="Europe"/>
    <x v="7"/>
  </r>
  <r>
    <x v="117"/>
    <s v="BK50118"/>
    <d v="2025-09-13T00:00:00"/>
    <d v="2025-09-17T00:00:00"/>
    <d v="2025-10-01T00:00:00"/>
    <x v="2"/>
    <s v="Electronics"/>
    <s v="South Korea"/>
    <s v="Colombo"/>
    <s v="Rotterdam"/>
    <x v="1"/>
    <x v="3"/>
    <s v="High Cube"/>
    <n v="1"/>
    <s v="Textiles"/>
    <n v="13076.28"/>
    <n v="2389.67"/>
    <n v="566.41"/>
    <n v="193.18"/>
    <n v="130.76"/>
    <n v="203.39"/>
    <n v="1167.44"/>
    <n v="8425.43"/>
    <n v="24"/>
    <x v="2"/>
    <n v="19.91"/>
    <x v="0"/>
    <s v="Paid"/>
    <s v="Standard"/>
    <s v="R. Mehta"/>
    <s v="Middle East"/>
    <x v="3"/>
  </r>
  <r>
    <x v="118"/>
    <s v="BK50119"/>
    <d v="2025-01-04T00:00:00"/>
    <d v="2025-01-05T00:00:00"/>
    <d v="2025-01-27T00:00:00"/>
    <x v="0"/>
    <s v="Retail"/>
    <s v="India"/>
    <s v="Hamburg"/>
    <s v="Hamburg"/>
    <x v="1"/>
    <x v="1"/>
    <s v="Reefer"/>
    <n v="1"/>
    <s v="Food"/>
    <n v="37882.400000000001"/>
    <n v="10048.51"/>
    <n v="1683.86"/>
    <n v="795.22"/>
    <n v="378.82"/>
    <n v="831.34"/>
    <n v="1885.43"/>
    <n v="22259.22"/>
    <n v="8"/>
    <x v="1"/>
    <n v="83.74"/>
    <x v="0"/>
    <s v="Pending"/>
    <s v="Critical"/>
    <s v="M. Ahmed"/>
    <s v="North America"/>
    <x v="11"/>
  </r>
  <r>
    <x v="119"/>
    <s v="BK50120"/>
    <d v="2025-12-16T00:00:00"/>
    <d v="2025-12-18T00:00:00"/>
    <d v="2025-12-30T00:00:00"/>
    <x v="5"/>
    <s v="Food"/>
    <s v="Switzerland"/>
    <s v="Busan"/>
    <s v="Los Angeles"/>
    <x v="0"/>
    <x v="7"/>
    <s v="Reefer"/>
    <n v="1"/>
    <s v="Electronics"/>
    <n v="34567.57"/>
    <n v="6203.25"/>
    <n v="2687.94"/>
    <n v="559.14"/>
    <n v="345.68"/>
    <n v="521.57000000000005"/>
    <n v="1870.1"/>
    <n v="22379.89"/>
    <n v="48"/>
    <x v="5"/>
    <n v="51.69"/>
    <x v="0"/>
    <s v="Paid"/>
    <s v="Standard"/>
    <s v="L. Chen"/>
    <s v="North America"/>
    <x v="2"/>
  </r>
  <r>
    <x v="120"/>
    <s v="BK50121"/>
    <d v="2025-04-04T00:00:00"/>
    <d v="2025-04-06T00:00:00"/>
    <d v="2025-05-03T00:00:00"/>
    <x v="9"/>
    <s v="Engineering"/>
    <s v="Germany"/>
    <s v="Nhava Sheva"/>
    <s v="Colombo"/>
    <x v="1"/>
    <x v="1"/>
    <s v="Reefer"/>
    <n v="2"/>
    <s v="Chemicals"/>
    <n v="37352.870000000003"/>
    <n v="9448.31"/>
    <n v="2826.2"/>
    <n v="535.01"/>
    <n v="373.53"/>
    <n v="387.68"/>
    <n v="1894.78"/>
    <n v="21887.360000000001"/>
    <n v="24"/>
    <x v="4"/>
    <n v="78.739999999999995"/>
    <x v="0"/>
    <s v="Pending"/>
    <s v="High"/>
    <s v="R. Mehta"/>
    <s v="Middle East"/>
    <x v="10"/>
  </r>
  <r>
    <x v="121"/>
    <s v="BK50122"/>
    <d v="2025-11-27T00:00:00"/>
    <d v="2025-12-01T00:00:00"/>
    <d v="2025-12-25T00:00:00"/>
    <x v="3"/>
    <s v="Electronics"/>
    <s v="South Korea"/>
    <s v="Jebel Ali"/>
    <s v="Hamburg"/>
    <x v="1"/>
    <x v="0"/>
    <s v="Reefer"/>
    <n v="2"/>
    <s v="Electronics"/>
    <n v="13836.82"/>
    <n v="2856.25"/>
    <n v="988.3"/>
    <n v="354.91"/>
    <n v="138.37"/>
    <n v="687.34"/>
    <n v="1767.11"/>
    <n v="7044.54"/>
    <n v="8"/>
    <x v="5"/>
    <n v="23.8"/>
    <x v="0"/>
    <s v="Paid"/>
    <s v="High"/>
    <s v="M. Ahmed"/>
    <s v="Asia"/>
    <x v="8"/>
  </r>
  <r>
    <x v="122"/>
    <s v="BK50123"/>
    <d v="2025-10-27T00:00:00"/>
    <d v="2025-10-30T00:00:00"/>
    <d v="2025-11-18T00:00:00"/>
    <x v="3"/>
    <s v="Electronics"/>
    <s v="South Korea"/>
    <s v="Singapore"/>
    <s v="Rotterdam"/>
    <x v="3"/>
    <x v="7"/>
    <s v="40FT"/>
    <n v="2"/>
    <s v="Food"/>
    <n v="50781.83"/>
    <n v="14155.16"/>
    <n v="3907.21"/>
    <n v="1087.71"/>
    <n v="507.82"/>
    <n v="114.38"/>
    <n v="1528.18"/>
    <n v="29481.37"/>
    <n v="4"/>
    <x v="2"/>
    <n v="117.96"/>
    <x v="0"/>
    <s v="Paid"/>
    <s v="Standard"/>
    <s v="M. Ahmed"/>
    <s v="Middle East"/>
    <x v="7"/>
  </r>
  <r>
    <x v="123"/>
    <s v="BK50124"/>
    <d v="2025-04-10T00:00:00"/>
    <d v="2025-04-11T00:00:00"/>
    <d v="2025-04-28T00:00:00"/>
    <x v="6"/>
    <s v="Pharma"/>
    <s v="USA"/>
    <s v="Jebel Ali"/>
    <s v="Nhava Sheva"/>
    <x v="2"/>
    <x v="7"/>
    <s v="Reefer"/>
    <n v="1"/>
    <s v="Furniture"/>
    <n v="16090.92"/>
    <n v="3265.24"/>
    <n v="876.81"/>
    <n v="257.29000000000002"/>
    <n v="160.91"/>
    <n v="603.52"/>
    <n v="2327.16"/>
    <n v="8599.99"/>
    <n v="8"/>
    <x v="1"/>
    <n v="27.21"/>
    <x v="0"/>
    <s v="Pending"/>
    <s v="Standard"/>
    <s v="A. Tan"/>
    <s v="North America"/>
    <x v="10"/>
  </r>
  <r>
    <x v="124"/>
    <s v="BK50125"/>
    <d v="2025-07-08T00:00:00"/>
    <d v="2025-07-12T00:00:00"/>
    <d v="2025-07-31T00:00:00"/>
    <x v="8"/>
    <s v="Retail"/>
    <s v="Sweden"/>
    <s v="Rotterdam"/>
    <s v="Los Angeles"/>
    <x v="1"/>
    <x v="4"/>
    <s v="Reefer"/>
    <n v="1"/>
    <s v="Chemicals"/>
    <n v="44165.9"/>
    <n v="10425.61"/>
    <n v="2050.2600000000002"/>
    <n v="1082.78"/>
    <n v="441.66"/>
    <n v="216.88"/>
    <n v="880.26"/>
    <n v="29068.45"/>
    <n v="4"/>
    <x v="4"/>
    <n v="86.88"/>
    <x v="0"/>
    <s v="Paid"/>
    <s v="Critical"/>
    <s v="R. Mehta"/>
    <s v="Middle East"/>
    <x v="1"/>
  </r>
  <r>
    <x v="125"/>
    <s v="BK50126"/>
    <d v="2025-09-14T00:00:00"/>
    <d v="2025-09-18T00:00:00"/>
    <d v="2025-10-14T00:00:00"/>
    <x v="1"/>
    <s v="FMCG"/>
    <s v="UK"/>
    <s v="Colombo"/>
    <s v="Singapore"/>
    <x v="4"/>
    <x v="1"/>
    <s v="Reefer"/>
    <n v="4"/>
    <s v="Auto Parts"/>
    <n v="78091.63"/>
    <n v="20392.39"/>
    <n v="5231.45"/>
    <n v="1931.07"/>
    <n v="780.92"/>
    <n v="499.2"/>
    <n v="449.74"/>
    <n v="48806.86"/>
    <n v="36"/>
    <x v="0"/>
    <n v="169.94"/>
    <x v="0"/>
    <s v="Pending"/>
    <s v="High"/>
    <s v="R. Mehta"/>
    <s v="Europe"/>
    <x v="3"/>
  </r>
  <r>
    <x v="126"/>
    <s v="BK50127"/>
    <d v="2025-01-08T00:00:00"/>
    <d v="2025-01-12T00:00:00"/>
    <d v="2025-01-27T00:00:00"/>
    <x v="5"/>
    <s v="Food"/>
    <s v="Switzerland"/>
    <s v="Busan"/>
    <s v="Los Angeles"/>
    <x v="0"/>
    <x v="4"/>
    <s v="40FT"/>
    <n v="1"/>
    <s v="Auto Parts"/>
    <n v="7050.89"/>
    <n v="1884.62"/>
    <n v="442.65"/>
    <n v="84.65"/>
    <n v="70.510000000000005"/>
    <n v="800.77"/>
    <n v="1834.02"/>
    <n v="1933.67"/>
    <n v="8"/>
    <x v="4"/>
    <n v="15.71"/>
    <x v="0"/>
    <s v="Pending"/>
    <s v="Standard"/>
    <s v="R. Mehta"/>
    <s v="North America"/>
    <x v="11"/>
  </r>
  <r>
    <x v="127"/>
    <s v="BK50128"/>
    <d v="2025-02-10T00:00:00"/>
    <d v="2025-02-14T00:00:00"/>
    <d v="2025-03-07T00:00:00"/>
    <x v="3"/>
    <s v="Electronics"/>
    <s v="South Korea"/>
    <s v="Hamburg"/>
    <s v="Busan"/>
    <x v="1"/>
    <x v="3"/>
    <s v="20FT"/>
    <n v="2"/>
    <s v="Textiles"/>
    <n v="71259.31"/>
    <n v="16935.93"/>
    <n v="3956.43"/>
    <n v="1388.5"/>
    <n v="712.59"/>
    <n v="685.4"/>
    <n v="1057.3"/>
    <n v="46523.16"/>
    <n v="0"/>
    <x v="3"/>
    <n v="141.13"/>
    <x v="1"/>
    <s v="Paid"/>
    <s v="High"/>
    <s v="L. Chen"/>
    <s v="Europe"/>
    <x v="9"/>
  </r>
  <r>
    <x v="128"/>
    <s v="BK50129"/>
    <d v="2025-10-08T00:00:00"/>
    <d v="2025-10-09T00:00:00"/>
    <d v="2025-11-01T00:00:00"/>
    <x v="0"/>
    <s v="Retail"/>
    <s v="India"/>
    <s v="Hamburg"/>
    <s v="Rotterdam"/>
    <x v="1"/>
    <x v="2"/>
    <s v="40FT"/>
    <n v="2"/>
    <s v="Electronics"/>
    <n v="38995.360000000001"/>
    <n v="6906.91"/>
    <n v="1716.47"/>
    <n v="408.67"/>
    <n v="389.95"/>
    <n v="843.38"/>
    <n v="1569.47"/>
    <n v="27160.51"/>
    <n v="0"/>
    <x v="3"/>
    <n v="57.56"/>
    <x v="1"/>
    <s v="Paid"/>
    <s v="Critical"/>
    <s v="M. Ahmed"/>
    <s v="Europe"/>
    <x v="7"/>
  </r>
  <r>
    <x v="129"/>
    <s v="BK50130"/>
    <d v="2025-11-21T00:00:00"/>
    <d v="2025-11-24T00:00:00"/>
    <d v="2025-12-19T00:00:00"/>
    <x v="4"/>
    <s v="Manufacturing"/>
    <s v="Germany"/>
    <s v="Singapore"/>
    <s v="Rotterdam"/>
    <x v="3"/>
    <x v="3"/>
    <s v="20FT"/>
    <n v="1"/>
    <s v="Furniture"/>
    <n v="26836.43"/>
    <n v="6748.24"/>
    <n v="1935.05"/>
    <n v="402.13"/>
    <n v="268.36"/>
    <n v="741.08"/>
    <n v="2063.0300000000002"/>
    <n v="14678.54"/>
    <n v="0"/>
    <x v="3"/>
    <n v="56.24"/>
    <x v="1"/>
    <s v="Pending"/>
    <s v="High"/>
    <s v="L. Chen"/>
    <s v="Middle East"/>
    <x v="8"/>
  </r>
  <r>
    <x v="130"/>
    <s v="BK50131"/>
    <d v="2025-03-19T00:00:00"/>
    <d v="2025-03-21T00:00:00"/>
    <d v="2025-04-03T00:00:00"/>
    <x v="10"/>
    <s v="E-commerce"/>
    <s v="USA"/>
    <s v="Rotterdam"/>
    <s v="Busan"/>
    <x v="1"/>
    <x v="5"/>
    <s v="20FT"/>
    <n v="4"/>
    <s v="Furniture"/>
    <n v="43498.57"/>
    <n v="10654.71"/>
    <n v="2328.46"/>
    <n v="859.74"/>
    <n v="434.99"/>
    <n v="526.84"/>
    <n v="944.08"/>
    <n v="27749.75"/>
    <n v="8"/>
    <x v="1"/>
    <n v="88.79"/>
    <x v="0"/>
    <s v="Paid"/>
    <s v="Critical"/>
    <s v="A. Tan"/>
    <s v="Asia"/>
    <x v="5"/>
  </r>
  <r>
    <x v="131"/>
    <s v="BK50132"/>
    <d v="2025-01-09T00:00:00"/>
    <d v="2025-01-13T00:00:00"/>
    <d v="2025-02-08T00:00:00"/>
    <x v="4"/>
    <s v="Manufacturing"/>
    <s v="Germany"/>
    <s v="Singapore"/>
    <s v="Rotterdam"/>
    <x v="3"/>
    <x v="5"/>
    <s v="40FT"/>
    <n v="2"/>
    <s v="Furniture"/>
    <n v="89618.79"/>
    <n v="24629.07"/>
    <n v="5812.08"/>
    <n v="2013.51"/>
    <n v="896.19"/>
    <n v="296.08999999999997"/>
    <n v="2215.4"/>
    <n v="53756.45"/>
    <n v="8"/>
    <x v="2"/>
    <n v="205.24"/>
    <x v="0"/>
    <s v="Paid"/>
    <s v="Critical"/>
    <s v="L. Chen"/>
    <s v="Middle East"/>
    <x v="11"/>
  </r>
  <r>
    <x v="132"/>
    <s v="BK50133"/>
    <d v="2025-04-26T00:00:00"/>
    <d v="2025-04-29T00:00:00"/>
    <d v="2025-05-15T00:00:00"/>
    <x v="8"/>
    <s v="Retail"/>
    <s v="Sweden"/>
    <s v="Colombo"/>
    <s v="Singapore"/>
    <x v="4"/>
    <x v="3"/>
    <s v="40FT"/>
    <n v="2"/>
    <s v="Textiles"/>
    <n v="41548.730000000003"/>
    <n v="11902.47"/>
    <n v="2179.94"/>
    <n v="515.34"/>
    <n v="415.49"/>
    <n v="490.72"/>
    <n v="1945.52"/>
    <n v="24099.25"/>
    <n v="0"/>
    <x v="3"/>
    <n v="99.19"/>
    <x v="1"/>
    <s v="Paid"/>
    <s v="High"/>
    <s v="A. Tan"/>
    <s v="Asia"/>
    <x v="10"/>
  </r>
  <r>
    <x v="133"/>
    <s v="BK50134"/>
    <d v="2025-07-09T00:00:00"/>
    <d v="2025-07-11T00:00:00"/>
    <d v="2025-07-22T00:00:00"/>
    <x v="11"/>
    <s v="Automotive"/>
    <s v="Japan"/>
    <s v="Busan"/>
    <s v="Los Angeles"/>
    <x v="0"/>
    <x v="5"/>
    <s v="High Cube"/>
    <n v="1"/>
    <s v="Machinery"/>
    <n v="26660.39"/>
    <n v="4468.03"/>
    <n v="2124.17"/>
    <n v="323.52999999999997"/>
    <n v="266.60000000000002"/>
    <n v="811.82"/>
    <n v="380.21"/>
    <n v="18286.03"/>
    <n v="24"/>
    <x v="2"/>
    <n v="37.229999999999997"/>
    <x v="0"/>
    <s v="Paid"/>
    <s v="Standard"/>
    <s v="L. Chen"/>
    <s v="Europe"/>
    <x v="1"/>
  </r>
  <r>
    <x v="134"/>
    <s v="BK50135"/>
    <d v="2025-02-01T00:00:00"/>
    <d v="2025-02-02T00:00:00"/>
    <d v="2025-02-12T00:00:00"/>
    <x v="6"/>
    <s v="Pharma"/>
    <s v="USA"/>
    <s v="Colombo"/>
    <s v="Singapore"/>
    <x v="4"/>
    <x v="3"/>
    <s v="Reefer"/>
    <n v="4"/>
    <s v="Textiles"/>
    <n v="157560.15"/>
    <n v="45859.93"/>
    <n v="8887.3700000000008"/>
    <n v="3667.04"/>
    <n v="1575.6"/>
    <n v="307.69"/>
    <n v="626.34"/>
    <n v="96636.18"/>
    <n v="0"/>
    <x v="3"/>
    <n v="382.17"/>
    <x v="1"/>
    <s v="Paid"/>
    <s v="High"/>
    <s v="J. Smith"/>
    <s v="Middle East"/>
    <x v="9"/>
  </r>
  <r>
    <x v="135"/>
    <s v="BK50136"/>
    <d v="2025-04-15T00:00:00"/>
    <d v="2025-04-18T00:00:00"/>
    <d v="2025-05-11T00:00:00"/>
    <x v="3"/>
    <s v="Electronics"/>
    <s v="South Korea"/>
    <s v="Busan"/>
    <s v="Colombo"/>
    <x v="1"/>
    <x v="6"/>
    <s v="40FT"/>
    <n v="2"/>
    <s v="Food"/>
    <n v="71946.179999999993"/>
    <n v="17094.95"/>
    <n v="3285.58"/>
    <n v="1072.05"/>
    <n v="719.46"/>
    <n v="270.22000000000003"/>
    <n v="2248.4499999999998"/>
    <n v="47255.47"/>
    <n v="48"/>
    <x v="0"/>
    <n v="142.46"/>
    <x v="0"/>
    <s v="Paid"/>
    <s v="High"/>
    <s v="R. Mehta"/>
    <s v="Middle East"/>
    <x v="10"/>
  </r>
  <r>
    <x v="136"/>
    <s v="BK50137"/>
    <d v="2025-03-10T00:00:00"/>
    <d v="2025-03-12T00:00:00"/>
    <d v="2025-04-03T00:00:00"/>
    <x v="1"/>
    <s v="FMCG"/>
    <s v="UK"/>
    <s v="Singapore"/>
    <s v="Rotterdam"/>
    <x v="3"/>
    <x v="4"/>
    <s v="20FT"/>
    <n v="4"/>
    <s v="Furniture"/>
    <n v="105671.76"/>
    <n v="21498.9"/>
    <n v="8301.26"/>
    <n v="3091.31"/>
    <n v="1056.72"/>
    <n v="123.56"/>
    <n v="2183.75"/>
    <n v="69416.259999999995"/>
    <n v="36"/>
    <x v="0"/>
    <n v="179.16"/>
    <x v="0"/>
    <s v="Pending"/>
    <s v="Standard"/>
    <s v="M. Ahmed"/>
    <s v="North America"/>
    <x v="5"/>
  </r>
  <r>
    <x v="137"/>
    <s v="BK50138"/>
    <d v="2025-03-08T00:00:00"/>
    <d v="2025-03-11T00:00:00"/>
    <d v="2025-03-22T00:00:00"/>
    <x v="2"/>
    <s v="Electronics"/>
    <s v="South Korea"/>
    <s v="Colombo"/>
    <s v="Singapore"/>
    <x v="4"/>
    <x v="7"/>
    <s v="40FT"/>
    <n v="2"/>
    <s v="Chemicals"/>
    <n v="36900.839999999997"/>
    <n v="6214.43"/>
    <n v="2399.7199999999998"/>
    <n v="544.89"/>
    <n v="369.01"/>
    <n v="279.70999999999998"/>
    <n v="607.55999999999995"/>
    <n v="26485.52"/>
    <n v="0"/>
    <x v="3"/>
    <n v="51.79"/>
    <x v="1"/>
    <s v="Paid"/>
    <s v="Standard"/>
    <s v="L. Chen"/>
    <s v="Europe"/>
    <x v="5"/>
  </r>
  <r>
    <x v="138"/>
    <s v="BK50139"/>
    <d v="2025-10-17T00:00:00"/>
    <d v="2025-10-21T00:00:00"/>
    <d v="2025-11-15T00:00:00"/>
    <x v="5"/>
    <s v="Food"/>
    <s v="Switzerland"/>
    <s v="Busan"/>
    <s v="Los Angeles"/>
    <x v="0"/>
    <x v="3"/>
    <s v="High Cube"/>
    <n v="4"/>
    <s v="Electronics"/>
    <n v="106294.72"/>
    <n v="26561.79"/>
    <n v="5927.72"/>
    <n v="2041.26"/>
    <n v="1062.95"/>
    <n v="626.04999999999995"/>
    <n v="1933.04"/>
    <n v="68141.91"/>
    <n v="48"/>
    <x v="0"/>
    <n v="221.35"/>
    <x v="0"/>
    <s v="Pending"/>
    <s v="High"/>
    <s v="R. Mehta"/>
    <s v="Middle East"/>
    <x v="7"/>
  </r>
  <r>
    <x v="139"/>
    <s v="BK50140"/>
    <d v="2025-10-05T00:00:00"/>
    <d v="2025-10-06T00:00:00"/>
    <d v="2025-11-02T00:00:00"/>
    <x v="6"/>
    <s v="Pharma"/>
    <s v="USA"/>
    <s v="Shanghai"/>
    <s v="Rotterdam"/>
    <x v="3"/>
    <x v="7"/>
    <s v="Reefer"/>
    <n v="2"/>
    <s v="Electronics"/>
    <n v="59848.5"/>
    <n v="13625.55"/>
    <n v="4771.07"/>
    <n v="1480.25"/>
    <n v="598.49"/>
    <n v="576.16"/>
    <n v="386.94"/>
    <n v="38410.04"/>
    <n v="0"/>
    <x v="3"/>
    <n v="113.55"/>
    <x v="1"/>
    <s v="Paid"/>
    <s v="Standard"/>
    <s v="R. Mehta"/>
    <s v="Asia"/>
    <x v="7"/>
  </r>
  <r>
    <x v="140"/>
    <s v="BK50141"/>
    <d v="2025-06-11T00:00:00"/>
    <d v="2025-06-13T00:00:00"/>
    <d v="2025-06-27T00:00:00"/>
    <x v="8"/>
    <s v="Retail"/>
    <s v="Sweden"/>
    <s v="Busan"/>
    <s v="Los Angeles"/>
    <x v="0"/>
    <x v="7"/>
    <s v="40FT"/>
    <n v="2"/>
    <s v="Food"/>
    <n v="38665.83"/>
    <n v="7153.05"/>
    <n v="2100.2199999999998"/>
    <n v="854.43"/>
    <n v="386.66"/>
    <n v="871.4"/>
    <n v="321.64999999999998"/>
    <n v="26978.42"/>
    <n v="8"/>
    <x v="4"/>
    <n v="59.61"/>
    <x v="0"/>
    <s v="Pending"/>
    <s v="High"/>
    <s v="A. Tan"/>
    <s v="Europe"/>
    <x v="0"/>
  </r>
  <r>
    <x v="141"/>
    <s v="BK50142"/>
    <d v="2025-07-11T00:00:00"/>
    <d v="2025-07-13T00:00:00"/>
    <d v="2025-07-27T00:00:00"/>
    <x v="7"/>
    <s v="Retail"/>
    <s v="Germany"/>
    <s v="Singapore"/>
    <s v="Rotterdam"/>
    <x v="3"/>
    <x v="1"/>
    <s v="High Cube"/>
    <n v="1"/>
    <s v="Textiles"/>
    <n v="6256.61"/>
    <n v="1409.5"/>
    <n v="317.45"/>
    <n v="111.46"/>
    <n v="62.57"/>
    <n v="782.05"/>
    <n v="2119.91"/>
    <n v="1453.67"/>
    <n v="0"/>
    <x v="3"/>
    <n v="11.75"/>
    <x v="1"/>
    <s v="Pending"/>
    <s v="High"/>
    <s v="J. Smith"/>
    <s v="Asia"/>
    <x v="1"/>
  </r>
  <r>
    <x v="142"/>
    <s v="BK50143"/>
    <d v="2025-09-06T00:00:00"/>
    <d v="2025-09-07T00:00:00"/>
    <d v="2025-10-02T00:00:00"/>
    <x v="4"/>
    <s v="Manufacturing"/>
    <s v="Germany"/>
    <s v="Jebel Ali"/>
    <s v="Nhava Sheva"/>
    <x v="2"/>
    <x v="5"/>
    <s v="High Cube"/>
    <n v="2"/>
    <s v="Machinery"/>
    <n v="53799.31"/>
    <n v="9056.68"/>
    <n v="2577.25"/>
    <n v="1375.1"/>
    <n v="537.99"/>
    <n v="591.19000000000005"/>
    <n v="2369.48"/>
    <n v="37291.620000000003"/>
    <n v="4"/>
    <x v="0"/>
    <n v="75.47"/>
    <x v="0"/>
    <s v="Pending"/>
    <s v="Critical"/>
    <s v="R. Mehta"/>
    <s v="Asia"/>
    <x v="3"/>
  </r>
  <r>
    <x v="143"/>
    <s v="BK50144"/>
    <d v="2025-03-19T00:00:00"/>
    <d v="2025-03-20T00:00:00"/>
    <d v="2025-04-06T00:00:00"/>
    <x v="0"/>
    <s v="Retail"/>
    <s v="India"/>
    <s v="Rotterdam"/>
    <s v="Busan"/>
    <x v="1"/>
    <x v="5"/>
    <s v="Reefer"/>
    <n v="4"/>
    <s v="Electronics"/>
    <n v="152811.39000000001"/>
    <n v="42315.839999999997"/>
    <n v="7104.37"/>
    <n v="3778.52"/>
    <n v="1528.11"/>
    <n v="458.53"/>
    <n v="1195.75"/>
    <n v="96430.27"/>
    <n v="24"/>
    <x v="4"/>
    <n v="352.63"/>
    <x v="0"/>
    <s v="Pending"/>
    <s v="High"/>
    <s v="J. Smith"/>
    <s v="Asia"/>
    <x v="5"/>
  </r>
  <r>
    <x v="144"/>
    <s v="BK50145"/>
    <d v="2025-01-13T00:00:00"/>
    <d v="2025-01-16T00:00:00"/>
    <d v="2025-02-08T00:00:00"/>
    <x v="0"/>
    <s v="Retail"/>
    <s v="India"/>
    <s v="Singapore"/>
    <s v="Rotterdam"/>
    <x v="3"/>
    <x v="7"/>
    <s v="Reefer"/>
    <n v="2"/>
    <s v="Machinery"/>
    <n v="35776.53"/>
    <n v="9170.17"/>
    <n v="1830.36"/>
    <n v="1031.5999999999999"/>
    <n v="357.77"/>
    <n v="355.05"/>
    <n v="1030.3399999999999"/>
    <n v="22001.24"/>
    <n v="24"/>
    <x v="0"/>
    <n v="76.42"/>
    <x v="0"/>
    <s v="Paid"/>
    <s v="Standard"/>
    <s v="L. Chen"/>
    <s v="North America"/>
    <x v="11"/>
  </r>
  <r>
    <x v="145"/>
    <s v="BK50146"/>
    <d v="2025-05-29T00:00:00"/>
    <d v="2025-06-02T00:00:00"/>
    <d v="2025-06-29T00:00:00"/>
    <x v="5"/>
    <s v="Food"/>
    <s v="Switzerland"/>
    <s v="New York"/>
    <s v="Jebel Ali"/>
    <x v="1"/>
    <x v="1"/>
    <s v="Reefer"/>
    <n v="2"/>
    <s v="Machinery"/>
    <n v="50317.04"/>
    <n v="13999.78"/>
    <n v="3232.51"/>
    <n v="538.94000000000005"/>
    <n v="503.17"/>
    <n v="797.88"/>
    <n v="1376.13"/>
    <n v="29868.63"/>
    <n v="4"/>
    <x v="1"/>
    <n v="116.66"/>
    <x v="0"/>
    <s v="Paid"/>
    <s v="Standard"/>
    <s v="L. Chen"/>
    <s v="Middle East"/>
    <x v="6"/>
  </r>
  <r>
    <x v="146"/>
    <s v="BK50147"/>
    <d v="2025-04-24T00:00:00"/>
    <d v="2025-04-26T00:00:00"/>
    <d v="2025-05-11T00:00:00"/>
    <x v="3"/>
    <s v="Electronics"/>
    <s v="South Korea"/>
    <s v="Jebel Ali"/>
    <s v="Nhava Sheva"/>
    <x v="2"/>
    <x v="1"/>
    <s v="High Cube"/>
    <n v="1"/>
    <s v="Textiles"/>
    <n v="39002.51"/>
    <n v="6289.56"/>
    <n v="2529.91"/>
    <n v="800.91"/>
    <n v="390.03"/>
    <n v="732.33"/>
    <n v="2182.25"/>
    <n v="26077.52"/>
    <n v="24"/>
    <x v="4"/>
    <n v="52.41"/>
    <x v="0"/>
    <s v="Pending"/>
    <s v="High"/>
    <s v="A. Tan"/>
    <s v="Asia"/>
    <x v="10"/>
  </r>
  <r>
    <x v="147"/>
    <s v="BK50148"/>
    <d v="2025-06-11T00:00:00"/>
    <d v="2025-06-15T00:00:00"/>
    <d v="2025-06-30T00:00:00"/>
    <x v="7"/>
    <s v="Retail"/>
    <s v="Germany"/>
    <s v="Colombo"/>
    <s v="Singapore"/>
    <x v="4"/>
    <x v="5"/>
    <s v="20FT"/>
    <n v="2"/>
    <s v="Chemicals"/>
    <n v="75115.37"/>
    <n v="14907.3"/>
    <n v="5118.6000000000004"/>
    <n v="1845.79"/>
    <n v="751.15"/>
    <n v="715.85"/>
    <n v="611.09"/>
    <n v="51165.59"/>
    <n v="8"/>
    <x v="0"/>
    <n v="124.23"/>
    <x v="0"/>
    <s v="Paid"/>
    <s v="Standard"/>
    <s v="A. Tan"/>
    <s v="North America"/>
    <x v="0"/>
  </r>
  <r>
    <x v="148"/>
    <s v="BK50149"/>
    <d v="2025-08-10T00:00:00"/>
    <d v="2025-08-11T00:00:00"/>
    <d v="2025-09-08T00:00:00"/>
    <x v="2"/>
    <s v="Electronics"/>
    <s v="South Korea"/>
    <s v="Busan"/>
    <s v="Los Angeles"/>
    <x v="0"/>
    <x v="3"/>
    <s v="High Cube"/>
    <n v="2"/>
    <s v="Electronics"/>
    <n v="20650.38"/>
    <n v="4110.3"/>
    <n v="1139.3800000000001"/>
    <n v="577.03"/>
    <n v="206.5"/>
    <n v="321.54000000000002"/>
    <n v="1600.13"/>
    <n v="12695.5"/>
    <n v="4"/>
    <x v="1"/>
    <n v="34.25"/>
    <x v="0"/>
    <s v="Paid"/>
    <s v="High"/>
    <s v="R. Mehta"/>
    <s v="Middle East"/>
    <x v="4"/>
  </r>
  <r>
    <x v="149"/>
    <s v="BK50150"/>
    <d v="2025-05-21T00:00:00"/>
    <d v="2025-05-22T00:00:00"/>
    <d v="2025-06-19T00:00:00"/>
    <x v="9"/>
    <s v="Engineering"/>
    <s v="Germany"/>
    <s v="Jebel Ali"/>
    <s v="Nhava Sheva"/>
    <x v="2"/>
    <x v="1"/>
    <s v="40FT"/>
    <n v="1"/>
    <s v="Chemicals"/>
    <n v="42266.48"/>
    <n v="8666.4599999999991"/>
    <n v="2678.31"/>
    <n v="535.89"/>
    <n v="422.66"/>
    <n v="383.51"/>
    <n v="2099.62"/>
    <n v="27480.03"/>
    <n v="4"/>
    <x v="4"/>
    <n v="72.22"/>
    <x v="0"/>
    <s v="Pending"/>
    <s v="High"/>
    <s v="J. Smith"/>
    <s v="North America"/>
    <x v="6"/>
  </r>
  <r>
    <x v="150"/>
    <s v="BK50151"/>
    <d v="2025-10-18T00:00:00"/>
    <d v="2025-10-21T00:00:00"/>
    <d v="2025-11-03T00:00:00"/>
    <x v="4"/>
    <s v="Manufacturing"/>
    <s v="Germany"/>
    <s v="Shanghai"/>
    <s v="Rotterdam"/>
    <x v="3"/>
    <x v="1"/>
    <s v="40FT"/>
    <n v="1"/>
    <s v="Textiles"/>
    <n v="9830.91"/>
    <n v="2508.3000000000002"/>
    <n v="622.15"/>
    <n v="162.82"/>
    <n v="98.31"/>
    <n v="276.27999999999997"/>
    <n v="410.77"/>
    <n v="5752.28"/>
    <n v="0"/>
    <x v="3"/>
    <n v="20.9"/>
    <x v="1"/>
    <s v="Paid"/>
    <s v="Critical"/>
    <s v="J. Smith"/>
    <s v="Asia"/>
    <x v="7"/>
  </r>
  <r>
    <x v="151"/>
    <s v="BK50152"/>
    <d v="2025-09-25T00:00:00"/>
    <d v="2025-09-26T00:00:00"/>
    <d v="2025-10-19T00:00:00"/>
    <x v="2"/>
    <s v="Electronics"/>
    <s v="South Korea"/>
    <s v="Busan"/>
    <s v="Los Angeles"/>
    <x v="0"/>
    <x v="6"/>
    <s v="High Cube"/>
    <n v="4"/>
    <s v="Machinery"/>
    <n v="58892.89"/>
    <n v="12085.59"/>
    <n v="3432.6"/>
    <n v="906.05"/>
    <n v="588.92999999999995"/>
    <n v="434.07"/>
    <n v="1661.18"/>
    <n v="39784.47"/>
    <n v="24"/>
    <x v="0"/>
    <n v="100.71"/>
    <x v="0"/>
    <s v="Pending"/>
    <s v="High"/>
    <s v="L. Chen"/>
    <s v="Asia"/>
    <x v="3"/>
  </r>
  <r>
    <x v="152"/>
    <s v="BK50153"/>
    <d v="2025-10-17T00:00:00"/>
    <d v="2025-10-19T00:00:00"/>
    <d v="2025-11-11T00:00:00"/>
    <x v="6"/>
    <s v="Pharma"/>
    <s v="USA"/>
    <s v="Shanghai"/>
    <s v="Hamburg"/>
    <x v="1"/>
    <x v="1"/>
    <s v="40FT"/>
    <n v="1"/>
    <s v="Auto Parts"/>
    <n v="23121.05"/>
    <n v="4979.18"/>
    <n v="1761.12"/>
    <n v="651.42999999999995"/>
    <n v="231.21"/>
    <n v="256.01"/>
    <n v="2188.0500000000002"/>
    <n v="13054.05"/>
    <n v="36"/>
    <x v="2"/>
    <n v="41.49"/>
    <x v="0"/>
    <s v="Pending"/>
    <s v="Standard"/>
    <s v="J. Smith"/>
    <s v="North America"/>
    <x v="7"/>
  </r>
  <r>
    <x v="153"/>
    <s v="BK50154"/>
    <d v="2025-05-28T00:00:00"/>
    <d v="2025-05-29T00:00:00"/>
    <d v="2025-06-16T00:00:00"/>
    <x v="5"/>
    <s v="Food"/>
    <s v="Switzerland"/>
    <s v="Singapore"/>
    <s v="Rotterdam"/>
    <x v="3"/>
    <x v="6"/>
    <s v="High Cube"/>
    <n v="1"/>
    <s v="Machinery"/>
    <n v="41269.730000000003"/>
    <n v="8256.1"/>
    <n v="1731.39"/>
    <n v="1139.17"/>
    <n v="412.7"/>
    <n v="409.73"/>
    <n v="525.71"/>
    <n v="28794.93"/>
    <n v="8"/>
    <x v="5"/>
    <n v="68.8"/>
    <x v="0"/>
    <s v="Paid"/>
    <s v="High"/>
    <s v="M. Ahmed"/>
    <s v="Middle East"/>
    <x v="6"/>
  </r>
  <r>
    <x v="154"/>
    <s v="BK50155"/>
    <d v="2025-03-19T00:00:00"/>
    <d v="2025-03-23T00:00:00"/>
    <d v="2025-04-03T00:00:00"/>
    <x v="7"/>
    <s v="Retail"/>
    <s v="Germany"/>
    <s v="Singapore"/>
    <s v="Rotterdam"/>
    <x v="3"/>
    <x v="4"/>
    <s v="20FT"/>
    <n v="2"/>
    <s v="Food"/>
    <n v="30223.15"/>
    <n v="8306.3700000000008"/>
    <n v="1592.75"/>
    <n v="450.98"/>
    <n v="302.23"/>
    <n v="702.09"/>
    <n v="2373.12"/>
    <n v="16495.61"/>
    <n v="36"/>
    <x v="2"/>
    <n v="69.22"/>
    <x v="0"/>
    <s v="Paid"/>
    <s v="High"/>
    <s v="A. Tan"/>
    <s v="North America"/>
    <x v="5"/>
  </r>
  <r>
    <x v="155"/>
    <s v="BK50156"/>
    <d v="2025-11-30T00:00:00"/>
    <d v="2025-12-02T00:00:00"/>
    <d v="2025-12-26T00:00:00"/>
    <x v="6"/>
    <s v="Pharma"/>
    <s v="USA"/>
    <s v="Colombo"/>
    <s v="Singapore"/>
    <x v="4"/>
    <x v="3"/>
    <s v="High Cube"/>
    <n v="2"/>
    <s v="Electronics"/>
    <n v="48197.08"/>
    <n v="11803.4"/>
    <n v="3446.04"/>
    <n v="1340.48"/>
    <n v="481.97"/>
    <n v="596.23"/>
    <n v="1336.89"/>
    <n v="29192.07"/>
    <n v="0"/>
    <x v="3"/>
    <n v="98.36"/>
    <x v="1"/>
    <s v="Paid"/>
    <s v="High"/>
    <s v="M. Ahmed"/>
    <s v="Asia"/>
    <x v="8"/>
  </r>
  <r>
    <x v="156"/>
    <s v="BK50157"/>
    <d v="2025-10-05T00:00:00"/>
    <d v="2025-10-09T00:00:00"/>
    <d v="2025-11-01T00:00:00"/>
    <x v="3"/>
    <s v="Electronics"/>
    <s v="South Korea"/>
    <s v="Jebel Ali"/>
    <s v="Nhava Sheva"/>
    <x v="2"/>
    <x v="1"/>
    <s v="Reefer"/>
    <n v="1"/>
    <s v="Machinery"/>
    <n v="7897.79"/>
    <n v="1628.69"/>
    <n v="556.42999999999995"/>
    <n v="224.65"/>
    <n v="78.98"/>
    <n v="444.72"/>
    <n v="2388.11"/>
    <n v="2576.21"/>
    <n v="8"/>
    <x v="5"/>
    <n v="13.57"/>
    <x v="0"/>
    <s v="Paid"/>
    <s v="High"/>
    <s v="L. Chen"/>
    <s v="Asia"/>
    <x v="7"/>
  </r>
  <r>
    <x v="157"/>
    <s v="BK50158"/>
    <d v="2025-08-11T00:00:00"/>
    <d v="2025-08-13T00:00:00"/>
    <d v="2025-09-03T00:00:00"/>
    <x v="1"/>
    <s v="FMCG"/>
    <s v="UK"/>
    <s v="Busan"/>
    <s v="Los Angeles"/>
    <x v="0"/>
    <x v="0"/>
    <s v="Reefer"/>
    <n v="1"/>
    <s v="Auto Parts"/>
    <n v="7773.66"/>
    <n v="1675.3"/>
    <n v="372.73"/>
    <n v="169.81"/>
    <n v="77.739999999999995"/>
    <n v="464.56"/>
    <n v="2155.69"/>
    <n v="2857.83"/>
    <n v="36"/>
    <x v="0"/>
    <n v="13.96"/>
    <x v="0"/>
    <s v="Paid"/>
    <s v="Standard"/>
    <s v="L. Chen"/>
    <s v="Asia"/>
    <x v="4"/>
  </r>
  <r>
    <x v="158"/>
    <s v="BK50159"/>
    <d v="2025-08-25T00:00:00"/>
    <d v="2025-08-28T00:00:00"/>
    <d v="2025-09-14T00:00:00"/>
    <x v="9"/>
    <s v="Engineering"/>
    <s v="Germany"/>
    <s v="Colombo"/>
    <s v="Singapore"/>
    <x v="4"/>
    <x v="5"/>
    <s v="Reefer"/>
    <n v="2"/>
    <s v="Furniture"/>
    <n v="49954.9"/>
    <n v="9184.83"/>
    <n v="3587.43"/>
    <n v="1284.68"/>
    <n v="499.55"/>
    <n v="439.63"/>
    <n v="995.91"/>
    <n v="33962.870000000003"/>
    <n v="36"/>
    <x v="1"/>
    <n v="76.540000000000006"/>
    <x v="0"/>
    <s v="Paid"/>
    <s v="Standard"/>
    <s v="A. Tan"/>
    <s v="Middle East"/>
    <x v="4"/>
  </r>
  <r>
    <x v="159"/>
    <s v="BK50160"/>
    <d v="2025-11-26T00:00:00"/>
    <d v="2025-11-28T00:00:00"/>
    <d v="2025-12-15T00:00:00"/>
    <x v="10"/>
    <s v="E-commerce"/>
    <s v="USA"/>
    <s v="Singapore"/>
    <s v="Rotterdam"/>
    <x v="3"/>
    <x v="4"/>
    <s v="40FT"/>
    <n v="2"/>
    <s v="Chemicals"/>
    <n v="37158.22"/>
    <n v="10525.31"/>
    <n v="2371.08"/>
    <n v="468.36"/>
    <n v="371.58"/>
    <n v="156.77000000000001"/>
    <n v="1358.48"/>
    <n v="21906.639999999999"/>
    <n v="0"/>
    <x v="3"/>
    <n v="87.71"/>
    <x v="1"/>
    <s v="Pending"/>
    <s v="Standard"/>
    <s v="R. Mehta"/>
    <s v="North America"/>
    <x v="8"/>
  </r>
  <r>
    <x v="160"/>
    <s v="BK50161"/>
    <d v="2025-10-27T00:00:00"/>
    <d v="2025-10-31T00:00:00"/>
    <d v="2025-11-28T00:00:00"/>
    <x v="5"/>
    <s v="Food"/>
    <s v="Switzerland"/>
    <s v="Singapore"/>
    <s v="New York"/>
    <x v="1"/>
    <x v="3"/>
    <s v="40FT"/>
    <n v="2"/>
    <s v="Textiles"/>
    <n v="79196.649999999994"/>
    <n v="17361.419999999998"/>
    <n v="5110.7299999999996"/>
    <n v="2137.2199999999998"/>
    <n v="791.97"/>
    <n v="458.95"/>
    <n v="1727.43"/>
    <n v="51608.93"/>
    <n v="0"/>
    <x v="3"/>
    <n v="144.68"/>
    <x v="1"/>
    <s v="Paid"/>
    <s v="High"/>
    <s v="A. Tan"/>
    <s v="Asia"/>
    <x v="7"/>
  </r>
  <r>
    <x v="161"/>
    <s v="BK50162"/>
    <d v="2025-04-11T00:00:00"/>
    <d v="2025-04-12T00:00:00"/>
    <d v="2025-05-07T00:00:00"/>
    <x v="2"/>
    <s v="Electronics"/>
    <s v="South Korea"/>
    <s v="Colombo"/>
    <s v="Singapore"/>
    <x v="4"/>
    <x v="2"/>
    <s v="High Cube"/>
    <n v="4"/>
    <s v="Food"/>
    <n v="141020.28"/>
    <n v="29204.22"/>
    <n v="5696.26"/>
    <n v="1545.02"/>
    <n v="1410.2"/>
    <n v="807.74"/>
    <n v="2086.2399999999998"/>
    <n v="100270.6"/>
    <n v="4"/>
    <x v="1"/>
    <n v="243.37"/>
    <x v="0"/>
    <s v="Pending"/>
    <s v="Standard"/>
    <s v="R. Mehta"/>
    <s v="North America"/>
    <x v="10"/>
  </r>
  <r>
    <x v="162"/>
    <s v="BK50163"/>
    <d v="2025-10-03T00:00:00"/>
    <d v="2025-10-05T00:00:00"/>
    <d v="2025-10-27T00:00:00"/>
    <x v="9"/>
    <s v="Engineering"/>
    <s v="Germany"/>
    <s v="New York"/>
    <s v="Rotterdam"/>
    <x v="1"/>
    <x v="5"/>
    <s v="20FT"/>
    <n v="2"/>
    <s v="Food"/>
    <n v="14162.46"/>
    <n v="4006.47"/>
    <n v="566.91"/>
    <n v="158.88999999999999"/>
    <n v="141.62"/>
    <n v="305.91000000000003"/>
    <n v="2270.73"/>
    <n v="6711.93"/>
    <n v="0"/>
    <x v="3"/>
    <n v="33.39"/>
    <x v="1"/>
    <s v="Pending"/>
    <s v="Critical"/>
    <s v="A. Tan"/>
    <s v="North America"/>
    <x v="7"/>
  </r>
  <r>
    <x v="163"/>
    <s v="BK50164"/>
    <d v="2025-12-22T00:00:00"/>
    <d v="2025-12-24T00:00:00"/>
    <d v="2026-01-06T00:00:00"/>
    <x v="1"/>
    <s v="FMCG"/>
    <s v="UK"/>
    <s v="Singapore"/>
    <s v="Rotterdam"/>
    <x v="3"/>
    <x v="7"/>
    <s v="High Cube"/>
    <n v="1"/>
    <s v="Auto Parts"/>
    <n v="12004.98"/>
    <n v="2243.48"/>
    <n v="694.31"/>
    <n v="229.26"/>
    <n v="120.05"/>
    <n v="770.71"/>
    <n v="1872.61"/>
    <n v="6074.56"/>
    <n v="4"/>
    <x v="1"/>
    <n v="18.7"/>
    <x v="0"/>
    <s v="Pending"/>
    <s v="Critical"/>
    <s v="R. Mehta"/>
    <s v="Europe"/>
    <x v="2"/>
  </r>
  <r>
    <x v="164"/>
    <s v="BK50165"/>
    <d v="2025-12-13T00:00:00"/>
    <d v="2025-12-15T00:00:00"/>
    <d v="2025-12-30T00:00:00"/>
    <x v="10"/>
    <s v="E-commerce"/>
    <s v="USA"/>
    <s v="Busan"/>
    <s v="Los Angeles"/>
    <x v="0"/>
    <x v="1"/>
    <s v="20FT"/>
    <n v="2"/>
    <s v="Electronics"/>
    <n v="36484.660000000003"/>
    <n v="9526.4"/>
    <n v="2895.7"/>
    <n v="798.61"/>
    <n v="364.85"/>
    <n v="471.75"/>
    <n v="2127.0100000000002"/>
    <n v="20300.34"/>
    <n v="24"/>
    <x v="4"/>
    <n v="79.39"/>
    <x v="0"/>
    <s v="Paid"/>
    <s v="High"/>
    <s v="R. Mehta"/>
    <s v="North America"/>
    <x v="2"/>
  </r>
  <r>
    <x v="165"/>
    <s v="BK50166"/>
    <d v="2025-12-17T00:00:00"/>
    <d v="2025-12-21T00:00:00"/>
    <d v="2026-01-11T00:00:00"/>
    <x v="5"/>
    <s v="Food"/>
    <s v="Switzerland"/>
    <s v="Singapore"/>
    <s v="Rotterdam"/>
    <x v="3"/>
    <x v="0"/>
    <s v="20FT"/>
    <n v="4"/>
    <s v="Machinery"/>
    <n v="58987.53"/>
    <n v="15129.58"/>
    <n v="4144.1400000000003"/>
    <n v="593.34"/>
    <n v="589.88"/>
    <n v="792.61"/>
    <n v="770.94"/>
    <n v="36967.040000000001"/>
    <n v="8"/>
    <x v="2"/>
    <n v="126.08"/>
    <x v="0"/>
    <s v="Pending"/>
    <s v="High"/>
    <s v="M. Ahmed"/>
    <s v="North America"/>
    <x v="2"/>
  </r>
  <r>
    <x v="166"/>
    <s v="BK50167"/>
    <d v="2025-04-11T00:00:00"/>
    <d v="2025-04-12T00:00:00"/>
    <d v="2025-05-08T00:00:00"/>
    <x v="7"/>
    <s v="Retail"/>
    <s v="Germany"/>
    <s v="New York"/>
    <s v="Nhava Sheva"/>
    <x v="1"/>
    <x v="2"/>
    <s v="High Cube"/>
    <n v="4"/>
    <s v="Machinery"/>
    <n v="43375.22"/>
    <n v="11917.7"/>
    <n v="1849.07"/>
    <n v="877.22"/>
    <n v="433.75"/>
    <n v="682.92"/>
    <n v="1904.88"/>
    <n v="25709.68"/>
    <n v="24"/>
    <x v="5"/>
    <n v="99.31"/>
    <x v="0"/>
    <s v="Paid"/>
    <s v="Critical"/>
    <s v="J. Smith"/>
    <s v="Asia"/>
    <x v="10"/>
  </r>
  <r>
    <x v="167"/>
    <s v="BK50168"/>
    <d v="2025-03-27T00:00:00"/>
    <d v="2025-03-28T00:00:00"/>
    <d v="2025-04-25T00:00:00"/>
    <x v="6"/>
    <s v="Pharma"/>
    <s v="USA"/>
    <s v="Singapore"/>
    <s v="Rotterdam"/>
    <x v="3"/>
    <x v="1"/>
    <s v="Reefer"/>
    <n v="4"/>
    <s v="Machinery"/>
    <n v="175692.18"/>
    <n v="30162.35"/>
    <n v="7941.15"/>
    <n v="4952.2700000000004"/>
    <n v="1756.92"/>
    <n v="845.11"/>
    <n v="1979.48"/>
    <n v="128054.9"/>
    <n v="48"/>
    <x v="1"/>
    <n v="251.35"/>
    <x v="0"/>
    <s v="Paid"/>
    <s v="Critical"/>
    <s v="R. Mehta"/>
    <s v="Middle East"/>
    <x v="5"/>
  </r>
  <r>
    <x v="168"/>
    <s v="BK50169"/>
    <d v="2025-03-23T00:00:00"/>
    <d v="2025-03-26T00:00:00"/>
    <d v="2025-04-23T00:00:00"/>
    <x v="3"/>
    <s v="Electronics"/>
    <s v="South Korea"/>
    <s v="Busan"/>
    <s v="Los Angeles"/>
    <x v="0"/>
    <x v="7"/>
    <s v="40FT"/>
    <n v="2"/>
    <s v="Machinery"/>
    <n v="80792.5"/>
    <n v="22084.81"/>
    <n v="4698.88"/>
    <n v="1827.76"/>
    <n v="807.93"/>
    <n v="176.17"/>
    <n v="707.14"/>
    <n v="50489.81"/>
    <n v="4"/>
    <x v="4"/>
    <n v="184.04"/>
    <x v="0"/>
    <s v="Paid"/>
    <s v="Standard"/>
    <s v="J. Smith"/>
    <s v="Middle East"/>
    <x v="5"/>
  </r>
  <r>
    <x v="169"/>
    <s v="BK50170"/>
    <d v="2025-04-27T00:00:00"/>
    <d v="2025-05-01T00:00:00"/>
    <d v="2025-05-20T00:00:00"/>
    <x v="0"/>
    <s v="Retail"/>
    <s v="India"/>
    <s v="Los Angeles"/>
    <s v="Los Angeles"/>
    <x v="1"/>
    <x v="5"/>
    <s v="20FT"/>
    <n v="2"/>
    <s v="Electronics"/>
    <n v="80092.44"/>
    <n v="21930.240000000002"/>
    <n v="3601.91"/>
    <n v="994.73"/>
    <n v="800.92"/>
    <n v="780.68"/>
    <n v="824.86"/>
    <n v="51159.1"/>
    <n v="48"/>
    <x v="4"/>
    <n v="182.75"/>
    <x v="0"/>
    <s v="Pending"/>
    <s v="High"/>
    <s v="J. Smith"/>
    <s v="Middle East"/>
    <x v="10"/>
  </r>
  <r>
    <x v="170"/>
    <s v="BK50171"/>
    <d v="2025-07-17T00:00:00"/>
    <d v="2025-07-20T00:00:00"/>
    <d v="2025-08-09T00:00:00"/>
    <x v="11"/>
    <s v="Automotive"/>
    <s v="Japan"/>
    <s v="Hamburg"/>
    <s v="Los Angeles"/>
    <x v="1"/>
    <x v="6"/>
    <s v="Reefer"/>
    <n v="2"/>
    <s v="Furniture"/>
    <n v="55577.26"/>
    <n v="11589.49"/>
    <n v="3038.95"/>
    <n v="1608.83"/>
    <n v="555.77"/>
    <n v="500.79"/>
    <n v="1380.21"/>
    <n v="36903.22"/>
    <n v="0"/>
    <x v="3"/>
    <n v="96.58"/>
    <x v="1"/>
    <s v="Pending"/>
    <s v="Critical"/>
    <s v="A. Tan"/>
    <s v="North America"/>
    <x v="1"/>
  </r>
  <r>
    <x v="171"/>
    <s v="BK50172"/>
    <d v="2025-09-15T00:00:00"/>
    <d v="2025-09-19T00:00:00"/>
    <d v="2025-10-17T00:00:00"/>
    <x v="9"/>
    <s v="Engineering"/>
    <s v="Germany"/>
    <s v="New York"/>
    <s v="Nhava Sheva"/>
    <x v="1"/>
    <x v="3"/>
    <s v="High Cube"/>
    <n v="4"/>
    <s v="Electronics"/>
    <n v="155863.24"/>
    <n v="44539.98"/>
    <n v="6472.89"/>
    <n v="2724.9"/>
    <n v="1558.63"/>
    <n v="686.29"/>
    <n v="840.78"/>
    <n v="99039.77"/>
    <n v="0"/>
    <x v="3"/>
    <n v="371.17"/>
    <x v="1"/>
    <s v="Paid"/>
    <s v="High"/>
    <s v="L. Chen"/>
    <s v="Asia"/>
    <x v="3"/>
  </r>
  <r>
    <x v="172"/>
    <s v="BK50173"/>
    <d v="2025-06-22T00:00:00"/>
    <d v="2025-06-23T00:00:00"/>
    <d v="2025-07-08T00:00:00"/>
    <x v="3"/>
    <s v="Electronics"/>
    <s v="South Korea"/>
    <s v="Busan"/>
    <s v="Los Angeles"/>
    <x v="0"/>
    <x v="7"/>
    <s v="20FT"/>
    <n v="4"/>
    <s v="Furniture"/>
    <n v="139093.65"/>
    <n v="35495.620000000003"/>
    <n v="9634.61"/>
    <n v="1623.34"/>
    <n v="1390.94"/>
    <n v="267.06"/>
    <n v="1153.8599999999999"/>
    <n v="89528.22"/>
    <n v="36"/>
    <x v="2"/>
    <n v="295.8"/>
    <x v="0"/>
    <s v="Paid"/>
    <s v="High"/>
    <s v="R. Mehta"/>
    <s v="Europe"/>
    <x v="0"/>
  </r>
  <r>
    <x v="173"/>
    <s v="BK50174"/>
    <d v="2025-09-17T00:00:00"/>
    <d v="2025-09-18T00:00:00"/>
    <d v="2025-10-13T00:00:00"/>
    <x v="8"/>
    <s v="Retail"/>
    <s v="Sweden"/>
    <s v="Jebel Ali"/>
    <s v="Nhava Sheva"/>
    <x v="2"/>
    <x v="7"/>
    <s v="40FT"/>
    <n v="2"/>
    <s v="Auto Parts"/>
    <n v="14632.44"/>
    <n v="3672.71"/>
    <n v="1071.19"/>
    <n v="330.45"/>
    <n v="146.32"/>
    <n v="442.06"/>
    <n v="1807.84"/>
    <n v="7161.87"/>
    <n v="24"/>
    <x v="0"/>
    <n v="30.61"/>
    <x v="0"/>
    <s v="Paid"/>
    <s v="Critical"/>
    <s v="L. Chen"/>
    <s v="Europe"/>
    <x v="3"/>
  </r>
  <r>
    <x v="174"/>
    <s v="BK50175"/>
    <d v="2025-05-31T00:00:00"/>
    <d v="2025-06-02T00:00:00"/>
    <d v="2025-06-29T00:00:00"/>
    <x v="5"/>
    <s v="Food"/>
    <s v="Switzerland"/>
    <s v="Shanghai"/>
    <s v="Rotterdam"/>
    <x v="3"/>
    <x v="4"/>
    <s v="20FT"/>
    <n v="2"/>
    <s v="Machinery"/>
    <n v="46279.09"/>
    <n v="10794.68"/>
    <n v="3061.13"/>
    <n v="970.93"/>
    <n v="462.79"/>
    <n v="353.18"/>
    <n v="1593.99"/>
    <n v="29042.39"/>
    <n v="12"/>
    <x v="2"/>
    <n v="89.96"/>
    <x v="0"/>
    <s v="Pending"/>
    <s v="Critical"/>
    <s v="A. Tan"/>
    <s v="Asia"/>
    <x v="6"/>
  </r>
  <r>
    <x v="175"/>
    <s v="BK50176"/>
    <d v="2025-10-21T00:00:00"/>
    <d v="2025-10-22T00:00:00"/>
    <d v="2025-11-09T00:00:00"/>
    <x v="10"/>
    <s v="E-commerce"/>
    <s v="USA"/>
    <s v="Nhava Sheva"/>
    <s v="Hamburg"/>
    <x v="1"/>
    <x v="1"/>
    <s v="20FT"/>
    <n v="4"/>
    <s v="Textiles"/>
    <n v="108148.89"/>
    <n v="18681.12"/>
    <n v="5926.82"/>
    <n v="1234.99"/>
    <n v="1081.49"/>
    <n v="645.23"/>
    <n v="1336.74"/>
    <n v="79242.5"/>
    <n v="0"/>
    <x v="3"/>
    <n v="155.68"/>
    <x v="1"/>
    <s v="Pending"/>
    <s v="Critical"/>
    <s v="L. Chen"/>
    <s v="Middle East"/>
    <x v="7"/>
  </r>
  <r>
    <x v="176"/>
    <s v="BK50177"/>
    <d v="2025-12-12T00:00:00"/>
    <d v="2025-12-13T00:00:00"/>
    <d v="2026-01-01T00:00:00"/>
    <x v="7"/>
    <s v="Retail"/>
    <s v="Germany"/>
    <s v="Colombo"/>
    <s v="Singapore"/>
    <x v="4"/>
    <x v="7"/>
    <s v="40FT"/>
    <n v="4"/>
    <s v="Machinery"/>
    <n v="31698.12"/>
    <n v="9038.77"/>
    <n v="1900"/>
    <n v="497.71"/>
    <n v="316.98"/>
    <n v="314.19"/>
    <n v="1176.33"/>
    <n v="18454.14"/>
    <n v="0"/>
    <x v="3"/>
    <n v="75.319999999999993"/>
    <x v="1"/>
    <s v="Paid"/>
    <s v="High"/>
    <s v="M. Ahmed"/>
    <s v="Middle East"/>
    <x v="2"/>
  </r>
  <r>
    <x v="177"/>
    <s v="BK50178"/>
    <d v="2025-01-02T00:00:00"/>
    <d v="2025-01-03T00:00:00"/>
    <d v="2025-01-28T00:00:00"/>
    <x v="10"/>
    <s v="E-commerce"/>
    <s v="USA"/>
    <s v="Busan"/>
    <s v="Los Angeles"/>
    <x v="0"/>
    <x v="6"/>
    <s v="20FT"/>
    <n v="2"/>
    <s v="Electronics"/>
    <n v="44410.76"/>
    <n v="9328.16"/>
    <n v="3502.02"/>
    <n v="721.15"/>
    <n v="444.11"/>
    <n v="850.24"/>
    <n v="2210.77"/>
    <n v="27354.31"/>
    <n v="0"/>
    <x v="3"/>
    <n v="77.73"/>
    <x v="1"/>
    <s v="Pending"/>
    <s v="Standard"/>
    <s v="A. Tan"/>
    <s v="Europe"/>
    <x v="11"/>
  </r>
  <r>
    <x v="178"/>
    <s v="BK50179"/>
    <d v="2025-03-30T00:00:00"/>
    <d v="2025-03-31T00:00:00"/>
    <d v="2025-04-20T00:00:00"/>
    <x v="10"/>
    <s v="E-commerce"/>
    <s v="USA"/>
    <s v="Singapore"/>
    <s v="Rotterdam"/>
    <x v="3"/>
    <x v="1"/>
    <s v="40FT"/>
    <n v="4"/>
    <s v="Auto Parts"/>
    <n v="37276.01"/>
    <n v="8550.9599999999991"/>
    <n v="2409.89"/>
    <n v="485.17"/>
    <n v="372.76"/>
    <n v="616.89"/>
    <n v="837.74"/>
    <n v="24002.6"/>
    <n v="0"/>
    <x v="3"/>
    <n v="71.260000000000005"/>
    <x v="1"/>
    <s v="Pending"/>
    <s v="High"/>
    <s v="M. Ahmed"/>
    <s v="North America"/>
    <x v="5"/>
  </r>
  <r>
    <x v="179"/>
    <s v="BK50180"/>
    <d v="2025-06-25T00:00:00"/>
    <d v="2025-06-28T00:00:00"/>
    <d v="2025-07-26T00:00:00"/>
    <x v="9"/>
    <s v="Engineering"/>
    <s v="Germany"/>
    <s v="Shanghai"/>
    <s v="Rotterdam"/>
    <x v="3"/>
    <x v="6"/>
    <s v="High Cube"/>
    <n v="2"/>
    <s v="Auto Parts"/>
    <n v="41520.68"/>
    <n v="10068.89"/>
    <n v="2968.28"/>
    <n v="1000.78"/>
    <n v="415.21"/>
    <n v="680"/>
    <n v="2438.0300000000002"/>
    <n v="23949.49"/>
    <n v="12"/>
    <x v="0"/>
    <n v="83.91"/>
    <x v="0"/>
    <s v="Paid"/>
    <s v="Standard"/>
    <s v="M. Ahmed"/>
    <s v="North America"/>
    <x v="0"/>
  </r>
  <r>
    <x v="180"/>
    <s v="BK50181"/>
    <d v="2025-10-23T00:00:00"/>
    <d v="2025-10-26T00:00:00"/>
    <d v="2025-11-22T00:00:00"/>
    <x v="2"/>
    <s v="Electronics"/>
    <s v="South Korea"/>
    <s v="Colombo"/>
    <s v="Hamburg"/>
    <x v="1"/>
    <x v="5"/>
    <s v="20FT"/>
    <n v="2"/>
    <s v="Electronics"/>
    <n v="43990.73"/>
    <n v="7125.26"/>
    <n v="3481.64"/>
    <n v="536.48"/>
    <n v="439.91"/>
    <n v="814.92"/>
    <n v="2053.5700000000002"/>
    <n v="29538.95"/>
    <n v="4"/>
    <x v="5"/>
    <n v="59.38"/>
    <x v="0"/>
    <s v="Paid"/>
    <s v="Standard"/>
    <s v="A. Tan"/>
    <s v="North America"/>
    <x v="7"/>
  </r>
  <r>
    <x v="181"/>
    <s v="BK50182"/>
    <d v="2025-03-26T00:00:00"/>
    <d v="2025-03-29T00:00:00"/>
    <d v="2025-04-23T00:00:00"/>
    <x v="5"/>
    <s v="Food"/>
    <s v="Switzerland"/>
    <s v="Colombo"/>
    <s v="Singapore"/>
    <x v="4"/>
    <x v="4"/>
    <s v="Reefer"/>
    <n v="1"/>
    <s v="Auto Parts"/>
    <n v="27584.58"/>
    <n v="6381.23"/>
    <n v="1256.3"/>
    <n v="482.65"/>
    <n v="275.85000000000002"/>
    <n v="886.35"/>
    <n v="490.12"/>
    <n v="17812.080000000002"/>
    <n v="48"/>
    <x v="4"/>
    <n v="53.18"/>
    <x v="0"/>
    <s v="Pending"/>
    <s v="High"/>
    <s v="R. Mehta"/>
    <s v="Asia"/>
    <x v="5"/>
  </r>
  <r>
    <x v="182"/>
    <s v="BK50183"/>
    <d v="2025-06-16T00:00:00"/>
    <d v="2025-06-17T00:00:00"/>
    <d v="2025-06-29T00:00:00"/>
    <x v="8"/>
    <s v="Retail"/>
    <s v="Sweden"/>
    <s v="Singapore"/>
    <s v="Rotterdam"/>
    <x v="3"/>
    <x v="5"/>
    <s v="20FT"/>
    <n v="2"/>
    <s v="Chemicals"/>
    <n v="82794.289999999994"/>
    <n v="13812.81"/>
    <n v="4501.57"/>
    <n v="1276.6400000000001"/>
    <n v="827.94"/>
    <n v="480.43"/>
    <n v="402.37"/>
    <n v="61492.53"/>
    <n v="4"/>
    <x v="5"/>
    <n v="115.11"/>
    <x v="0"/>
    <s v="Paid"/>
    <s v="Standard"/>
    <s v="A. Tan"/>
    <s v="Middle East"/>
    <x v="0"/>
  </r>
  <r>
    <x v="183"/>
    <s v="BK50184"/>
    <d v="2025-09-20T00:00:00"/>
    <d v="2025-09-23T00:00:00"/>
    <d v="2025-10-04T00:00:00"/>
    <x v="10"/>
    <s v="E-commerce"/>
    <s v="USA"/>
    <s v="Jebel Ali"/>
    <s v="Nhava Sheva"/>
    <x v="2"/>
    <x v="1"/>
    <s v="40FT"/>
    <n v="4"/>
    <s v="Textiles"/>
    <n v="131839.63"/>
    <n v="25817.81"/>
    <n v="5782"/>
    <n v="3332.91"/>
    <n v="1318.4"/>
    <n v="860.6"/>
    <n v="1291.27"/>
    <n v="93436.64"/>
    <n v="0"/>
    <x v="3"/>
    <n v="215.15"/>
    <x v="1"/>
    <s v="Pending"/>
    <s v="Critical"/>
    <s v="M. Ahmed"/>
    <s v="Europe"/>
    <x v="3"/>
  </r>
  <r>
    <x v="184"/>
    <s v="BK50185"/>
    <d v="2025-08-16T00:00:00"/>
    <d v="2025-08-17T00:00:00"/>
    <d v="2025-08-30T00:00:00"/>
    <x v="8"/>
    <s v="Retail"/>
    <s v="Sweden"/>
    <s v="Los Angeles"/>
    <s v="Colombo"/>
    <x v="1"/>
    <x v="0"/>
    <s v="20FT"/>
    <n v="2"/>
    <s v="Textiles"/>
    <n v="80356.5"/>
    <n v="20784.830000000002"/>
    <n v="5052.78"/>
    <n v="1612.4"/>
    <n v="803.57"/>
    <n v="485.33"/>
    <n v="1143.2"/>
    <n v="50474.39"/>
    <n v="0"/>
    <x v="3"/>
    <n v="173.21"/>
    <x v="1"/>
    <s v="Paid"/>
    <s v="Standard"/>
    <s v="A. Tan"/>
    <s v="Middle East"/>
    <x v="4"/>
  </r>
  <r>
    <x v="185"/>
    <s v="BK50186"/>
    <d v="2025-05-07T00:00:00"/>
    <d v="2025-05-09T00:00:00"/>
    <d v="2025-05-23T00:00:00"/>
    <x v="4"/>
    <s v="Manufacturing"/>
    <s v="Germany"/>
    <s v="Jebel Ali"/>
    <s v="Nhava Sheva"/>
    <x v="2"/>
    <x v="3"/>
    <s v="20FT"/>
    <n v="2"/>
    <s v="Chemicals"/>
    <n v="41815.440000000002"/>
    <n v="10021.969999999999"/>
    <n v="1762.69"/>
    <n v="595.32000000000005"/>
    <n v="418.15"/>
    <n v="197.88"/>
    <n v="1356.92"/>
    <n v="27462.51"/>
    <n v="24"/>
    <x v="2"/>
    <n v="83.52"/>
    <x v="0"/>
    <s v="Paid"/>
    <s v="High"/>
    <s v="L. Chen"/>
    <s v="North America"/>
    <x v="6"/>
  </r>
  <r>
    <x v="186"/>
    <s v="BK50187"/>
    <d v="2025-08-01T00:00:00"/>
    <d v="2025-08-02T00:00:00"/>
    <d v="2025-08-21T00:00:00"/>
    <x v="2"/>
    <s v="Electronics"/>
    <s v="South Korea"/>
    <s v="Colombo"/>
    <s v="Singapore"/>
    <x v="4"/>
    <x v="1"/>
    <s v="20FT"/>
    <n v="4"/>
    <s v="Textiles"/>
    <n v="52516.74"/>
    <n v="15724.07"/>
    <n v="3912.45"/>
    <n v="1557.36"/>
    <n v="525.16999999999996"/>
    <n v="819.83"/>
    <n v="1945.12"/>
    <n v="28032.74"/>
    <n v="0"/>
    <x v="3"/>
    <n v="131.03"/>
    <x v="1"/>
    <s v="Pending"/>
    <s v="Critical"/>
    <s v="J. Smith"/>
    <s v="Middle East"/>
    <x v="4"/>
  </r>
  <r>
    <x v="187"/>
    <s v="BK50188"/>
    <d v="2025-09-28T00:00:00"/>
    <d v="2025-09-30T00:00:00"/>
    <d v="2025-10-27T00:00:00"/>
    <x v="5"/>
    <s v="Food"/>
    <s v="Switzerland"/>
    <s v="Singapore"/>
    <s v="Nhava Sheva"/>
    <x v="1"/>
    <x v="1"/>
    <s v="20FT"/>
    <n v="1"/>
    <s v="Chemicals"/>
    <n v="10977.46"/>
    <n v="2050.42"/>
    <n v="675.03"/>
    <n v="250.97"/>
    <n v="109.77"/>
    <n v="295.14999999999998"/>
    <n v="2052.71"/>
    <n v="5543.41"/>
    <n v="0"/>
    <x v="3"/>
    <n v="17.09"/>
    <x v="1"/>
    <s v="Pending"/>
    <s v="High"/>
    <s v="A. Tan"/>
    <s v="North America"/>
    <x v="3"/>
  </r>
  <r>
    <x v="188"/>
    <s v="BK50189"/>
    <d v="2025-07-08T00:00:00"/>
    <d v="2025-07-09T00:00:00"/>
    <d v="2025-08-03T00:00:00"/>
    <x v="5"/>
    <s v="Food"/>
    <s v="Switzerland"/>
    <s v="Busan"/>
    <s v="Los Angeles"/>
    <x v="0"/>
    <x v="0"/>
    <s v="20FT"/>
    <n v="1"/>
    <s v="Electronics"/>
    <n v="26013.02"/>
    <n v="7347.59"/>
    <n v="1873.39"/>
    <n v="495.72"/>
    <n v="260.13"/>
    <n v="498.49"/>
    <n v="1225.1199999999999"/>
    <n v="14312.58"/>
    <n v="0"/>
    <x v="3"/>
    <n v="61.23"/>
    <x v="1"/>
    <s v="Pending"/>
    <s v="Critical"/>
    <s v="A. Tan"/>
    <s v="Europe"/>
    <x v="1"/>
  </r>
  <r>
    <x v="189"/>
    <s v="BK50190"/>
    <d v="2025-12-19T00:00:00"/>
    <d v="2025-12-20T00:00:00"/>
    <d v="2026-01-11T00:00:00"/>
    <x v="6"/>
    <s v="Pharma"/>
    <s v="USA"/>
    <s v="Shanghai"/>
    <s v="Rotterdam"/>
    <x v="3"/>
    <x v="4"/>
    <s v="Reefer"/>
    <n v="1"/>
    <s v="Textiles"/>
    <n v="22936.34"/>
    <n v="4032.74"/>
    <n v="936.07"/>
    <n v="440.44"/>
    <n v="229.36"/>
    <n v="648.55999999999995"/>
    <n v="1343"/>
    <n v="15306.17"/>
    <n v="48"/>
    <x v="4"/>
    <n v="33.61"/>
    <x v="0"/>
    <s v="Paid"/>
    <s v="High"/>
    <s v="A. Tan"/>
    <s v="North America"/>
    <x v="2"/>
  </r>
  <r>
    <x v="190"/>
    <s v="BK50191"/>
    <d v="2025-03-24T00:00:00"/>
    <d v="2025-03-26T00:00:00"/>
    <d v="2025-04-17T00:00:00"/>
    <x v="3"/>
    <s v="Electronics"/>
    <s v="South Korea"/>
    <s v="Jebel Ali"/>
    <s v="Nhava Sheva"/>
    <x v="2"/>
    <x v="5"/>
    <s v="20FT"/>
    <n v="1"/>
    <s v="Electronics"/>
    <n v="15023.82"/>
    <n v="4079.37"/>
    <n v="741.07"/>
    <n v="262.86"/>
    <n v="150.24"/>
    <n v="286.22000000000003"/>
    <n v="1097.21"/>
    <n v="8406.85"/>
    <n v="0"/>
    <x v="3"/>
    <n v="33.99"/>
    <x v="1"/>
    <s v="Paid"/>
    <s v="Standard"/>
    <s v="A. Tan"/>
    <s v="Middle East"/>
    <x v="5"/>
  </r>
  <r>
    <x v="191"/>
    <s v="BK50192"/>
    <d v="2025-10-30T00:00:00"/>
    <d v="2025-11-03T00:00:00"/>
    <d v="2025-11-21T00:00:00"/>
    <x v="0"/>
    <s v="Retail"/>
    <s v="India"/>
    <s v="Rotterdam"/>
    <s v="Los Angeles"/>
    <x v="1"/>
    <x v="3"/>
    <s v="40FT"/>
    <n v="2"/>
    <s v="Food"/>
    <n v="57409.54"/>
    <n v="14310.28"/>
    <n v="3915.86"/>
    <n v="1213.1600000000001"/>
    <n v="574.1"/>
    <n v="715.27"/>
    <n v="500.27"/>
    <n v="36180.6"/>
    <n v="0"/>
    <x v="3"/>
    <n v="119.25"/>
    <x v="1"/>
    <s v="Paid"/>
    <s v="Critical"/>
    <s v="R. Mehta"/>
    <s v="Asia"/>
    <x v="7"/>
  </r>
  <r>
    <x v="192"/>
    <s v="BK50193"/>
    <d v="2025-04-01T00:00:00"/>
    <d v="2025-04-03T00:00:00"/>
    <d v="2025-04-17T00:00:00"/>
    <x v="0"/>
    <s v="Retail"/>
    <s v="India"/>
    <s v="Jebel Ali"/>
    <s v="Nhava Sheva"/>
    <x v="2"/>
    <x v="1"/>
    <s v="Reefer"/>
    <n v="2"/>
    <s v="Chemicals"/>
    <n v="21668.61"/>
    <n v="4178.18"/>
    <n v="1414.25"/>
    <n v="256.95"/>
    <n v="216.69"/>
    <n v="210.25"/>
    <n v="2461.4299999999998"/>
    <n v="12930.86"/>
    <n v="24"/>
    <x v="2"/>
    <n v="34.82"/>
    <x v="0"/>
    <s v="Paid"/>
    <s v="High"/>
    <s v="R. Mehta"/>
    <s v="North America"/>
    <x v="10"/>
  </r>
  <r>
    <x v="193"/>
    <s v="BK50194"/>
    <d v="2025-08-25T00:00:00"/>
    <d v="2025-08-26T00:00:00"/>
    <d v="2025-09-14T00:00:00"/>
    <x v="5"/>
    <s v="Food"/>
    <s v="Switzerland"/>
    <s v="Singapore"/>
    <s v="Rotterdam"/>
    <x v="3"/>
    <x v="4"/>
    <s v="Reefer"/>
    <n v="4"/>
    <s v="Auto Parts"/>
    <n v="44761.39"/>
    <n v="10245.23"/>
    <n v="3056.85"/>
    <n v="673.93"/>
    <n v="447.61"/>
    <n v="722.02"/>
    <n v="1183.29"/>
    <n v="28432.46"/>
    <n v="0"/>
    <x v="3"/>
    <n v="85.38"/>
    <x v="1"/>
    <s v="Paid"/>
    <s v="Critical"/>
    <s v="R. Mehta"/>
    <s v="Europe"/>
    <x v="4"/>
  </r>
  <r>
    <x v="194"/>
    <s v="BK50195"/>
    <d v="2025-07-01T00:00:00"/>
    <d v="2025-07-03T00:00:00"/>
    <d v="2025-07-15T00:00:00"/>
    <x v="1"/>
    <s v="FMCG"/>
    <s v="UK"/>
    <s v="Busan"/>
    <s v="Los Angeles"/>
    <x v="0"/>
    <x v="0"/>
    <s v="20FT"/>
    <n v="1"/>
    <s v="Furniture"/>
    <n v="30951.47"/>
    <n v="6039.47"/>
    <n v="1470.15"/>
    <n v="607.76"/>
    <n v="309.51"/>
    <n v="877.65"/>
    <n v="765.37"/>
    <n v="20881.560000000001"/>
    <n v="4"/>
    <x v="2"/>
    <n v="50.33"/>
    <x v="0"/>
    <s v="Pending"/>
    <s v="Standard"/>
    <s v="L. Chen"/>
    <s v="Middle East"/>
    <x v="1"/>
  </r>
  <r>
    <x v="195"/>
    <s v="BK50196"/>
    <d v="2025-11-24T00:00:00"/>
    <d v="2025-11-26T00:00:00"/>
    <d v="2025-12-25T00:00:00"/>
    <x v="11"/>
    <s v="Automotive"/>
    <s v="Japan"/>
    <s v="Singapore"/>
    <s v="Rotterdam"/>
    <x v="3"/>
    <x v="0"/>
    <s v="Reefer"/>
    <n v="1"/>
    <s v="Machinery"/>
    <n v="40927.279999999999"/>
    <n v="9969.01"/>
    <n v="2544.38"/>
    <n v="579.88"/>
    <n v="409.27"/>
    <n v="418.64"/>
    <n v="2222.37"/>
    <n v="24783.73"/>
    <n v="24"/>
    <x v="0"/>
    <n v="83.08"/>
    <x v="0"/>
    <s v="Pending"/>
    <s v="Critical"/>
    <s v="A. Tan"/>
    <s v="Asia"/>
    <x v="8"/>
  </r>
  <r>
    <x v="196"/>
    <s v="BK50197"/>
    <d v="2025-11-29T00:00:00"/>
    <d v="2025-11-30T00:00:00"/>
    <d v="2025-12-28T00:00:00"/>
    <x v="2"/>
    <s v="Electronics"/>
    <s v="South Korea"/>
    <s v="Colombo"/>
    <s v="Singapore"/>
    <x v="4"/>
    <x v="0"/>
    <s v="Reefer"/>
    <n v="2"/>
    <s v="Textiles"/>
    <n v="76253.53"/>
    <n v="14096.05"/>
    <n v="3762.04"/>
    <n v="1742.51"/>
    <n v="762.54"/>
    <n v="181.27"/>
    <n v="1103.54"/>
    <n v="54605.58"/>
    <n v="24"/>
    <x v="0"/>
    <n v="117.47"/>
    <x v="0"/>
    <s v="Paid"/>
    <s v="Critical"/>
    <s v="A. Tan"/>
    <s v="North America"/>
    <x v="8"/>
  </r>
  <r>
    <x v="197"/>
    <s v="BK50198"/>
    <d v="2025-09-17T00:00:00"/>
    <d v="2025-09-20T00:00:00"/>
    <d v="2025-10-05T00:00:00"/>
    <x v="9"/>
    <s v="Engineering"/>
    <s v="Germany"/>
    <s v="Shanghai"/>
    <s v="Rotterdam"/>
    <x v="3"/>
    <x v="4"/>
    <s v="20FT"/>
    <n v="4"/>
    <s v="Furniture"/>
    <n v="168348.07"/>
    <n v="31828.2"/>
    <n v="7444.01"/>
    <n v="3222.31"/>
    <n v="1683.48"/>
    <n v="554.72"/>
    <n v="1199.94"/>
    <n v="122415.41"/>
    <n v="0"/>
    <x v="3"/>
    <n v="265.24"/>
    <x v="1"/>
    <s v="Pending"/>
    <s v="Standard"/>
    <s v="A. Tan"/>
    <s v="Asia"/>
    <x v="3"/>
  </r>
  <r>
    <x v="198"/>
    <s v="BK50199"/>
    <d v="2025-07-15T00:00:00"/>
    <d v="2025-07-17T00:00:00"/>
    <d v="2025-08-13T00:00:00"/>
    <x v="2"/>
    <s v="Electronics"/>
    <s v="South Korea"/>
    <s v="Shanghai"/>
    <s v="Rotterdam"/>
    <x v="3"/>
    <x v="5"/>
    <s v="High Cube"/>
    <n v="2"/>
    <s v="Auto Parts"/>
    <n v="77860.2"/>
    <n v="18498.91"/>
    <n v="3313.89"/>
    <n v="786.51"/>
    <n v="778.6"/>
    <n v="136.36000000000001"/>
    <n v="1544.35"/>
    <n v="52801.58"/>
    <n v="4"/>
    <x v="2"/>
    <n v="154.16"/>
    <x v="0"/>
    <s v="Paid"/>
    <s v="Critical"/>
    <s v="M. Ahmed"/>
    <s v="Middle East"/>
    <x v="1"/>
  </r>
  <r>
    <x v="199"/>
    <s v="BK50200"/>
    <d v="2025-08-03T00:00:00"/>
    <d v="2025-08-04T00:00:00"/>
    <d v="2025-08-19T00:00:00"/>
    <x v="3"/>
    <s v="Electronics"/>
    <s v="South Korea"/>
    <s v="Hamburg"/>
    <s v="Singapore"/>
    <x v="1"/>
    <x v="5"/>
    <s v="40FT"/>
    <n v="2"/>
    <s v="Textiles"/>
    <n v="14035.03"/>
    <n v="3598.17"/>
    <n v="1092.5"/>
    <n v="366.82"/>
    <n v="140.35"/>
    <n v="456.43"/>
    <n v="593.77"/>
    <n v="7786.99"/>
    <n v="0"/>
    <x v="3"/>
    <n v="29.98"/>
    <x v="1"/>
    <s v="Pending"/>
    <s v="Critical"/>
    <s v="R. Mehta"/>
    <s v="North America"/>
    <x v="4"/>
  </r>
  <r>
    <x v="200"/>
    <s v="BK50201"/>
    <d v="2025-01-03T00:00:00"/>
    <d v="2025-01-06T00:00:00"/>
    <d v="2025-01-22T00:00:00"/>
    <x v="5"/>
    <s v="Food"/>
    <s v="Switzerland"/>
    <s v="Shanghai"/>
    <s v="Shanghai"/>
    <x v="1"/>
    <x v="5"/>
    <s v="40FT"/>
    <n v="2"/>
    <s v="Furniture"/>
    <n v="33188.720000000001"/>
    <n v="9935.89"/>
    <n v="2417.54"/>
    <n v="560.34"/>
    <n v="331.89"/>
    <n v="869.72"/>
    <n v="2005.61"/>
    <n v="17067.73"/>
    <n v="0"/>
    <x v="3"/>
    <n v="82.8"/>
    <x v="1"/>
    <s v="Pending"/>
    <s v="High"/>
    <s v="J. Smith"/>
    <s v="Asia"/>
    <x v="11"/>
  </r>
  <r>
    <x v="201"/>
    <s v="BK50202"/>
    <d v="2025-04-17T00:00:00"/>
    <d v="2025-04-18T00:00:00"/>
    <d v="2025-05-14T00:00:00"/>
    <x v="10"/>
    <s v="E-commerce"/>
    <s v="USA"/>
    <s v="Shanghai"/>
    <s v="Nhava Sheva"/>
    <x v="1"/>
    <x v="7"/>
    <s v="20FT"/>
    <n v="1"/>
    <s v="Auto Parts"/>
    <n v="11823.08"/>
    <n v="2480.19"/>
    <n v="603.64"/>
    <n v="137.72"/>
    <n v="118.23"/>
    <n v="824.84"/>
    <n v="2097.13"/>
    <n v="5561.33"/>
    <n v="8"/>
    <x v="4"/>
    <n v="20.67"/>
    <x v="0"/>
    <s v="Pending"/>
    <s v="Standard"/>
    <s v="J. Smith"/>
    <s v="Europe"/>
    <x v="10"/>
  </r>
  <r>
    <x v="202"/>
    <s v="BK50203"/>
    <d v="2025-09-19T00:00:00"/>
    <d v="2025-09-21T00:00:00"/>
    <d v="2025-10-04T00:00:00"/>
    <x v="0"/>
    <s v="Retail"/>
    <s v="India"/>
    <s v="Shanghai"/>
    <s v="Rotterdam"/>
    <x v="3"/>
    <x v="3"/>
    <s v="40FT"/>
    <n v="1"/>
    <s v="Chemicals"/>
    <n v="36532.620000000003"/>
    <n v="8769.61"/>
    <n v="1813.13"/>
    <n v="883.58"/>
    <n v="365.33"/>
    <n v="183.53"/>
    <n v="1889.17"/>
    <n v="22628.27"/>
    <n v="24"/>
    <x v="5"/>
    <n v="73.08"/>
    <x v="0"/>
    <s v="Paid"/>
    <s v="Critical"/>
    <s v="R. Mehta"/>
    <s v="Middle East"/>
    <x v="3"/>
  </r>
  <r>
    <x v="203"/>
    <s v="BK50204"/>
    <d v="2025-06-16T00:00:00"/>
    <d v="2025-06-18T00:00:00"/>
    <d v="2025-06-30T00:00:00"/>
    <x v="8"/>
    <s v="Retail"/>
    <s v="Sweden"/>
    <s v="Jebel Ali"/>
    <s v="New York"/>
    <x v="1"/>
    <x v="4"/>
    <s v="High Cube"/>
    <n v="4"/>
    <s v="Electronics"/>
    <n v="136076.18"/>
    <n v="28343.57"/>
    <n v="10762.09"/>
    <n v="1516.11"/>
    <n v="1360.76"/>
    <n v="255.68"/>
    <n v="1915.3"/>
    <n v="91922.67"/>
    <n v="4"/>
    <x v="4"/>
    <n v="236.2"/>
    <x v="0"/>
    <s v="Pending"/>
    <s v="Standard"/>
    <s v="J. Smith"/>
    <s v="Asia"/>
    <x v="0"/>
  </r>
  <r>
    <x v="204"/>
    <s v="BK50205"/>
    <d v="2025-06-11T00:00:00"/>
    <d v="2025-06-15T00:00:00"/>
    <d v="2025-07-09T00:00:00"/>
    <x v="3"/>
    <s v="Electronics"/>
    <s v="South Korea"/>
    <s v="New York"/>
    <s v="Busan"/>
    <x v="1"/>
    <x v="0"/>
    <s v="Reefer"/>
    <n v="4"/>
    <s v="Electronics"/>
    <n v="27424.01"/>
    <n v="4819.6000000000004"/>
    <n v="1403.95"/>
    <n v="324.37"/>
    <n v="274.24"/>
    <n v="749.15"/>
    <n v="632.54999999999995"/>
    <n v="19220.150000000001"/>
    <n v="0"/>
    <x v="3"/>
    <n v="40.159999999999997"/>
    <x v="1"/>
    <s v="Paid"/>
    <s v="Critical"/>
    <s v="L. Chen"/>
    <s v="Middle East"/>
    <x v="0"/>
  </r>
  <r>
    <x v="205"/>
    <s v="BK50206"/>
    <d v="2025-08-11T00:00:00"/>
    <d v="2025-08-12T00:00:00"/>
    <d v="2025-08-31T00:00:00"/>
    <x v="8"/>
    <s v="Retail"/>
    <s v="Sweden"/>
    <s v="Singapore"/>
    <s v="Rotterdam"/>
    <x v="3"/>
    <x v="4"/>
    <s v="40FT"/>
    <n v="2"/>
    <s v="Electronics"/>
    <n v="85099.61"/>
    <n v="19006.560000000001"/>
    <n v="4448.49"/>
    <n v="2048.4699999999998"/>
    <n v="851"/>
    <n v="485.17"/>
    <n v="740.84"/>
    <n v="57519.08"/>
    <n v="0"/>
    <x v="3"/>
    <n v="158.38999999999999"/>
    <x v="1"/>
    <s v="Pending"/>
    <s v="Critical"/>
    <s v="L. Chen"/>
    <s v="Asia"/>
    <x v="4"/>
  </r>
  <r>
    <x v="206"/>
    <s v="BK50207"/>
    <d v="2025-03-15T00:00:00"/>
    <d v="2025-03-17T00:00:00"/>
    <d v="2025-03-27T00:00:00"/>
    <x v="10"/>
    <s v="E-commerce"/>
    <s v="USA"/>
    <s v="Singapore"/>
    <s v="Rotterdam"/>
    <x v="3"/>
    <x v="3"/>
    <s v="20FT"/>
    <n v="2"/>
    <s v="Food"/>
    <n v="83184.7"/>
    <n v="15965.74"/>
    <n v="6552.62"/>
    <n v="2193.11"/>
    <n v="831.85"/>
    <n v="642.91999999999996"/>
    <n v="1152.6500000000001"/>
    <n v="55845.81"/>
    <n v="4"/>
    <x v="4"/>
    <n v="133.05000000000001"/>
    <x v="0"/>
    <s v="Paid"/>
    <s v="Critical"/>
    <s v="A. Tan"/>
    <s v="Middle East"/>
    <x v="5"/>
  </r>
  <r>
    <x v="207"/>
    <s v="BK50208"/>
    <d v="2025-09-01T00:00:00"/>
    <d v="2025-09-02T00:00:00"/>
    <d v="2025-09-16T00:00:00"/>
    <x v="6"/>
    <s v="Pharma"/>
    <s v="USA"/>
    <s v="Busan"/>
    <s v="Shanghai"/>
    <x v="1"/>
    <x v="3"/>
    <s v="20FT"/>
    <n v="1"/>
    <s v="Food"/>
    <n v="29735.69"/>
    <n v="5549.59"/>
    <n v="1885.66"/>
    <n v="659.53"/>
    <n v="297.36"/>
    <n v="348.07"/>
    <n v="1644.34"/>
    <n v="19351.14"/>
    <n v="8"/>
    <x v="4"/>
    <n v="46.25"/>
    <x v="0"/>
    <s v="Paid"/>
    <s v="Critical"/>
    <s v="A. Tan"/>
    <s v="Middle East"/>
    <x v="3"/>
  </r>
  <r>
    <x v="208"/>
    <s v="BK50209"/>
    <d v="2025-02-28T00:00:00"/>
    <d v="2025-03-03T00:00:00"/>
    <d v="2025-03-17T00:00:00"/>
    <x v="5"/>
    <s v="Food"/>
    <s v="Switzerland"/>
    <s v="Jebel Ali"/>
    <s v="Nhava Sheva"/>
    <x v="2"/>
    <x v="2"/>
    <s v="40FT"/>
    <n v="2"/>
    <s v="Food"/>
    <n v="54848.67"/>
    <n v="12032.59"/>
    <n v="3357.19"/>
    <n v="921.82"/>
    <n v="548.49"/>
    <n v="491.61"/>
    <n v="2036.9"/>
    <n v="35460.07"/>
    <n v="36"/>
    <x v="0"/>
    <n v="100.27"/>
    <x v="0"/>
    <s v="Pending"/>
    <s v="Standard"/>
    <s v="A. Tan"/>
    <s v="Europe"/>
    <x v="9"/>
  </r>
  <r>
    <x v="209"/>
    <s v="BK50210"/>
    <d v="2025-11-12T00:00:00"/>
    <d v="2025-11-15T00:00:00"/>
    <d v="2025-12-04T00:00:00"/>
    <x v="11"/>
    <s v="Automotive"/>
    <s v="Japan"/>
    <s v="Jebel Ali"/>
    <s v="Nhava Sheva"/>
    <x v="2"/>
    <x v="1"/>
    <s v="Reefer"/>
    <n v="2"/>
    <s v="Textiles"/>
    <n v="43485.22"/>
    <n v="8368.15"/>
    <n v="3436.11"/>
    <n v="948.02"/>
    <n v="434.85"/>
    <n v="779.81"/>
    <n v="1520.68"/>
    <n v="27997.599999999999"/>
    <n v="0"/>
    <x v="3"/>
    <n v="69.73"/>
    <x v="1"/>
    <s v="Pending"/>
    <s v="Critical"/>
    <s v="L. Chen"/>
    <s v="North America"/>
    <x v="8"/>
  </r>
  <r>
    <x v="210"/>
    <s v="BK50211"/>
    <d v="2025-06-22T00:00:00"/>
    <d v="2025-06-24T00:00:00"/>
    <d v="2025-07-22T00:00:00"/>
    <x v="5"/>
    <s v="Food"/>
    <s v="Switzerland"/>
    <s v="Singapore"/>
    <s v="Rotterdam"/>
    <x v="3"/>
    <x v="0"/>
    <s v="Reefer"/>
    <n v="1"/>
    <s v="Furniture"/>
    <n v="33740.83"/>
    <n v="9264.23"/>
    <n v="1831.81"/>
    <n v="1010.73"/>
    <n v="337.41"/>
    <n v="157.6"/>
    <n v="1249.5"/>
    <n v="19889.55"/>
    <n v="12"/>
    <x v="2"/>
    <n v="77.2"/>
    <x v="0"/>
    <s v="Pending"/>
    <s v="Standard"/>
    <s v="M. Ahmed"/>
    <s v="Europe"/>
    <x v="0"/>
  </r>
  <r>
    <x v="211"/>
    <s v="BK50212"/>
    <d v="2025-01-31T00:00:00"/>
    <d v="2025-02-01T00:00:00"/>
    <d v="2025-02-13T00:00:00"/>
    <x v="3"/>
    <s v="Electronics"/>
    <s v="South Korea"/>
    <s v="Shanghai"/>
    <s v="Rotterdam"/>
    <x v="3"/>
    <x v="2"/>
    <s v="40FT"/>
    <n v="2"/>
    <s v="Machinery"/>
    <n v="71417.33"/>
    <n v="15842.12"/>
    <n v="4335.12"/>
    <n v="1763.56"/>
    <n v="714.17"/>
    <n v="808.02"/>
    <n v="893.5"/>
    <n v="47060.84"/>
    <n v="0"/>
    <x v="3"/>
    <n v="132.02000000000001"/>
    <x v="1"/>
    <s v="Pending"/>
    <s v="Critical"/>
    <s v="A. Tan"/>
    <s v="Middle East"/>
    <x v="11"/>
  </r>
  <r>
    <x v="212"/>
    <s v="BK50213"/>
    <d v="2025-08-02T00:00:00"/>
    <d v="2025-08-04T00:00:00"/>
    <d v="2025-08-20T00:00:00"/>
    <x v="11"/>
    <s v="Automotive"/>
    <s v="Japan"/>
    <s v="Colombo"/>
    <s v="Singapore"/>
    <x v="4"/>
    <x v="1"/>
    <s v="40FT"/>
    <n v="1"/>
    <s v="Furniture"/>
    <n v="20276.63"/>
    <n v="6048.06"/>
    <n v="1467.58"/>
    <n v="215.86"/>
    <n v="202.77"/>
    <n v="175.42"/>
    <n v="1726.6"/>
    <n v="10440.34"/>
    <n v="24"/>
    <x v="1"/>
    <n v="50.4"/>
    <x v="0"/>
    <s v="Paid"/>
    <s v="Standard"/>
    <s v="M. Ahmed"/>
    <s v="Europe"/>
    <x v="4"/>
  </r>
  <r>
    <x v="213"/>
    <s v="BK50214"/>
    <d v="2025-05-30T00:00:00"/>
    <d v="2025-06-01T00:00:00"/>
    <d v="2025-06-18T00:00:00"/>
    <x v="5"/>
    <s v="Food"/>
    <s v="Switzerland"/>
    <s v="Jebel Ali"/>
    <s v="Nhava Sheva"/>
    <x v="2"/>
    <x v="0"/>
    <s v="40FT"/>
    <n v="1"/>
    <s v="Furniture"/>
    <n v="30651.41"/>
    <n v="9008.34"/>
    <n v="1779.01"/>
    <n v="753.72"/>
    <n v="306.51"/>
    <n v="710.73"/>
    <n v="865.81"/>
    <n v="17227.29"/>
    <n v="0"/>
    <x v="3"/>
    <n v="75.069999999999993"/>
    <x v="1"/>
    <s v="Pending"/>
    <s v="High"/>
    <s v="A. Tan"/>
    <s v="North America"/>
    <x v="6"/>
  </r>
  <r>
    <x v="214"/>
    <s v="BK50215"/>
    <d v="2025-08-29T00:00:00"/>
    <d v="2025-08-30T00:00:00"/>
    <d v="2025-09-17T00:00:00"/>
    <x v="11"/>
    <s v="Automotive"/>
    <s v="Japan"/>
    <s v="Jebel Ali"/>
    <s v="Nhava Sheva"/>
    <x v="2"/>
    <x v="0"/>
    <s v="20FT"/>
    <n v="2"/>
    <s v="Electronics"/>
    <n v="29357.94"/>
    <n v="7923.52"/>
    <n v="2211.52"/>
    <n v="424.53"/>
    <n v="293.58"/>
    <n v="254.35"/>
    <n v="1776.43"/>
    <n v="16474.009999999998"/>
    <n v="0"/>
    <x v="3"/>
    <n v="66.03"/>
    <x v="1"/>
    <s v="Paid"/>
    <s v="Critical"/>
    <s v="A. Tan"/>
    <s v="North America"/>
    <x v="4"/>
  </r>
  <r>
    <x v="215"/>
    <s v="BK50216"/>
    <d v="2025-05-07T00:00:00"/>
    <d v="2025-05-08T00:00:00"/>
    <d v="2025-05-24T00:00:00"/>
    <x v="10"/>
    <s v="E-commerce"/>
    <s v="USA"/>
    <s v="Rotterdam"/>
    <s v="Busan"/>
    <x v="1"/>
    <x v="4"/>
    <s v="40FT"/>
    <n v="1"/>
    <s v="Machinery"/>
    <n v="12537.65"/>
    <n v="3491.34"/>
    <n v="811.01"/>
    <n v="183.59"/>
    <n v="125.38"/>
    <n v="112.29"/>
    <n v="2031.33"/>
    <n v="5782.71"/>
    <n v="24"/>
    <x v="5"/>
    <n v="29.09"/>
    <x v="0"/>
    <s v="Pending"/>
    <s v="High"/>
    <s v="A. Tan"/>
    <s v="North America"/>
    <x v="6"/>
  </r>
  <r>
    <x v="216"/>
    <s v="BK50217"/>
    <d v="2025-08-20T00:00:00"/>
    <d v="2025-08-24T00:00:00"/>
    <d v="2025-09-04T00:00:00"/>
    <x v="11"/>
    <s v="Automotive"/>
    <s v="Japan"/>
    <s v="Busan"/>
    <s v="Los Angeles"/>
    <x v="0"/>
    <x v="3"/>
    <s v="40FT"/>
    <n v="2"/>
    <s v="Chemicals"/>
    <n v="73451.37"/>
    <n v="20003.080000000002"/>
    <n v="5509.57"/>
    <n v="1926.29"/>
    <n v="734.51"/>
    <n v="409.82"/>
    <n v="1644.18"/>
    <n v="43223.92"/>
    <n v="0"/>
    <x v="3"/>
    <n v="166.69"/>
    <x v="1"/>
    <s v="Paid"/>
    <s v="Standard"/>
    <s v="J. Smith"/>
    <s v="Europe"/>
    <x v="4"/>
  </r>
  <r>
    <x v="217"/>
    <s v="BK50218"/>
    <d v="2025-12-19T00:00:00"/>
    <d v="2025-12-22T00:00:00"/>
    <d v="2026-01-16T00:00:00"/>
    <x v="0"/>
    <s v="Retail"/>
    <s v="India"/>
    <s v="Colombo"/>
    <s v="Rotterdam"/>
    <x v="1"/>
    <x v="5"/>
    <s v="High Cube"/>
    <n v="4"/>
    <s v="Electronics"/>
    <n v="37455.32"/>
    <n v="9627.7800000000007"/>
    <n v="1931.74"/>
    <n v="1070.19"/>
    <n v="374.55"/>
    <n v="559.87"/>
    <n v="1137.8599999999999"/>
    <n v="22753.33"/>
    <n v="0"/>
    <x v="3"/>
    <n v="80.23"/>
    <x v="1"/>
    <s v="Pending"/>
    <s v="High"/>
    <s v="M. Ahmed"/>
    <s v="North America"/>
    <x v="2"/>
  </r>
  <r>
    <x v="218"/>
    <s v="BK50219"/>
    <d v="2025-07-14T00:00:00"/>
    <d v="2025-07-16T00:00:00"/>
    <d v="2025-08-11T00:00:00"/>
    <x v="4"/>
    <s v="Manufacturing"/>
    <s v="Germany"/>
    <s v="Jebel Ali"/>
    <s v="Nhava Sheva"/>
    <x v="2"/>
    <x v="4"/>
    <s v="Reefer"/>
    <n v="1"/>
    <s v="Chemicals"/>
    <n v="32850.49"/>
    <n v="6358.6"/>
    <n v="1483.34"/>
    <n v="454.49"/>
    <n v="328.5"/>
    <n v="120.75"/>
    <n v="898.89"/>
    <n v="23205.919999999998"/>
    <n v="0"/>
    <x v="3"/>
    <n v="52.99"/>
    <x v="1"/>
    <s v="Pending"/>
    <s v="High"/>
    <s v="L. Chen"/>
    <s v="Europe"/>
    <x v="1"/>
  </r>
  <r>
    <x v="219"/>
    <s v="BK50220"/>
    <d v="2025-08-17T00:00:00"/>
    <d v="2025-08-19T00:00:00"/>
    <d v="2025-09-13T00:00:00"/>
    <x v="8"/>
    <s v="Retail"/>
    <s v="Sweden"/>
    <s v="Busan"/>
    <s v="Los Angeles"/>
    <x v="0"/>
    <x v="2"/>
    <s v="High Cube"/>
    <n v="2"/>
    <s v="Furniture"/>
    <n v="56533.05"/>
    <n v="12591.83"/>
    <n v="2372.04"/>
    <n v="979.47"/>
    <n v="565.33000000000004"/>
    <n v="500.33"/>
    <n v="856.03"/>
    <n v="38668.019999999997"/>
    <n v="24"/>
    <x v="5"/>
    <n v="104.93"/>
    <x v="0"/>
    <s v="Paid"/>
    <s v="High"/>
    <s v="J. Smith"/>
    <s v="Middle East"/>
    <x v="4"/>
  </r>
  <r>
    <x v="220"/>
    <s v="BK50221"/>
    <d v="2025-06-24T00:00:00"/>
    <d v="2025-06-26T00:00:00"/>
    <d v="2025-07-26T00:00:00"/>
    <x v="8"/>
    <s v="Retail"/>
    <s v="Sweden"/>
    <s v="Singapore"/>
    <s v="Rotterdam"/>
    <x v="3"/>
    <x v="2"/>
    <s v="40FT"/>
    <n v="4"/>
    <s v="Furniture"/>
    <n v="131599.01"/>
    <n v="35203.89"/>
    <n v="8391.2800000000007"/>
    <n v="2203.37"/>
    <n v="1315.99"/>
    <n v="165.66"/>
    <n v="2203.17"/>
    <n v="82115.649999999994"/>
    <n v="48"/>
    <x v="1"/>
    <n v="293.37"/>
    <x v="0"/>
    <s v="Pending"/>
    <s v="Critical"/>
    <s v="M. Ahmed"/>
    <s v="Middle East"/>
    <x v="0"/>
  </r>
  <r>
    <x v="221"/>
    <s v="BK50222"/>
    <d v="2025-07-01T00:00:00"/>
    <d v="2025-07-03T00:00:00"/>
    <d v="2025-07-20T00:00:00"/>
    <x v="9"/>
    <s v="Engineering"/>
    <s v="Germany"/>
    <s v="Jebel Ali"/>
    <s v="Nhava Sheva"/>
    <x v="2"/>
    <x v="2"/>
    <s v="High Cube"/>
    <n v="1"/>
    <s v="Food"/>
    <n v="40658.58"/>
    <n v="12046.23"/>
    <n v="2598.5100000000002"/>
    <n v="518.89"/>
    <n v="406.59"/>
    <n v="420.22"/>
    <n v="1024.55"/>
    <n v="23643.59"/>
    <n v="24"/>
    <x v="1"/>
    <n v="100.39"/>
    <x v="0"/>
    <s v="Pending"/>
    <s v="High"/>
    <s v="A. Tan"/>
    <s v="North America"/>
    <x v="1"/>
  </r>
  <r>
    <x v="222"/>
    <s v="BK50223"/>
    <d v="2025-05-15T00:00:00"/>
    <d v="2025-05-19T00:00:00"/>
    <d v="2025-06-06T00:00:00"/>
    <x v="6"/>
    <s v="Pharma"/>
    <s v="USA"/>
    <s v="Colombo"/>
    <s v="Singapore"/>
    <x v="4"/>
    <x v="7"/>
    <s v="20FT"/>
    <n v="2"/>
    <s v="Food"/>
    <n v="56510.63"/>
    <n v="9270.7000000000007"/>
    <n v="3564.58"/>
    <n v="818.98"/>
    <n v="565.11"/>
    <n v="313.74"/>
    <n v="2455.1799999999998"/>
    <n v="39522.339999999997"/>
    <n v="8"/>
    <x v="4"/>
    <n v="77.260000000000005"/>
    <x v="0"/>
    <s v="Paid"/>
    <s v="High"/>
    <s v="M. Ahmed"/>
    <s v="North America"/>
    <x v="6"/>
  </r>
  <r>
    <x v="223"/>
    <s v="BK50224"/>
    <d v="2025-07-31T00:00:00"/>
    <d v="2025-08-04T00:00:00"/>
    <d v="2025-08-19T00:00:00"/>
    <x v="7"/>
    <s v="Retail"/>
    <s v="Germany"/>
    <s v="Busan"/>
    <s v="Los Angeles"/>
    <x v="0"/>
    <x v="6"/>
    <s v="Reefer"/>
    <n v="2"/>
    <s v="Food"/>
    <n v="36985.370000000003"/>
    <n v="6612.15"/>
    <n v="1637.85"/>
    <n v="680.94"/>
    <n v="369.85"/>
    <n v="851.69"/>
    <n v="397.04"/>
    <n v="26435.85"/>
    <n v="0"/>
    <x v="3"/>
    <n v="55.1"/>
    <x v="1"/>
    <s v="Pending"/>
    <s v="High"/>
    <s v="J. Smith"/>
    <s v="Europe"/>
    <x v="1"/>
  </r>
  <r>
    <x v="224"/>
    <s v="BK50225"/>
    <d v="2025-06-19T00:00:00"/>
    <d v="2025-06-22T00:00:00"/>
    <d v="2025-07-21T00:00:00"/>
    <x v="3"/>
    <s v="Electronics"/>
    <s v="South Korea"/>
    <s v="Busan"/>
    <s v="Los Angeles"/>
    <x v="0"/>
    <x v="6"/>
    <s v="20FT"/>
    <n v="2"/>
    <s v="Electronics"/>
    <n v="51542.239999999998"/>
    <n v="9364.11"/>
    <n v="2383.89"/>
    <n v="1172.75"/>
    <n v="515.41999999999996"/>
    <n v="814.92"/>
    <n v="831.31"/>
    <n v="36459.839999999997"/>
    <n v="36"/>
    <x v="2"/>
    <n v="78.03"/>
    <x v="0"/>
    <s v="Pending"/>
    <s v="Critical"/>
    <s v="J. Smith"/>
    <s v="Asia"/>
    <x v="0"/>
  </r>
  <r>
    <x v="225"/>
    <s v="BK50226"/>
    <d v="2025-02-01T00:00:00"/>
    <d v="2025-02-05T00:00:00"/>
    <d v="2025-02-27T00:00:00"/>
    <x v="9"/>
    <s v="Engineering"/>
    <s v="Germany"/>
    <s v="Jebel Ali"/>
    <s v="Nhava Sheva"/>
    <x v="2"/>
    <x v="3"/>
    <s v="Reefer"/>
    <n v="2"/>
    <s v="Auto Parts"/>
    <n v="75323.740000000005"/>
    <n v="13454.8"/>
    <n v="4332.25"/>
    <n v="2047.35"/>
    <n v="753.24"/>
    <n v="710.52"/>
    <n v="1946.7"/>
    <n v="52078.879999999997"/>
    <n v="4"/>
    <x v="0"/>
    <n v="112.12"/>
    <x v="0"/>
    <s v="Paid"/>
    <s v="Critical"/>
    <s v="J. Smith"/>
    <s v="Asia"/>
    <x v="9"/>
  </r>
  <r>
    <x v="226"/>
    <s v="BK50227"/>
    <d v="2025-01-07T00:00:00"/>
    <d v="2025-01-11T00:00:00"/>
    <d v="2025-02-04T00:00:00"/>
    <x v="6"/>
    <s v="Pharma"/>
    <s v="USA"/>
    <s v="Busan"/>
    <s v="Los Angeles"/>
    <x v="0"/>
    <x v="7"/>
    <s v="High Cube"/>
    <n v="4"/>
    <s v="Chemicals"/>
    <n v="42231.69"/>
    <n v="12386.92"/>
    <n v="2594.9"/>
    <n v="663.64"/>
    <n v="422.32"/>
    <n v="580.11"/>
    <n v="1894.72"/>
    <n v="23689.08"/>
    <n v="4"/>
    <x v="1"/>
    <n v="103.22"/>
    <x v="0"/>
    <s v="Paid"/>
    <s v="Standard"/>
    <s v="M. Ahmed"/>
    <s v="Asia"/>
    <x v="11"/>
  </r>
  <r>
    <x v="227"/>
    <s v="BK50228"/>
    <d v="2025-09-05T00:00:00"/>
    <d v="2025-09-07T00:00:00"/>
    <d v="2025-09-18T00:00:00"/>
    <x v="8"/>
    <s v="Retail"/>
    <s v="Sweden"/>
    <s v="Jebel Ali"/>
    <s v="Nhava Sheva"/>
    <x v="2"/>
    <x v="0"/>
    <s v="High Cube"/>
    <n v="4"/>
    <s v="Chemicals"/>
    <n v="35891.4"/>
    <n v="8774.86"/>
    <n v="2621.36"/>
    <n v="558.63"/>
    <n v="358.91"/>
    <n v="749.14"/>
    <n v="2172.5500000000002"/>
    <n v="20655.95"/>
    <n v="36"/>
    <x v="2"/>
    <n v="73.12"/>
    <x v="0"/>
    <s v="Pending"/>
    <s v="Standard"/>
    <s v="J. Smith"/>
    <s v="Europe"/>
    <x v="3"/>
  </r>
  <r>
    <x v="228"/>
    <s v="BK50229"/>
    <d v="2025-11-19T00:00:00"/>
    <d v="2025-11-21T00:00:00"/>
    <d v="2025-12-15T00:00:00"/>
    <x v="0"/>
    <s v="Retail"/>
    <s v="India"/>
    <s v="Singapore"/>
    <s v="Nhava Sheva"/>
    <x v="1"/>
    <x v="2"/>
    <s v="40FT"/>
    <n v="1"/>
    <s v="Furniture"/>
    <n v="26093.43"/>
    <n v="5869.93"/>
    <n v="1413.29"/>
    <n v="472.04"/>
    <n v="260.93"/>
    <n v="509.6"/>
    <n v="1192.47"/>
    <n v="16375.17"/>
    <n v="36"/>
    <x v="0"/>
    <n v="48.92"/>
    <x v="0"/>
    <s v="Pending"/>
    <s v="High"/>
    <s v="R. Mehta"/>
    <s v="Asia"/>
    <x v="8"/>
  </r>
  <r>
    <x v="229"/>
    <s v="BK50230"/>
    <d v="2025-02-10T00:00:00"/>
    <d v="2025-02-13T00:00:00"/>
    <d v="2025-03-09T00:00:00"/>
    <x v="1"/>
    <s v="FMCG"/>
    <s v="UK"/>
    <s v="Jebel Ali"/>
    <s v="Nhava Sheva"/>
    <x v="2"/>
    <x v="6"/>
    <s v="40FT"/>
    <n v="4"/>
    <s v="Chemicals"/>
    <n v="47656.06"/>
    <n v="12202.29"/>
    <n v="3567.08"/>
    <n v="512.05999999999995"/>
    <n v="476.56"/>
    <n v="508.31"/>
    <n v="360.16"/>
    <n v="30029.599999999999"/>
    <n v="8"/>
    <x v="2"/>
    <n v="101.69"/>
    <x v="0"/>
    <s v="Paid"/>
    <s v="High"/>
    <s v="A. Tan"/>
    <s v="Europe"/>
    <x v="9"/>
  </r>
  <r>
    <x v="230"/>
    <s v="BK50231"/>
    <d v="2025-09-20T00:00:00"/>
    <d v="2025-09-23T00:00:00"/>
    <d v="2025-10-19T00:00:00"/>
    <x v="8"/>
    <s v="Retail"/>
    <s v="Sweden"/>
    <s v="Singapore"/>
    <s v="Nhava Sheva"/>
    <x v="1"/>
    <x v="6"/>
    <s v="High Cube"/>
    <n v="1"/>
    <s v="Textiles"/>
    <n v="6547.87"/>
    <n v="1453.45"/>
    <n v="500.31"/>
    <n v="90.41"/>
    <n v="65.48"/>
    <n v="196.05"/>
    <n v="628.15"/>
    <n v="3614.02"/>
    <n v="0"/>
    <x v="3"/>
    <n v="12.11"/>
    <x v="1"/>
    <s v="Paid"/>
    <s v="High"/>
    <s v="A. Tan"/>
    <s v="Middle East"/>
    <x v="3"/>
  </r>
  <r>
    <x v="231"/>
    <s v="BK50232"/>
    <d v="2025-02-04T00:00:00"/>
    <d v="2025-02-05T00:00:00"/>
    <d v="2025-02-19T00:00:00"/>
    <x v="5"/>
    <s v="Food"/>
    <s v="Switzerland"/>
    <s v="Shanghai"/>
    <s v="New York"/>
    <x v="1"/>
    <x v="2"/>
    <s v="Reefer"/>
    <n v="2"/>
    <s v="Textiles"/>
    <n v="66189.17"/>
    <n v="18659.27"/>
    <n v="4308.07"/>
    <n v="1625.84"/>
    <n v="661.89"/>
    <n v="693.91"/>
    <n v="2169.25"/>
    <n v="38070.94"/>
    <n v="0"/>
    <x v="3"/>
    <n v="155.49"/>
    <x v="1"/>
    <s v="Paid"/>
    <s v="High"/>
    <s v="M. Ahmed"/>
    <s v="Middle East"/>
    <x v="9"/>
  </r>
  <r>
    <x v="232"/>
    <s v="BK50233"/>
    <d v="2025-05-27T00:00:00"/>
    <d v="2025-05-30T00:00:00"/>
    <d v="2025-06-17T00:00:00"/>
    <x v="8"/>
    <s v="Retail"/>
    <s v="Sweden"/>
    <s v="Shanghai"/>
    <s v="Rotterdam"/>
    <x v="3"/>
    <x v="2"/>
    <s v="Reefer"/>
    <n v="4"/>
    <s v="Food"/>
    <n v="164255.12"/>
    <n v="33440.879999999997"/>
    <n v="8411.15"/>
    <n v="3246.52"/>
    <n v="1642.55"/>
    <n v="882.46"/>
    <n v="1953.29"/>
    <n v="114678.27"/>
    <n v="8"/>
    <x v="2"/>
    <n v="278.67"/>
    <x v="0"/>
    <s v="Pending"/>
    <s v="Critical"/>
    <s v="J. Smith"/>
    <s v="Middle East"/>
    <x v="6"/>
  </r>
  <r>
    <x v="233"/>
    <s v="BK50234"/>
    <d v="2025-10-14T00:00:00"/>
    <d v="2025-10-15T00:00:00"/>
    <d v="2025-11-11T00:00:00"/>
    <x v="6"/>
    <s v="Pharma"/>
    <s v="USA"/>
    <s v="Jebel Ali"/>
    <s v="Nhava Sheva"/>
    <x v="2"/>
    <x v="1"/>
    <s v="40FT"/>
    <n v="1"/>
    <s v="Chemicals"/>
    <n v="16223.06"/>
    <n v="3624.39"/>
    <n v="971.9"/>
    <n v="480.09"/>
    <n v="162.22999999999999"/>
    <n v="217.72"/>
    <n v="591.66999999999996"/>
    <n v="10175.06"/>
    <n v="48"/>
    <x v="2"/>
    <n v="30.2"/>
    <x v="0"/>
    <s v="Paid"/>
    <s v="High"/>
    <s v="L. Chen"/>
    <s v="Asia"/>
    <x v="7"/>
  </r>
  <r>
    <x v="234"/>
    <s v="BK50235"/>
    <d v="2025-02-14T00:00:00"/>
    <d v="2025-02-15T00:00:00"/>
    <d v="2025-03-02T00:00:00"/>
    <x v="8"/>
    <s v="Retail"/>
    <s v="Sweden"/>
    <s v="Busan"/>
    <s v="Los Angeles"/>
    <x v="0"/>
    <x v="2"/>
    <s v="High Cube"/>
    <n v="4"/>
    <s v="Chemicals"/>
    <n v="120501.48"/>
    <n v="28194.86"/>
    <n v="8413"/>
    <n v="1996.77"/>
    <n v="1205.01"/>
    <n v="512.83000000000004"/>
    <n v="2480.4499999999998"/>
    <n v="77698.559999999998"/>
    <n v="4"/>
    <x v="0"/>
    <n v="234.96"/>
    <x v="0"/>
    <s v="Pending"/>
    <s v="High"/>
    <s v="M. Ahmed"/>
    <s v="Middle East"/>
    <x v="9"/>
  </r>
  <r>
    <x v="235"/>
    <s v="BK50236"/>
    <d v="2025-01-26T00:00:00"/>
    <d v="2025-01-27T00:00:00"/>
    <d v="2025-02-18T00:00:00"/>
    <x v="4"/>
    <s v="Manufacturing"/>
    <s v="Germany"/>
    <s v="Singapore"/>
    <s v="Rotterdam"/>
    <x v="3"/>
    <x v="3"/>
    <s v="High Cube"/>
    <n v="1"/>
    <s v="Electronics"/>
    <n v="15802.5"/>
    <n v="3756.92"/>
    <n v="1224.05"/>
    <n v="453.26"/>
    <n v="158.03"/>
    <n v="521.85"/>
    <n v="1152.29"/>
    <n v="8536.1"/>
    <n v="0"/>
    <x v="3"/>
    <n v="31.31"/>
    <x v="1"/>
    <s v="Pending"/>
    <s v="Critical"/>
    <s v="M. Ahmed"/>
    <s v="Asia"/>
    <x v="11"/>
  </r>
  <r>
    <x v="236"/>
    <s v="BK50237"/>
    <d v="2025-09-13T00:00:00"/>
    <d v="2025-09-17T00:00:00"/>
    <d v="2025-10-16T00:00:00"/>
    <x v="7"/>
    <s v="Retail"/>
    <s v="Germany"/>
    <s v="Colombo"/>
    <s v="Singapore"/>
    <x v="4"/>
    <x v="0"/>
    <s v="Reefer"/>
    <n v="4"/>
    <s v="Electronics"/>
    <n v="131518.82999999999"/>
    <n v="39039.760000000002"/>
    <n v="7082.47"/>
    <n v="1591.36"/>
    <n v="1315.19"/>
    <n v="820.79"/>
    <n v="2332.63"/>
    <n v="79336.63"/>
    <n v="48"/>
    <x v="1"/>
    <n v="325.33"/>
    <x v="0"/>
    <s v="Pending"/>
    <s v="Standard"/>
    <s v="J. Smith"/>
    <s v="Europe"/>
    <x v="3"/>
  </r>
  <r>
    <x v="237"/>
    <s v="BK50238"/>
    <d v="2025-10-07T00:00:00"/>
    <d v="2025-10-11T00:00:00"/>
    <d v="2025-11-05T00:00:00"/>
    <x v="11"/>
    <s v="Automotive"/>
    <s v="Japan"/>
    <s v="Colombo"/>
    <s v="Singapore"/>
    <x v="4"/>
    <x v="7"/>
    <s v="40FT"/>
    <n v="2"/>
    <s v="Food"/>
    <n v="76330.78"/>
    <n v="16134.07"/>
    <n v="4562.47"/>
    <n v="1347.54"/>
    <n v="763.31"/>
    <n v="861.62"/>
    <n v="1587.14"/>
    <n v="51074.63"/>
    <n v="48"/>
    <x v="5"/>
    <n v="134.44999999999999"/>
    <x v="0"/>
    <s v="Pending"/>
    <s v="Critical"/>
    <s v="L. Chen"/>
    <s v="Asia"/>
    <x v="7"/>
  </r>
  <r>
    <x v="238"/>
    <s v="BK50239"/>
    <d v="2025-03-05T00:00:00"/>
    <d v="2025-03-09T00:00:00"/>
    <d v="2025-03-28T00:00:00"/>
    <x v="7"/>
    <s v="Retail"/>
    <s v="Germany"/>
    <s v="Singapore"/>
    <s v="Rotterdam"/>
    <x v="3"/>
    <x v="6"/>
    <s v="40FT"/>
    <n v="1"/>
    <s v="Chemicals"/>
    <n v="41976.7"/>
    <n v="10265.49"/>
    <n v="3013.95"/>
    <n v="955.66"/>
    <n v="419.77"/>
    <n v="579.9"/>
    <n v="1075.33"/>
    <n v="25666.6"/>
    <n v="0"/>
    <x v="3"/>
    <n v="85.55"/>
    <x v="1"/>
    <s v="Pending"/>
    <s v="Critical"/>
    <s v="A. Tan"/>
    <s v="Asia"/>
    <x v="5"/>
  </r>
  <r>
    <x v="239"/>
    <s v="BK50240"/>
    <d v="2025-02-01T00:00:00"/>
    <d v="2025-02-03T00:00:00"/>
    <d v="2025-02-16T00:00:00"/>
    <x v="10"/>
    <s v="E-commerce"/>
    <s v="USA"/>
    <s v="Nhava Sheva"/>
    <s v="Shanghai"/>
    <x v="1"/>
    <x v="4"/>
    <s v="20FT"/>
    <n v="1"/>
    <s v="Food"/>
    <n v="37851.81"/>
    <n v="9681.59"/>
    <n v="2245.39"/>
    <n v="378.76"/>
    <n v="378.52"/>
    <n v="372.54"/>
    <n v="2468.04"/>
    <n v="22326.97"/>
    <n v="4"/>
    <x v="2"/>
    <n v="80.680000000000007"/>
    <x v="0"/>
    <s v="Pending"/>
    <s v="Critical"/>
    <s v="L. Chen"/>
    <s v="Middle East"/>
    <x v="9"/>
  </r>
  <r>
    <x v="240"/>
    <s v="BK50241"/>
    <d v="2025-03-20T00:00:00"/>
    <d v="2025-03-23T00:00:00"/>
    <d v="2025-04-06T00:00:00"/>
    <x v="1"/>
    <s v="FMCG"/>
    <s v="UK"/>
    <s v="Shanghai"/>
    <s v="Rotterdam"/>
    <x v="3"/>
    <x v="2"/>
    <s v="High Cube"/>
    <n v="2"/>
    <s v="Furniture"/>
    <n v="42136.23"/>
    <n v="10412.64"/>
    <n v="2866.23"/>
    <n v="504.03"/>
    <n v="421.36"/>
    <n v="874.29"/>
    <n v="2352.4"/>
    <n v="24705.279999999999"/>
    <n v="24"/>
    <x v="1"/>
    <n v="86.77"/>
    <x v="0"/>
    <s v="Pending"/>
    <s v="Critical"/>
    <s v="M. Ahmed"/>
    <s v="Middle East"/>
    <x v="5"/>
  </r>
  <r>
    <x v="241"/>
    <s v="BK50242"/>
    <d v="2025-02-03T00:00:00"/>
    <d v="2025-02-06T00:00:00"/>
    <d v="2025-02-26T00:00:00"/>
    <x v="1"/>
    <s v="FMCG"/>
    <s v="UK"/>
    <s v="Shanghai"/>
    <s v="Rotterdam"/>
    <x v="3"/>
    <x v="1"/>
    <s v="20FT"/>
    <n v="1"/>
    <s v="Machinery"/>
    <n v="32756.53"/>
    <n v="5731.93"/>
    <n v="2036.19"/>
    <n v="502.35"/>
    <n v="327.57"/>
    <n v="143.21"/>
    <n v="785.83"/>
    <n v="23229.45"/>
    <n v="0"/>
    <x v="3"/>
    <n v="47.77"/>
    <x v="1"/>
    <s v="Paid"/>
    <s v="Standard"/>
    <s v="L. Chen"/>
    <s v="Europe"/>
    <x v="9"/>
  </r>
  <r>
    <x v="242"/>
    <s v="BK50243"/>
    <d v="2025-01-20T00:00:00"/>
    <d v="2025-01-22T00:00:00"/>
    <d v="2025-02-05T00:00:00"/>
    <x v="2"/>
    <s v="Electronics"/>
    <s v="South Korea"/>
    <s v="Jebel Ali"/>
    <s v="Nhava Sheva"/>
    <x v="2"/>
    <x v="6"/>
    <s v="Reefer"/>
    <n v="4"/>
    <s v="Auto Parts"/>
    <n v="165009.53"/>
    <n v="30610.11"/>
    <n v="6883.92"/>
    <n v="3648.77"/>
    <n v="1650.1"/>
    <n v="192.6"/>
    <n v="1485.77"/>
    <n v="120538.26"/>
    <n v="8"/>
    <x v="0"/>
    <n v="255.08"/>
    <x v="0"/>
    <s v="Pending"/>
    <s v="Standard"/>
    <s v="M. Ahmed"/>
    <s v="Asia"/>
    <x v="11"/>
  </r>
  <r>
    <x v="243"/>
    <s v="BK50244"/>
    <d v="2025-04-15T00:00:00"/>
    <d v="2025-04-16T00:00:00"/>
    <d v="2025-05-12T00:00:00"/>
    <x v="0"/>
    <s v="Retail"/>
    <s v="India"/>
    <s v="Singapore"/>
    <s v="Rotterdam"/>
    <x v="3"/>
    <x v="2"/>
    <s v="20FT"/>
    <n v="4"/>
    <s v="Machinery"/>
    <n v="59358.879999999997"/>
    <n v="13844.87"/>
    <n v="2967.83"/>
    <n v="598.39"/>
    <n v="593.59"/>
    <n v="872.66"/>
    <n v="1497.96"/>
    <n v="38983.58"/>
    <n v="0"/>
    <x v="3"/>
    <n v="115.37"/>
    <x v="1"/>
    <s v="Paid"/>
    <s v="Critical"/>
    <s v="J. Smith"/>
    <s v="Middle East"/>
    <x v="10"/>
  </r>
  <r>
    <x v="244"/>
    <s v="BK50245"/>
    <d v="2025-03-28T00:00:00"/>
    <d v="2025-03-29T00:00:00"/>
    <d v="2025-04-11T00:00:00"/>
    <x v="4"/>
    <s v="Manufacturing"/>
    <s v="Germany"/>
    <s v="Rotterdam"/>
    <s v="Singapore"/>
    <x v="1"/>
    <x v="0"/>
    <s v="High Cube"/>
    <n v="2"/>
    <s v="Auto Parts"/>
    <n v="75139.69"/>
    <n v="13767.69"/>
    <n v="3662.34"/>
    <n v="1097"/>
    <n v="751.4"/>
    <n v="585.92999999999995"/>
    <n v="2490.62"/>
    <n v="52784.71"/>
    <n v="48"/>
    <x v="5"/>
    <n v="114.73"/>
    <x v="0"/>
    <s v="Paid"/>
    <s v="Critical"/>
    <s v="M. Ahmed"/>
    <s v="North America"/>
    <x v="5"/>
  </r>
  <r>
    <x v="245"/>
    <s v="BK50246"/>
    <d v="2025-01-11T00:00:00"/>
    <d v="2025-01-14T00:00:00"/>
    <d v="2025-01-29T00:00:00"/>
    <x v="8"/>
    <s v="Retail"/>
    <s v="Sweden"/>
    <s v="Singapore"/>
    <s v="Rotterdam"/>
    <x v="3"/>
    <x v="1"/>
    <s v="20FT"/>
    <n v="4"/>
    <s v="Electronics"/>
    <n v="65496.68"/>
    <n v="16701.080000000002"/>
    <n v="4771.6099999999997"/>
    <n v="1736.81"/>
    <n v="654.97"/>
    <n v="599.92999999999995"/>
    <n v="2439.6"/>
    <n v="38592.68"/>
    <n v="0"/>
    <x v="3"/>
    <n v="139.18"/>
    <x v="1"/>
    <s v="Paid"/>
    <s v="Critical"/>
    <s v="M. Ahmed"/>
    <s v="Europe"/>
    <x v="11"/>
  </r>
  <r>
    <x v="246"/>
    <s v="BK50247"/>
    <d v="2025-10-16T00:00:00"/>
    <d v="2025-10-19T00:00:00"/>
    <d v="2025-11-07T00:00:00"/>
    <x v="11"/>
    <s v="Automotive"/>
    <s v="Japan"/>
    <s v="Los Angeles"/>
    <s v="Nhava Sheva"/>
    <x v="1"/>
    <x v="1"/>
    <s v="Reefer"/>
    <n v="4"/>
    <s v="Textiles"/>
    <n v="46162.080000000002"/>
    <n v="8459.3700000000008"/>
    <n v="2591.7800000000002"/>
    <n v="1007.49"/>
    <n v="461.62"/>
    <n v="642.36"/>
    <n v="326.74"/>
    <n v="32672.720000000001"/>
    <n v="0"/>
    <x v="3"/>
    <n v="70.489999999999995"/>
    <x v="1"/>
    <s v="Pending"/>
    <s v="Critical"/>
    <s v="R. Mehta"/>
    <s v="Asia"/>
    <x v="7"/>
  </r>
  <r>
    <x v="247"/>
    <s v="BK50248"/>
    <d v="2025-09-22T00:00:00"/>
    <d v="2025-09-24T00:00:00"/>
    <d v="2025-10-12T00:00:00"/>
    <x v="8"/>
    <s v="Retail"/>
    <s v="Sweden"/>
    <s v="Busan"/>
    <s v="Los Angeles"/>
    <x v="0"/>
    <x v="5"/>
    <s v="20FT"/>
    <n v="2"/>
    <s v="Food"/>
    <n v="89595.09"/>
    <n v="22902.97"/>
    <n v="6710.69"/>
    <n v="1367.62"/>
    <n v="895.95"/>
    <n v="614.5"/>
    <n v="831.61"/>
    <n v="56271.75"/>
    <n v="48"/>
    <x v="1"/>
    <n v="190.86"/>
    <x v="0"/>
    <s v="Paid"/>
    <s v="Standard"/>
    <s v="R. Mehta"/>
    <s v="North America"/>
    <x v="3"/>
  </r>
  <r>
    <x v="248"/>
    <s v="BK50249"/>
    <d v="2025-06-30T00:00:00"/>
    <d v="2025-07-02T00:00:00"/>
    <d v="2025-07-18T00:00:00"/>
    <x v="0"/>
    <s v="Retail"/>
    <s v="India"/>
    <s v="Jebel Ali"/>
    <s v="Nhava Sheva"/>
    <x v="2"/>
    <x v="5"/>
    <s v="20FT"/>
    <n v="1"/>
    <s v="Textiles"/>
    <n v="39278.49"/>
    <n v="8850.48"/>
    <n v="3060.57"/>
    <n v="1020.9"/>
    <n v="392.78"/>
    <n v="782.16"/>
    <n v="527.58000000000004"/>
    <n v="24644.02"/>
    <n v="8"/>
    <x v="1"/>
    <n v="73.75"/>
    <x v="0"/>
    <s v="Paid"/>
    <s v="Critical"/>
    <s v="J. Smith"/>
    <s v="Asia"/>
    <x v="0"/>
  </r>
  <r>
    <x v="249"/>
    <s v="BK50250"/>
    <d v="2025-10-20T00:00:00"/>
    <d v="2025-10-24T00:00:00"/>
    <d v="2025-11-03T00:00:00"/>
    <x v="9"/>
    <s v="Engineering"/>
    <s v="Germany"/>
    <s v="New York"/>
    <s v="Los Angeles"/>
    <x v="1"/>
    <x v="5"/>
    <s v="40FT"/>
    <n v="2"/>
    <s v="Auto Parts"/>
    <n v="15748.19"/>
    <n v="3928.56"/>
    <n v="1258.06"/>
    <n v="187.4"/>
    <n v="157.47999999999999"/>
    <n v="428.02"/>
    <n v="2320.0700000000002"/>
    <n v="7468.6"/>
    <n v="0"/>
    <x v="3"/>
    <n v="32.74"/>
    <x v="1"/>
    <s v="Pending"/>
    <s v="High"/>
    <s v="J. Smith"/>
    <s v="Asia"/>
    <x v="7"/>
  </r>
  <r>
    <x v="250"/>
    <s v="BK50251"/>
    <d v="2025-08-13T00:00:00"/>
    <d v="2025-08-14T00:00:00"/>
    <d v="2025-08-30T00:00:00"/>
    <x v="6"/>
    <s v="Pharma"/>
    <s v="USA"/>
    <s v="Shanghai"/>
    <s v="Nhava Sheva"/>
    <x v="1"/>
    <x v="0"/>
    <s v="40FT"/>
    <n v="4"/>
    <s v="Food"/>
    <n v="24755"/>
    <n v="5210.1000000000004"/>
    <n v="1004.35"/>
    <n v="712.95"/>
    <n v="247.55"/>
    <n v="152.75"/>
    <n v="1972.75"/>
    <n v="15454.55"/>
    <n v="48"/>
    <x v="4"/>
    <n v="43.42"/>
    <x v="0"/>
    <s v="Pending"/>
    <s v="Critical"/>
    <s v="L. Chen"/>
    <s v="Middle East"/>
    <x v="4"/>
  </r>
  <r>
    <x v="251"/>
    <s v="BK50252"/>
    <d v="2025-07-07T00:00:00"/>
    <d v="2025-07-09T00:00:00"/>
    <d v="2025-07-24T00:00:00"/>
    <x v="7"/>
    <s v="Retail"/>
    <s v="Germany"/>
    <s v="New York"/>
    <s v="Colombo"/>
    <x v="1"/>
    <x v="1"/>
    <s v="Reefer"/>
    <n v="1"/>
    <s v="Electronics"/>
    <n v="41187.370000000003"/>
    <n v="7483.3"/>
    <n v="2398.61"/>
    <n v="507.2"/>
    <n v="411.87"/>
    <n v="804.16"/>
    <n v="1631.05"/>
    <n v="27951.18"/>
    <n v="48"/>
    <x v="5"/>
    <n v="62.36"/>
    <x v="0"/>
    <s v="Paid"/>
    <s v="Standard"/>
    <s v="M. Ahmed"/>
    <s v="Asia"/>
    <x v="1"/>
  </r>
  <r>
    <x v="252"/>
    <s v="BK50253"/>
    <d v="2025-09-12T00:00:00"/>
    <d v="2025-09-14T00:00:00"/>
    <d v="2025-09-25T00:00:00"/>
    <x v="8"/>
    <s v="Retail"/>
    <s v="Sweden"/>
    <s v="Colombo"/>
    <s v="Singapore"/>
    <x v="4"/>
    <x v="1"/>
    <s v="40FT"/>
    <n v="1"/>
    <s v="Electronics"/>
    <n v="18763.25"/>
    <n v="3734.29"/>
    <n v="1344.14"/>
    <n v="464.46"/>
    <n v="187.63"/>
    <n v="737.44"/>
    <n v="310.7"/>
    <n v="11984.59"/>
    <n v="12"/>
    <x v="1"/>
    <n v="31.12"/>
    <x v="0"/>
    <s v="Pending"/>
    <s v="High"/>
    <s v="J. Smith"/>
    <s v="Asia"/>
    <x v="3"/>
  </r>
  <r>
    <x v="253"/>
    <s v="BK50254"/>
    <d v="2025-07-25T00:00:00"/>
    <d v="2025-07-28T00:00:00"/>
    <d v="2025-08-16T00:00:00"/>
    <x v="1"/>
    <s v="FMCG"/>
    <s v="UK"/>
    <s v="Jebel Ali"/>
    <s v="Nhava Sheva"/>
    <x v="2"/>
    <x v="1"/>
    <s v="20FT"/>
    <n v="4"/>
    <s v="Chemicals"/>
    <n v="116412.07"/>
    <n v="24315.62"/>
    <n v="4992.0600000000004"/>
    <n v="2302.38"/>
    <n v="1164.1199999999999"/>
    <n v="398.58"/>
    <n v="1091.58"/>
    <n v="82147.73"/>
    <n v="36"/>
    <x v="5"/>
    <n v="202.63"/>
    <x v="0"/>
    <s v="Paid"/>
    <s v="Critical"/>
    <s v="R. Mehta"/>
    <s v="Europe"/>
    <x v="1"/>
  </r>
  <r>
    <x v="254"/>
    <s v="BK50255"/>
    <d v="2025-06-05T00:00:00"/>
    <d v="2025-06-08T00:00:00"/>
    <d v="2025-06-24T00:00:00"/>
    <x v="11"/>
    <s v="Automotive"/>
    <s v="Japan"/>
    <s v="Jebel Ali"/>
    <s v="Nhava Sheva"/>
    <x v="2"/>
    <x v="4"/>
    <s v="Reefer"/>
    <n v="4"/>
    <s v="Textiles"/>
    <n v="168440.11"/>
    <n v="33196.870000000003"/>
    <n v="8849.42"/>
    <n v="1824.88"/>
    <n v="1684.4"/>
    <n v="488.53"/>
    <n v="1627.48"/>
    <n v="120768.53"/>
    <n v="12"/>
    <x v="0"/>
    <n v="276.64"/>
    <x v="0"/>
    <s v="Pending"/>
    <s v="Standard"/>
    <s v="A. Tan"/>
    <s v="Middle East"/>
    <x v="0"/>
  </r>
  <r>
    <x v="255"/>
    <s v="BK50256"/>
    <d v="2025-03-19T00:00:00"/>
    <d v="2025-03-23T00:00:00"/>
    <d v="2025-04-13T00:00:00"/>
    <x v="4"/>
    <s v="Manufacturing"/>
    <s v="Germany"/>
    <s v="Rotterdam"/>
    <s v="Shanghai"/>
    <x v="1"/>
    <x v="5"/>
    <s v="40FT"/>
    <n v="2"/>
    <s v="Auto Parts"/>
    <n v="20948.669999999998"/>
    <n v="5178.97"/>
    <n v="999.8"/>
    <n v="475.7"/>
    <n v="209.49"/>
    <n v="196.16"/>
    <n v="1908.31"/>
    <n v="11980.24"/>
    <n v="0"/>
    <x v="3"/>
    <n v="43.16"/>
    <x v="1"/>
    <s v="Pending"/>
    <s v="High"/>
    <s v="M. Ahmed"/>
    <s v="North America"/>
    <x v="5"/>
  </r>
  <r>
    <x v="256"/>
    <s v="BK50257"/>
    <d v="2025-02-14T00:00:00"/>
    <d v="2025-02-15T00:00:00"/>
    <d v="2025-03-08T00:00:00"/>
    <x v="2"/>
    <s v="Electronics"/>
    <s v="South Korea"/>
    <s v="Colombo"/>
    <s v="Singapore"/>
    <x v="4"/>
    <x v="1"/>
    <s v="High Cube"/>
    <n v="4"/>
    <s v="Chemicals"/>
    <n v="102876.33"/>
    <n v="20802.189999999999"/>
    <n v="7897.73"/>
    <n v="2103.92"/>
    <n v="1028.76"/>
    <n v="415.68"/>
    <n v="483.81"/>
    <n v="70144.240000000005"/>
    <n v="0"/>
    <x v="3"/>
    <n v="173.35"/>
    <x v="1"/>
    <s v="Pending"/>
    <s v="High"/>
    <s v="L. Chen"/>
    <s v="North America"/>
    <x v="9"/>
  </r>
  <r>
    <x v="257"/>
    <s v="BK50258"/>
    <d v="2025-07-28T00:00:00"/>
    <d v="2025-08-01T00:00:00"/>
    <d v="2025-08-27T00:00:00"/>
    <x v="10"/>
    <s v="E-commerce"/>
    <s v="USA"/>
    <s v="Colombo"/>
    <s v="Singapore"/>
    <x v="4"/>
    <x v="0"/>
    <s v="Reefer"/>
    <n v="4"/>
    <s v="Furniture"/>
    <n v="146322.60999999999"/>
    <n v="24810.32"/>
    <n v="7218.36"/>
    <n v="2410.73"/>
    <n v="1463.23"/>
    <n v="653.85"/>
    <n v="2323.79"/>
    <n v="107442.33"/>
    <n v="0"/>
    <x v="3"/>
    <n v="206.75"/>
    <x v="1"/>
    <s v="Pending"/>
    <s v="Standard"/>
    <s v="L. Chen"/>
    <s v="Middle East"/>
    <x v="1"/>
  </r>
  <r>
    <x v="258"/>
    <s v="BK50259"/>
    <d v="2025-03-05T00:00:00"/>
    <d v="2025-03-08T00:00:00"/>
    <d v="2025-03-31T00:00:00"/>
    <x v="9"/>
    <s v="Engineering"/>
    <s v="Germany"/>
    <s v="Jebel Ali"/>
    <s v="Nhava Sheva"/>
    <x v="2"/>
    <x v="1"/>
    <s v="20FT"/>
    <n v="2"/>
    <s v="Auto Parts"/>
    <n v="48349.43"/>
    <n v="13463.68"/>
    <n v="2608.64"/>
    <n v="1018.74"/>
    <n v="483.49"/>
    <n v="790.07"/>
    <n v="2498.0500000000002"/>
    <n v="27486.76"/>
    <n v="0"/>
    <x v="3"/>
    <n v="112.2"/>
    <x v="1"/>
    <s v="Pending"/>
    <s v="Critical"/>
    <s v="A. Tan"/>
    <s v="North America"/>
    <x v="5"/>
  </r>
  <r>
    <x v="259"/>
    <s v="BK50260"/>
    <d v="2025-05-07T00:00:00"/>
    <d v="2025-05-11T00:00:00"/>
    <d v="2025-05-30T00:00:00"/>
    <x v="2"/>
    <s v="Electronics"/>
    <s v="South Korea"/>
    <s v="Shanghai"/>
    <s v="Rotterdam"/>
    <x v="3"/>
    <x v="3"/>
    <s v="40FT"/>
    <n v="2"/>
    <s v="Food"/>
    <n v="13241.86"/>
    <n v="3302.3"/>
    <n v="848.21"/>
    <n v="223.84"/>
    <n v="132.41999999999999"/>
    <n v="119.9"/>
    <n v="2278.66"/>
    <n v="6336.53"/>
    <n v="0"/>
    <x v="3"/>
    <n v="27.52"/>
    <x v="1"/>
    <s v="Paid"/>
    <s v="High"/>
    <s v="J. Smith"/>
    <s v="Middle East"/>
    <x v="6"/>
  </r>
  <r>
    <x v="260"/>
    <s v="BK50261"/>
    <d v="2025-03-11T00:00:00"/>
    <d v="2025-03-14T00:00:00"/>
    <d v="2025-04-10T00:00:00"/>
    <x v="7"/>
    <s v="Retail"/>
    <s v="Germany"/>
    <s v="Jebel Ali"/>
    <s v="Nhava Sheva"/>
    <x v="2"/>
    <x v="4"/>
    <s v="High Cube"/>
    <n v="2"/>
    <s v="Chemicals"/>
    <n v="29362.94"/>
    <n v="5497.2"/>
    <n v="1797.7"/>
    <n v="758.55"/>
    <n v="293.63"/>
    <n v="785.44"/>
    <n v="1758.44"/>
    <n v="18471.98"/>
    <n v="0"/>
    <x v="3"/>
    <n v="45.81"/>
    <x v="1"/>
    <s v="Pending"/>
    <s v="Standard"/>
    <s v="M. Ahmed"/>
    <s v="Middle East"/>
    <x v="5"/>
  </r>
  <r>
    <x v="261"/>
    <s v="BK50262"/>
    <d v="2025-10-24T00:00:00"/>
    <d v="2025-10-28T00:00:00"/>
    <d v="2025-11-10T00:00:00"/>
    <x v="4"/>
    <s v="Manufacturing"/>
    <s v="Germany"/>
    <s v="Jebel Ali"/>
    <s v="Nhava Sheva"/>
    <x v="2"/>
    <x v="7"/>
    <s v="40FT"/>
    <n v="2"/>
    <s v="Electronics"/>
    <n v="26048.14"/>
    <n v="6434.89"/>
    <n v="1845.9"/>
    <n v="720.25"/>
    <n v="260.48"/>
    <n v="291.92"/>
    <n v="1796.4"/>
    <n v="14698.3"/>
    <n v="12"/>
    <x v="5"/>
    <n v="53.62"/>
    <x v="0"/>
    <s v="Paid"/>
    <s v="High"/>
    <s v="J. Smith"/>
    <s v="Asia"/>
    <x v="7"/>
  </r>
  <r>
    <x v="262"/>
    <s v="BK50263"/>
    <d v="2025-10-12T00:00:00"/>
    <d v="2025-10-16T00:00:00"/>
    <d v="2025-11-11T00:00:00"/>
    <x v="5"/>
    <s v="Food"/>
    <s v="Switzerland"/>
    <s v="Jebel Ali"/>
    <s v="Nhava Sheva"/>
    <x v="2"/>
    <x v="2"/>
    <s v="Reefer"/>
    <n v="4"/>
    <s v="Textiles"/>
    <n v="141256.07999999999"/>
    <n v="36097.599999999999"/>
    <n v="10972.54"/>
    <n v="3374.81"/>
    <n v="1412.56"/>
    <n v="599.86"/>
    <n v="1573.72"/>
    <n v="87224.99"/>
    <n v="8"/>
    <x v="0"/>
    <n v="300.81"/>
    <x v="0"/>
    <s v="Paid"/>
    <s v="Critical"/>
    <s v="L. Chen"/>
    <s v="Europe"/>
    <x v="7"/>
  </r>
  <r>
    <x v="263"/>
    <s v="BK50264"/>
    <d v="2025-04-10T00:00:00"/>
    <d v="2025-04-12T00:00:00"/>
    <d v="2025-04-22T00:00:00"/>
    <x v="6"/>
    <s v="Pharma"/>
    <s v="USA"/>
    <s v="Busan"/>
    <s v="Los Angeles"/>
    <x v="0"/>
    <x v="1"/>
    <s v="Reefer"/>
    <n v="4"/>
    <s v="Electronics"/>
    <n v="132497.35"/>
    <n v="36151.370000000003"/>
    <n v="8863.48"/>
    <n v="1353.68"/>
    <n v="1324.97"/>
    <n v="466.6"/>
    <n v="2481.7600000000002"/>
    <n v="81855.490000000005"/>
    <n v="12"/>
    <x v="4"/>
    <n v="301.26"/>
    <x v="0"/>
    <s v="Pending"/>
    <s v="Standard"/>
    <s v="M. Ahmed"/>
    <s v="Middle East"/>
    <x v="10"/>
  </r>
  <r>
    <x v="264"/>
    <s v="BK50265"/>
    <d v="2025-09-21T00:00:00"/>
    <d v="2025-09-22T00:00:00"/>
    <d v="2025-10-12T00:00:00"/>
    <x v="6"/>
    <s v="Pharma"/>
    <s v="USA"/>
    <s v="Singapore"/>
    <s v="Rotterdam"/>
    <x v="3"/>
    <x v="1"/>
    <s v="High Cube"/>
    <n v="4"/>
    <s v="Textiles"/>
    <n v="80432.789999999994"/>
    <n v="13453.7"/>
    <n v="4651.57"/>
    <n v="2079.79"/>
    <n v="804.33"/>
    <n v="466.36"/>
    <n v="1816.52"/>
    <n v="57160.52"/>
    <n v="12"/>
    <x v="1"/>
    <n v="112.11"/>
    <x v="0"/>
    <s v="Pending"/>
    <s v="Standard"/>
    <s v="A. Tan"/>
    <s v="Asia"/>
    <x v="3"/>
  </r>
  <r>
    <x v="265"/>
    <s v="BK50266"/>
    <d v="2025-05-28T00:00:00"/>
    <d v="2025-06-01T00:00:00"/>
    <d v="2025-06-19T00:00:00"/>
    <x v="3"/>
    <s v="Electronics"/>
    <s v="South Korea"/>
    <s v="Singapore"/>
    <s v="Busan"/>
    <x v="1"/>
    <x v="5"/>
    <s v="40FT"/>
    <n v="4"/>
    <s v="Textiles"/>
    <n v="132295.76999999999"/>
    <n v="28605.11"/>
    <n v="6655.42"/>
    <n v="1972.62"/>
    <n v="1322.96"/>
    <n v="526.58000000000004"/>
    <n v="1990.51"/>
    <n v="91222.57"/>
    <n v="0"/>
    <x v="3"/>
    <n v="238.38"/>
    <x v="1"/>
    <s v="Pending"/>
    <s v="Standard"/>
    <s v="L. Chen"/>
    <s v="Middle East"/>
    <x v="6"/>
  </r>
  <r>
    <x v="266"/>
    <s v="BK50267"/>
    <d v="2025-08-16T00:00:00"/>
    <d v="2025-08-19T00:00:00"/>
    <d v="2025-08-30T00:00:00"/>
    <x v="11"/>
    <s v="Automotive"/>
    <s v="Japan"/>
    <s v="Busan"/>
    <s v="Los Angeles"/>
    <x v="0"/>
    <x v="4"/>
    <s v="20FT"/>
    <n v="2"/>
    <s v="Machinery"/>
    <n v="50169.7"/>
    <n v="8726.11"/>
    <n v="3811.75"/>
    <n v="1465.49"/>
    <n v="501.7"/>
    <n v="529.03"/>
    <n v="995.18"/>
    <n v="34140.44"/>
    <n v="0"/>
    <x v="3"/>
    <n v="72.72"/>
    <x v="1"/>
    <s v="Paid"/>
    <s v="High"/>
    <s v="R. Mehta"/>
    <s v="Asia"/>
    <x v="4"/>
  </r>
  <r>
    <x v="267"/>
    <s v="BK50268"/>
    <d v="2025-05-23T00:00:00"/>
    <d v="2025-05-25T00:00:00"/>
    <d v="2025-06-07T00:00:00"/>
    <x v="0"/>
    <s v="Retail"/>
    <s v="India"/>
    <s v="Shanghai"/>
    <s v="Rotterdam"/>
    <x v="3"/>
    <x v="1"/>
    <s v="High Cube"/>
    <n v="2"/>
    <s v="Electronics"/>
    <n v="31075.46"/>
    <n v="7511"/>
    <n v="1987.29"/>
    <n v="715.37"/>
    <n v="310.75"/>
    <n v="851.57"/>
    <n v="1222.81"/>
    <n v="18476.669999999998"/>
    <n v="4"/>
    <x v="0"/>
    <n v="62.59"/>
    <x v="0"/>
    <s v="Pending"/>
    <s v="Critical"/>
    <s v="R. Mehta"/>
    <s v="Asia"/>
    <x v="6"/>
  </r>
  <r>
    <x v="268"/>
    <s v="BK50269"/>
    <d v="2025-04-27T00:00:00"/>
    <d v="2025-04-29T00:00:00"/>
    <d v="2025-05-11T00:00:00"/>
    <x v="0"/>
    <s v="Retail"/>
    <s v="India"/>
    <s v="Jebel Ali"/>
    <s v="Nhava Sheva"/>
    <x v="2"/>
    <x v="1"/>
    <s v="High Cube"/>
    <n v="4"/>
    <s v="Electronics"/>
    <n v="68512.149999999994"/>
    <n v="19306.919999999998"/>
    <n v="4131.01"/>
    <n v="1776.47"/>
    <n v="685.12"/>
    <n v="718.89"/>
    <n v="1510.8"/>
    <n v="40382.94"/>
    <n v="24"/>
    <x v="5"/>
    <n v="160.88999999999999"/>
    <x v="0"/>
    <s v="Paid"/>
    <s v="Standard"/>
    <s v="M. Ahmed"/>
    <s v="Middle East"/>
    <x v="10"/>
  </r>
  <r>
    <x v="269"/>
    <s v="BK50270"/>
    <d v="2025-06-15T00:00:00"/>
    <d v="2025-06-16T00:00:00"/>
    <d v="2025-07-02T00:00:00"/>
    <x v="4"/>
    <s v="Manufacturing"/>
    <s v="Germany"/>
    <s v="Hamburg"/>
    <s v="Rotterdam"/>
    <x v="1"/>
    <x v="3"/>
    <s v="Reefer"/>
    <n v="1"/>
    <s v="Electronics"/>
    <n v="26905.14"/>
    <n v="5690.21"/>
    <n v="1522.16"/>
    <n v="572.02"/>
    <n v="269.05"/>
    <n v="841.12"/>
    <n v="1260.1400000000001"/>
    <n v="16750.439999999999"/>
    <n v="0"/>
    <x v="3"/>
    <n v="47.42"/>
    <x v="1"/>
    <s v="Paid"/>
    <s v="Critical"/>
    <s v="A. Tan"/>
    <s v="Middle East"/>
    <x v="0"/>
  </r>
  <r>
    <x v="270"/>
    <s v="BK50271"/>
    <d v="2025-02-09T00:00:00"/>
    <d v="2025-02-10T00:00:00"/>
    <d v="2025-02-28T00:00:00"/>
    <x v="4"/>
    <s v="Manufacturing"/>
    <s v="Germany"/>
    <s v="Singapore"/>
    <s v="Colombo"/>
    <x v="1"/>
    <x v="0"/>
    <s v="Reefer"/>
    <n v="2"/>
    <s v="Furniture"/>
    <n v="40626.949999999997"/>
    <n v="7120.86"/>
    <n v="1853.56"/>
    <n v="994.53"/>
    <n v="406.27"/>
    <n v="738.73"/>
    <n v="738.12"/>
    <n v="28774.880000000001"/>
    <n v="0"/>
    <x v="3"/>
    <n v="59.34"/>
    <x v="1"/>
    <s v="Pending"/>
    <s v="Standard"/>
    <s v="R. Mehta"/>
    <s v="Asia"/>
    <x v="9"/>
  </r>
  <r>
    <x v="271"/>
    <s v="BK50272"/>
    <d v="2025-07-01T00:00:00"/>
    <d v="2025-07-03T00:00:00"/>
    <d v="2025-07-17T00:00:00"/>
    <x v="8"/>
    <s v="Retail"/>
    <s v="Sweden"/>
    <s v="Singapore"/>
    <s v="Rotterdam"/>
    <x v="3"/>
    <x v="0"/>
    <s v="Reefer"/>
    <n v="4"/>
    <s v="Chemicals"/>
    <n v="132104.28"/>
    <n v="39349.449999999997"/>
    <n v="7188.1"/>
    <n v="3389.73"/>
    <n v="1321.04"/>
    <n v="201.69"/>
    <n v="1080.69"/>
    <n v="79573.58"/>
    <n v="0"/>
    <x v="3"/>
    <n v="327.91"/>
    <x v="1"/>
    <s v="Pending"/>
    <s v="Standard"/>
    <s v="L. Chen"/>
    <s v="Middle East"/>
    <x v="1"/>
  </r>
  <r>
    <x v="272"/>
    <s v="BK50273"/>
    <d v="2025-04-22T00:00:00"/>
    <d v="2025-04-23T00:00:00"/>
    <d v="2025-05-10T00:00:00"/>
    <x v="1"/>
    <s v="FMCG"/>
    <s v="UK"/>
    <s v="Colombo"/>
    <s v="Nhava Sheva"/>
    <x v="1"/>
    <x v="3"/>
    <s v="High Cube"/>
    <n v="2"/>
    <s v="Furniture"/>
    <n v="55292.12"/>
    <n v="15045.28"/>
    <n v="3328.81"/>
    <n v="592.53"/>
    <n v="552.91999999999996"/>
    <n v="355.2"/>
    <n v="1284.4100000000001"/>
    <n v="34132.97"/>
    <n v="0"/>
    <x v="3"/>
    <n v="125.38"/>
    <x v="1"/>
    <s v="Paid"/>
    <s v="High"/>
    <s v="M. Ahmed"/>
    <s v="Europe"/>
    <x v="10"/>
  </r>
  <r>
    <x v="273"/>
    <s v="BK50274"/>
    <d v="2025-01-18T00:00:00"/>
    <d v="2025-01-22T00:00:00"/>
    <d v="2025-02-16T00:00:00"/>
    <x v="3"/>
    <s v="Electronics"/>
    <s v="South Korea"/>
    <s v="Busan"/>
    <s v="Hamburg"/>
    <x v="1"/>
    <x v="2"/>
    <s v="20FT"/>
    <n v="2"/>
    <s v="Auto Parts"/>
    <n v="44171.61"/>
    <n v="7664.56"/>
    <n v="3378.47"/>
    <n v="928.95"/>
    <n v="441.72"/>
    <n v="474.16"/>
    <n v="1617.82"/>
    <n v="29665.93"/>
    <n v="12"/>
    <x v="1"/>
    <n v="63.87"/>
    <x v="0"/>
    <s v="Pending"/>
    <s v="Standard"/>
    <s v="J. Smith"/>
    <s v="North America"/>
    <x v="11"/>
  </r>
  <r>
    <x v="274"/>
    <s v="BK50275"/>
    <d v="2025-03-29T00:00:00"/>
    <d v="2025-04-01T00:00:00"/>
    <d v="2025-04-29T00:00:00"/>
    <x v="6"/>
    <s v="Pharma"/>
    <s v="USA"/>
    <s v="Singapore"/>
    <s v="Rotterdam"/>
    <x v="3"/>
    <x v="3"/>
    <s v="High Cube"/>
    <n v="1"/>
    <s v="Electronics"/>
    <n v="13319.06"/>
    <n v="2662.25"/>
    <n v="1008.2"/>
    <n v="158.72999999999999"/>
    <n v="133.19"/>
    <n v="594.29999999999995"/>
    <n v="1625.21"/>
    <n v="7137.18"/>
    <n v="36"/>
    <x v="2"/>
    <n v="22.19"/>
    <x v="0"/>
    <s v="Paid"/>
    <s v="Standard"/>
    <s v="J. Smith"/>
    <s v="North America"/>
    <x v="5"/>
  </r>
  <r>
    <x v="275"/>
    <s v="BK50276"/>
    <d v="2025-01-13T00:00:00"/>
    <d v="2025-01-17T00:00:00"/>
    <d v="2025-02-12T00:00:00"/>
    <x v="2"/>
    <s v="Electronics"/>
    <s v="South Korea"/>
    <s v="Shanghai"/>
    <s v="Rotterdam"/>
    <x v="3"/>
    <x v="0"/>
    <s v="20FT"/>
    <n v="2"/>
    <s v="Auto Parts"/>
    <n v="48667.23"/>
    <n v="10950.02"/>
    <n v="2530.1"/>
    <n v="1007.61"/>
    <n v="486.67"/>
    <n v="525.85"/>
    <n v="535.35"/>
    <n v="32631.63"/>
    <n v="36"/>
    <x v="5"/>
    <n v="91.25"/>
    <x v="0"/>
    <s v="Paid"/>
    <s v="High"/>
    <s v="A. Tan"/>
    <s v="Middle East"/>
    <x v="11"/>
  </r>
  <r>
    <x v="276"/>
    <s v="BK50277"/>
    <d v="2025-03-28T00:00:00"/>
    <d v="2025-03-31T00:00:00"/>
    <d v="2025-04-28T00:00:00"/>
    <x v="1"/>
    <s v="FMCG"/>
    <s v="UK"/>
    <s v="Jebel Ali"/>
    <s v="Nhava Sheva"/>
    <x v="2"/>
    <x v="3"/>
    <s v="20FT"/>
    <n v="2"/>
    <s v="Furniture"/>
    <n v="40157.08"/>
    <n v="8599.4"/>
    <n v="2762.53"/>
    <n v="944.79"/>
    <n v="401.57"/>
    <n v="521.1"/>
    <n v="923.36"/>
    <n v="26004.33"/>
    <n v="12"/>
    <x v="5"/>
    <n v="71.66"/>
    <x v="0"/>
    <s v="Pending"/>
    <s v="Standard"/>
    <s v="M. Ahmed"/>
    <s v="Asia"/>
    <x v="5"/>
  </r>
  <r>
    <x v="277"/>
    <s v="BK50278"/>
    <d v="2025-10-16T00:00:00"/>
    <d v="2025-10-20T00:00:00"/>
    <d v="2025-11-10T00:00:00"/>
    <x v="4"/>
    <s v="Manufacturing"/>
    <s v="Germany"/>
    <s v="Jebel Ali"/>
    <s v="Nhava Sheva"/>
    <x v="2"/>
    <x v="2"/>
    <s v="High Cube"/>
    <n v="1"/>
    <s v="Furniture"/>
    <n v="27522.76"/>
    <n v="8114.41"/>
    <n v="1665.48"/>
    <n v="595.9"/>
    <n v="275.23"/>
    <n v="343.84"/>
    <n v="2154.19"/>
    <n v="14373.71"/>
    <n v="0"/>
    <x v="3"/>
    <n v="67.62"/>
    <x v="1"/>
    <s v="Paid"/>
    <s v="Critical"/>
    <s v="L. Chen"/>
    <s v="Middle East"/>
    <x v="7"/>
  </r>
  <r>
    <x v="278"/>
    <s v="BK50279"/>
    <d v="2025-08-11T00:00:00"/>
    <d v="2025-08-14T00:00:00"/>
    <d v="2025-08-27T00:00:00"/>
    <x v="2"/>
    <s v="Electronics"/>
    <s v="South Korea"/>
    <s v="Jebel Ali"/>
    <s v="Nhava Sheva"/>
    <x v="2"/>
    <x v="6"/>
    <s v="40FT"/>
    <n v="4"/>
    <s v="Textiles"/>
    <n v="43927.13"/>
    <n v="12794.16"/>
    <n v="2882.25"/>
    <n v="474.64"/>
    <n v="439.27"/>
    <n v="376.98"/>
    <n v="957.88"/>
    <n v="26001.95"/>
    <n v="0"/>
    <x v="3"/>
    <n v="106.62"/>
    <x v="1"/>
    <s v="Paid"/>
    <s v="High"/>
    <s v="A. Tan"/>
    <s v="North America"/>
    <x v="4"/>
  </r>
  <r>
    <x v="279"/>
    <s v="BK50280"/>
    <d v="2025-07-01T00:00:00"/>
    <d v="2025-07-04T00:00:00"/>
    <d v="2025-07-19T00:00:00"/>
    <x v="7"/>
    <s v="Retail"/>
    <s v="Germany"/>
    <s v="Shanghai"/>
    <s v="Rotterdam"/>
    <x v="3"/>
    <x v="2"/>
    <s v="20FT"/>
    <n v="2"/>
    <s v="Textiles"/>
    <n v="51104.160000000003"/>
    <n v="10813.11"/>
    <n v="3185.85"/>
    <n v="1076.74"/>
    <n v="511.04"/>
    <n v="204.59"/>
    <n v="1735.92"/>
    <n v="33576.910000000003"/>
    <n v="0"/>
    <x v="3"/>
    <n v="90.11"/>
    <x v="1"/>
    <s v="Paid"/>
    <s v="High"/>
    <s v="J. Smith"/>
    <s v="Middle East"/>
    <x v="1"/>
  </r>
  <r>
    <x v="280"/>
    <s v="BK50281"/>
    <d v="2025-09-05T00:00:00"/>
    <d v="2025-09-07T00:00:00"/>
    <d v="2025-09-18T00:00:00"/>
    <x v="9"/>
    <s v="Engineering"/>
    <s v="Germany"/>
    <s v="Shanghai"/>
    <s v="Rotterdam"/>
    <x v="3"/>
    <x v="7"/>
    <s v="20FT"/>
    <n v="4"/>
    <s v="Textiles"/>
    <n v="116630.06"/>
    <n v="21611.02"/>
    <n v="8418.2800000000007"/>
    <n v="2225.12"/>
    <n v="1166.3"/>
    <n v="127.93"/>
    <n v="1031.17"/>
    <n v="82050.240000000005"/>
    <n v="0"/>
    <x v="3"/>
    <n v="180.09"/>
    <x v="1"/>
    <s v="Pending"/>
    <s v="Standard"/>
    <s v="L. Chen"/>
    <s v="Europe"/>
    <x v="3"/>
  </r>
  <r>
    <x v="281"/>
    <s v="BK50282"/>
    <d v="2025-05-03T00:00:00"/>
    <d v="2025-05-06T00:00:00"/>
    <d v="2025-05-29T00:00:00"/>
    <x v="4"/>
    <s v="Manufacturing"/>
    <s v="Germany"/>
    <s v="New York"/>
    <s v="Singapore"/>
    <x v="1"/>
    <x v="0"/>
    <s v="20FT"/>
    <n v="2"/>
    <s v="Chemicals"/>
    <n v="60716.9"/>
    <n v="14239.91"/>
    <n v="2528.92"/>
    <n v="1404.14"/>
    <n v="607.16999999999996"/>
    <n v="728.63"/>
    <n v="2099.3200000000002"/>
    <n v="39108.81"/>
    <n v="8"/>
    <x v="0"/>
    <n v="118.67"/>
    <x v="0"/>
    <s v="Pending"/>
    <s v="High"/>
    <s v="A. Tan"/>
    <s v="Europe"/>
    <x v="6"/>
  </r>
  <r>
    <x v="282"/>
    <s v="BK50283"/>
    <d v="2025-12-15T00:00:00"/>
    <d v="2025-12-16T00:00:00"/>
    <d v="2026-01-08T00:00:00"/>
    <x v="5"/>
    <s v="Food"/>
    <s v="Switzerland"/>
    <s v="Jebel Ali"/>
    <s v="Busan"/>
    <x v="1"/>
    <x v="3"/>
    <s v="Reefer"/>
    <n v="2"/>
    <s v="Chemicals"/>
    <n v="65100.33"/>
    <n v="15683.51"/>
    <n v="4163.63"/>
    <n v="1178.06"/>
    <n v="651"/>
    <n v="564.5"/>
    <n v="2282.7800000000002"/>
    <n v="40576.85"/>
    <n v="0"/>
    <x v="3"/>
    <n v="130.69999999999999"/>
    <x v="1"/>
    <s v="Paid"/>
    <s v="Critical"/>
    <s v="R. Mehta"/>
    <s v="Middle East"/>
    <x v="2"/>
  </r>
  <r>
    <x v="283"/>
    <s v="BK50284"/>
    <d v="2025-10-15T00:00:00"/>
    <d v="2025-10-18T00:00:00"/>
    <d v="2025-11-07T00:00:00"/>
    <x v="1"/>
    <s v="FMCG"/>
    <s v="UK"/>
    <s v="Singapore"/>
    <s v="Rotterdam"/>
    <x v="3"/>
    <x v="5"/>
    <s v="Reefer"/>
    <n v="2"/>
    <s v="Electronics"/>
    <n v="37533.839999999997"/>
    <n v="9642.75"/>
    <n v="2139.9899999999998"/>
    <n v="788.06"/>
    <n v="375.34"/>
    <n v="717.47"/>
    <n v="779.63"/>
    <n v="23090.6"/>
    <n v="0"/>
    <x v="3"/>
    <n v="80.36"/>
    <x v="1"/>
    <s v="Pending"/>
    <s v="Standard"/>
    <s v="M. Ahmed"/>
    <s v="Asia"/>
    <x v="7"/>
  </r>
  <r>
    <x v="284"/>
    <s v="BK50285"/>
    <d v="2025-12-18T00:00:00"/>
    <d v="2025-12-19T00:00:00"/>
    <d v="2026-01-07T00:00:00"/>
    <x v="0"/>
    <s v="Retail"/>
    <s v="India"/>
    <s v="Shanghai"/>
    <s v="Jebel Ali"/>
    <x v="1"/>
    <x v="5"/>
    <s v="High Cube"/>
    <n v="2"/>
    <s v="Electronics"/>
    <n v="38556.089999999997"/>
    <n v="10427.370000000001"/>
    <n v="1697.85"/>
    <n v="686"/>
    <n v="385.56"/>
    <n v="739.49"/>
    <n v="415.34"/>
    <n v="24204.48"/>
    <n v="36"/>
    <x v="0"/>
    <n v="86.89"/>
    <x v="0"/>
    <s v="Pending"/>
    <s v="Critical"/>
    <s v="J. Smith"/>
    <s v="Europe"/>
    <x v="2"/>
  </r>
  <r>
    <x v="285"/>
    <s v="BK50286"/>
    <d v="2025-03-16T00:00:00"/>
    <d v="2025-03-18T00:00:00"/>
    <d v="2025-04-15T00:00:00"/>
    <x v="6"/>
    <s v="Pharma"/>
    <s v="USA"/>
    <s v="Colombo"/>
    <s v="Singapore"/>
    <x v="4"/>
    <x v="5"/>
    <s v="40FT"/>
    <n v="2"/>
    <s v="Machinery"/>
    <n v="61063.64"/>
    <n v="12068.73"/>
    <n v="3604.42"/>
    <n v="1268.83"/>
    <n v="610.64"/>
    <n v="317.74"/>
    <n v="1180.51"/>
    <n v="42012.77"/>
    <n v="8"/>
    <x v="4"/>
    <n v="100.57"/>
    <x v="0"/>
    <s v="Pending"/>
    <s v="Critical"/>
    <s v="A. Tan"/>
    <s v="Asia"/>
    <x v="5"/>
  </r>
  <r>
    <x v="286"/>
    <s v="BK50287"/>
    <d v="2025-07-09T00:00:00"/>
    <d v="2025-07-10T00:00:00"/>
    <d v="2025-08-06T00:00:00"/>
    <x v="6"/>
    <s v="Pharma"/>
    <s v="USA"/>
    <s v="Busan"/>
    <s v="Los Angeles"/>
    <x v="0"/>
    <x v="4"/>
    <s v="High Cube"/>
    <n v="4"/>
    <s v="Electronics"/>
    <n v="75446.929999999993"/>
    <n v="13823.81"/>
    <n v="5551.79"/>
    <n v="1779.23"/>
    <n v="754.47"/>
    <n v="461.14"/>
    <n v="2176.4499999999998"/>
    <n v="50900.04"/>
    <n v="8"/>
    <x v="4"/>
    <n v="115.2"/>
    <x v="0"/>
    <s v="Paid"/>
    <s v="Standard"/>
    <s v="M. Ahmed"/>
    <s v="Asia"/>
    <x v="1"/>
  </r>
  <r>
    <x v="287"/>
    <s v="BK50288"/>
    <d v="2025-03-20T00:00:00"/>
    <d v="2025-03-23T00:00:00"/>
    <d v="2025-04-16T00:00:00"/>
    <x v="9"/>
    <s v="Engineering"/>
    <s v="Germany"/>
    <s v="Busan"/>
    <s v="Los Angeles"/>
    <x v="0"/>
    <x v="7"/>
    <s v="High Cube"/>
    <n v="2"/>
    <s v="Textiles"/>
    <n v="62744.31"/>
    <n v="14868.24"/>
    <n v="4237.8599999999997"/>
    <n v="1068.04"/>
    <n v="627.44000000000005"/>
    <n v="398.72"/>
    <n v="384.56"/>
    <n v="41159.449999999997"/>
    <n v="0"/>
    <x v="3"/>
    <n v="123.9"/>
    <x v="1"/>
    <s v="Pending"/>
    <s v="Critical"/>
    <s v="M. Ahmed"/>
    <s v="Asia"/>
    <x v="5"/>
  </r>
  <r>
    <x v="288"/>
    <s v="BK50289"/>
    <d v="2025-10-14T00:00:00"/>
    <d v="2025-10-17T00:00:00"/>
    <d v="2025-11-04T00:00:00"/>
    <x v="4"/>
    <s v="Manufacturing"/>
    <s v="Germany"/>
    <s v="Busan"/>
    <s v="Los Angeles"/>
    <x v="0"/>
    <x v="3"/>
    <s v="High Cube"/>
    <n v="2"/>
    <s v="Chemicals"/>
    <n v="41962.06"/>
    <n v="12578.66"/>
    <n v="3154.97"/>
    <n v="1151.8599999999999"/>
    <n v="419.62"/>
    <n v="152.52000000000001"/>
    <n v="887.6"/>
    <n v="23616.83"/>
    <n v="4"/>
    <x v="1"/>
    <n v="104.82"/>
    <x v="0"/>
    <s v="Paid"/>
    <s v="High"/>
    <s v="M. Ahmed"/>
    <s v="Europe"/>
    <x v="7"/>
  </r>
  <r>
    <x v="289"/>
    <s v="BK50290"/>
    <d v="2025-10-30T00:00:00"/>
    <d v="2025-11-03T00:00:00"/>
    <d v="2025-11-18T00:00:00"/>
    <x v="10"/>
    <s v="E-commerce"/>
    <s v="USA"/>
    <s v="Jebel Ali"/>
    <s v="Nhava Sheva"/>
    <x v="2"/>
    <x v="2"/>
    <s v="High Cube"/>
    <n v="2"/>
    <s v="Furniture"/>
    <n v="47267.43"/>
    <n v="12662.99"/>
    <n v="3451.93"/>
    <n v="1093.75"/>
    <n v="472.67"/>
    <n v="892.67"/>
    <n v="1902.55"/>
    <n v="26790.87"/>
    <n v="8"/>
    <x v="2"/>
    <n v="105.52"/>
    <x v="0"/>
    <s v="Paid"/>
    <s v="High"/>
    <s v="M. Ahmed"/>
    <s v="North America"/>
    <x v="7"/>
  </r>
  <r>
    <x v="290"/>
    <s v="BK50291"/>
    <d v="2025-01-12T00:00:00"/>
    <d v="2025-01-13T00:00:00"/>
    <d v="2025-02-09T00:00:00"/>
    <x v="2"/>
    <s v="Electronics"/>
    <s v="South Korea"/>
    <s v="Jebel Ali"/>
    <s v="Nhava Sheva"/>
    <x v="2"/>
    <x v="7"/>
    <s v="40FT"/>
    <n v="2"/>
    <s v="Auto Parts"/>
    <n v="43543.519999999997"/>
    <n v="8736.73"/>
    <n v="2305.37"/>
    <n v="1175.22"/>
    <n v="435.44"/>
    <n v="589.71"/>
    <n v="1758.87"/>
    <n v="28542.18"/>
    <n v="0"/>
    <x v="3"/>
    <n v="72.81"/>
    <x v="1"/>
    <s v="Paid"/>
    <s v="Critical"/>
    <s v="M. Ahmed"/>
    <s v="North America"/>
    <x v="11"/>
  </r>
  <r>
    <x v="291"/>
    <s v="BK50292"/>
    <d v="2025-10-07T00:00:00"/>
    <d v="2025-10-08T00:00:00"/>
    <d v="2025-11-03T00:00:00"/>
    <x v="9"/>
    <s v="Engineering"/>
    <s v="Germany"/>
    <s v="Busan"/>
    <s v="Los Angeles"/>
    <x v="0"/>
    <x v="7"/>
    <s v="High Cube"/>
    <n v="2"/>
    <s v="Auto Parts"/>
    <n v="12720.49"/>
    <n v="3288.82"/>
    <n v="974.77"/>
    <n v="334.21"/>
    <n v="127.2"/>
    <n v="650.73"/>
    <n v="2119.06"/>
    <n v="5225.7"/>
    <n v="12"/>
    <x v="1"/>
    <n v="27.41"/>
    <x v="0"/>
    <s v="Pending"/>
    <s v="Standard"/>
    <s v="M. Ahmed"/>
    <s v="Asia"/>
    <x v="7"/>
  </r>
  <r>
    <x v="292"/>
    <s v="BK50293"/>
    <d v="2025-07-21T00:00:00"/>
    <d v="2025-07-25T00:00:00"/>
    <d v="2025-08-23T00:00:00"/>
    <x v="11"/>
    <s v="Automotive"/>
    <s v="Japan"/>
    <s v="Shanghai"/>
    <s v="Rotterdam"/>
    <x v="3"/>
    <x v="5"/>
    <s v="40FT"/>
    <n v="4"/>
    <s v="Auto Parts"/>
    <n v="128672.64"/>
    <n v="23785.88"/>
    <n v="8593.7199999999993"/>
    <n v="2817.6"/>
    <n v="1286.73"/>
    <n v="246.36"/>
    <n v="2267.6999999999998"/>
    <n v="89674.65"/>
    <n v="24"/>
    <x v="5"/>
    <n v="198.22"/>
    <x v="0"/>
    <s v="Paid"/>
    <s v="Standard"/>
    <s v="M. Ahmed"/>
    <s v="Europe"/>
    <x v="1"/>
  </r>
  <r>
    <x v="293"/>
    <s v="BK50294"/>
    <d v="2025-02-21T00:00:00"/>
    <d v="2025-02-25T00:00:00"/>
    <d v="2025-03-18T00:00:00"/>
    <x v="5"/>
    <s v="Food"/>
    <s v="Switzerland"/>
    <s v="Colombo"/>
    <s v="Singapore"/>
    <x v="4"/>
    <x v="6"/>
    <s v="40FT"/>
    <n v="2"/>
    <s v="Auto Parts"/>
    <n v="15765.77"/>
    <n v="3474.81"/>
    <n v="921.76"/>
    <n v="196.04"/>
    <n v="157.66"/>
    <n v="599"/>
    <n v="2295.48"/>
    <n v="8121.02"/>
    <n v="0"/>
    <x v="3"/>
    <n v="28.96"/>
    <x v="1"/>
    <s v="Pending"/>
    <s v="Standard"/>
    <s v="L. Chen"/>
    <s v="Middle East"/>
    <x v="9"/>
  </r>
  <r>
    <x v="294"/>
    <s v="BK50295"/>
    <d v="2025-02-23T00:00:00"/>
    <d v="2025-02-24T00:00:00"/>
    <d v="2025-03-24T00:00:00"/>
    <x v="5"/>
    <s v="Food"/>
    <s v="Switzerland"/>
    <s v="Singapore"/>
    <s v="Rotterdam"/>
    <x v="3"/>
    <x v="6"/>
    <s v="High Cube"/>
    <n v="4"/>
    <s v="Food"/>
    <n v="77273.14"/>
    <n v="19995.27"/>
    <n v="5521.12"/>
    <n v="2184.06"/>
    <n v="772.73"/>
    <n v="207.26"/>
    <n v="1032.93"/>
    <n v="47559.77"/>
    <n v="0"/>
    <x v="3"/>
    <n v="166.63"/>
    <x v="1"/>
    <s v="Paid"/>
    <s v="Standard"/>
    <s v="M. Ahmed"/>
    <s v="Asia"/>
    <x v="9"/>
  </r>
  <r>
    <x v="295"/>
    <s v="BK50296"/>
    <d v="2025-08-29T00:00:00"/>
    <d v="2025-08-31T00:00:00"/>
    <d v="2025-09-10T00:00:00"/>
    <x v="5"/>
    <s v="Food"/>
    <s v="Switzerland"/>
    <s v="Busan"/>
    <s v="Los Angeles"/>
    <x v="0"/>
    <x v="1"/>
    <s v="20FT"/>
    <n v="2"/>
    <s v="Textiles"/>
    <n v="54688.44"/>
    <n v="9585.27"/>
    <n v="3476.86"/>
    <n v="1460.93"/>
    <n v="546.88"/>
    <n v="538.49"/>
    <n v="1115.24"/>
    <n v="37964.769999999997"/>
    <n v="0"/>
    <x v="3"/>
    <n v="79.88"/>
    <x v="1"/>
    <s v="Paid"/>
    <s v="Critical"/>
    <s v="L. Chen"/>
    <s v="Middle East"/>
    <x v="4"/>
  </r>
  <r>
    <x v="296"/>
    <s v="BK50297"/>
    <d v="2025-05-30T00:00:00"/>
    <d v="2025-05-31T00:00:00"/>
    <d v="2025-06-25T00:00:00"/>
    <x v="2"/>
    <s v="Electronics"/>
    <s v="South Korea"/>
    <s v="Shanghai"/>
    <s v="Rotterdam"/>
    <x v="3"/>
    <x v="6"/>
    <s v="Reefer"/>
    <n v="4"/>
    <s v="Machinery"/>
    <n v="101118.21"/>
    <n v="19706.88"/>
    <n v="5467.26"/>
    <n v="2948.45"/>
    <n v="1011.18"/>
    <n v="169.92"/>
    <n v="2487.0300000000002"/>
    <n v="69327.490000000005"/>
    <n v="0"/>
    <x v="3"/>
    <n v="164.22"/>
    <x v="1"/>
    <s v="Paid"/>
    <s v="High"/>
    <s v="L. Chen"/>
    <s v="Europe"/>
    <x v="6"/>
  </r>
  <r>
    <x v="297"/>
    <s v="BK50298"/>
    <d v="2025-12-08T00:00:00"/>
    <d v="2025-12-09T00:00:00"/>
    <d v="2026-01-02T00:00:00"/>
    <x v="5"/>
    <s v="Food"/>
    <s v="Switzerland"/>
    <s v="Jebel Ali"/>
    <s v="Los Angeles"/>
    <x v="1"/>
    <x v="0"/>
    <s v="40FT"/>
    <n v="4"/>
    <s v="Textiles"/>
    <n v="79200.61"/>
    <n v="16738.27"/>
    <n v="5837.13"/>
    <n v="1888.1"/>
    <n v="792.01"/>
    <n v="420.46"/>
    <n v="1323.13"/>
    <n v="52201.51"/>
    <n v="48"/>
    <x v="5"/>
    <n v="139.49"/>
    <x v="0"/>
    <s v="Pending"/>
    <s v="High"/>
    <s v="R. Mehta"/>
    <s v="Europe"/>
    <x v="2"/>
  </r>
  <r>
    <x v="298"/>
    <s v="BK50299"/>
    <d v="2025-04-11T00:00:00"/>
    <d v="2025-04-13T00:00:00"/>
    <d v="2025-05-08T00:00:00"/>
    <x v="10"/>
    <s v="E-commerce"/>
    <s v="USA"/>
    <s v="Jebel Ali"/>
    <s v="Nhava Sheva"/>
    <x v="2"/>
    <x v="2"/>
    <s v="Reefer"/>
    <n v="2"/>
    <s v="Furniture"/>
    <n v="85013.03"/>
    <n v="25467.18"/>
    <n v="3855.91"/>
    <n v="880.22"/>
    <n v="850.13"/>
    <n v="746.52"/>
    <n v="2085.86"/>
    <n v="51127.21"/>
    <n v="0"/>
    <x v="3"/>
    <n v="212.23"/>
    <x v="1"/>
    <s v="Paid"/>
    <s v="Standard"/>
    <s v="A. Tan"/>
    <s v="Europe"/>
    <x v="10"/>
  </r>
  <r>
    <x v="299"/>
    <s v="BK50300"/>
    <d v="2025-05-18T00:00:00"/>
    <d v="2025-05-21T00:00:00"/>
    <d v="2025-06-17T00:00:00"/>
    <x v="5"/>
    <s v="Food"/>
    <s v="Switzerland"/>
    <s v="Shanghai"/>
    <s v="Colombo"/>
    <x v="1"/>
    <x v="1"/>
    <s v="Reefer"/>
    <n v="2"/>
    <s v="Electronics"/>
    <n v="35511.47"/>
    <n v="7933.7"/>
    <n v="2799.92"/>
    <n v="922.93"/>
    <n v="355.11"/>
    <n v="343.58"/>
    <n v="1370.44"/>
    <n v="21785.79"/>
    <n v="48"/>
    <x v="5"/>
    <n v="66.11"/>
    <x v="0"/>
    <s v="Paid"/>
    <s v="Standard"/>
    <s v="M. Ahmed"/>
    <s v="Europe"/>
    <x v="6"/>
  </r>
  <r>
    <x v="300"/>
    <s v="BK50301"/>
    <d v="2025-03-26T00:00:00"/>
    <d v="2025-03-30T00:00:00"/>
    <d v="2025-04-25T00:00:00"/>
    <x v="5"/>
    <s v="Food"/>
    <s v="Switzerland"/>
    <s v="Singapore"/>
    <s v="Rotterdam"/>
    <x v="3"/>
    <x v="6"/>
    <s v="40FT"/>
    <n v="4"/>
    <s v="Food"/>
    <n v="155931.93"/>
    <n v="36185.230000000003"/>
    <n v="9385.89"/>
    <n v="2472.96"/>
    <n v="1559.32"/>
    <n v="120"/>
    <n v="767.88"/>
    <n v="105440.65"/>
    <n v="0"/>
    <x v="3"/>
    <n v="301.54000000000002"/>
    <x v="1"/>
    <s v="Paid"/>
    <s v="High"/>
    <s v="A. Tan"/>
    <s v="North America"/>
    <x v="5"/>
  </r>
  <r>
    <x v="301"/>
    <s v="BK50302"/>
    <d v="2025-08-01T00:00:00"/>
    <d v="2025-08-05T00:00:00"/>
    <d v="2025-08-17T00:00:00"/>
    <x v="11"/>
    <s v="Automotive"/>
    <s v="Japan"/>
    <s v="Singapore"/>
    <s v="Rotterdam"/>
    <x v="3"/>
    <x v="0"/>
    <s v="20FT"/>
    <n v="2"/>
    <s v="Furniture"/>
    <n v="86467.06"/>
    <n v="14735.83"/>
    <n v="4710.07"/>
    <n v="1778.35"/>
    <n v="864.67"/>
    <n v="364.18"/>
    <n v="2347.96"/>
    <n v="61666"/>
    <n v="8"/>
    <x v="2"/>
    <n v="122.8"/>
    <x v="0"/>
    <s v="Paid"/>
    <s v="High"/>
    <s v="A. Tan"/>
    <s v="North America"/>
    <x v="4"/>
  </r>
  <r>
    <x v="302"/>
    <s v="BK50303"/>
    <d v="2025-03-27T00:00:00"/>
    <d v="2025-03-29T00:00:00"/>
    <d v="2025-04-21T00:00:00"/>
    <x v="2"/>
    <s v="Electronics"/>
    <s v="South Korea"/>
    <s v="New York"/>
    <s v="Colombo"/>
    <x v="1"/>
    <x v="4"/>
    <s v="Reefer"/>
    <n v="2"/>
    <s v="Furniture"/>
    <n v="61354.82"/>
    <n v="15422.81"/>
    <n v="4364.28"/>
    <n v="1107.6099999999999"/>
    <n v="613.54999999999995"/>
    <n v="646.09"/>
    <n v="2440.08"/>
    <n v="36760.400000000001"/>
    <n v="0"/>
    <x v="3"/>
    <n v="128.52000000000001"/>
    <x v="1"/>
    <s v="Pending"/>
    <s v="High"/>
    <s v="A. Tan"/>
    <s v="Asia"/>
    <x v="5"/>
  </r>
  <r>
    <x v="303"/>
    <s v="BK50304"/>
    <d v="2025-12-14T00:00:00"/>
    <d v="2025-12-16T00:00:00"/>
    <d v="2026-01-11T00:00:00"/>
    <x v="9"/>
    <s v="Engineering"/>
    <s v="Germany"/>
    <s v="Busan"/>
    <s v="Jebel Ali"/>
    <x v="1"/>
    <x v="1"/>
    <s v="Reefer"/>
    <n v="4"/>
    <s v="Textiles"/>
    <n v="119181.84"/>
    <n v="30533.19"/>
    <n v="4900.05"/>
    <n v="1214.24"/>
    <n v="1191.82"/>
    <n v="586.70000000000005"/>
    <n v="633.30999999999995"/>
    <n v="80122.53"/>
    <n v="8"/>
    <x v="1"/>
    <n v="254.44"/>
    <x v="0"/>
    <s v="Paid"/>
    <s v="Standard"/>
    <s v="J. Smith"/>
    <s v="North America"/>
    <x v="2"/>
  </r>
  <r>
    <x v="304"/>
    <s v="BK50305"/>
    <d v="2025-10-10T00:00:00"/>
    <d v="2025-10-13T00:00:00"/>
    <d v="2025-10-26T00:00:00"/>
    <x v="6"/>
    <s v="Pharma"/>
    <s v="USA"/>
    <s v="Busan"/>
    <s v="Los Angeles"/>
    <x v="0"/>
    <x v="5"/>
    <s v="Reefer"/>
    <n v="2"/>
    <s v="Machinery"/>
    <n v="50438.73"/>
    <n v="10261.24"/>
    <n v="2245.92"/>
    <n v="879.98"/>
    <n v="504.39"/>
    <n v="383"/>
    <n v="1173.6600000000001"/>
    <n v="34990.54"/>
    <n v="36"/>
    <x v="1"/>
    <n v="85.51"/>
    <x v="0"/>
    <s v="Pending"/>
    <s v="Standard"/>
    <s v="L. Chen"/>
    <s v="North America"/>
    <x v="7"/>
  </r>
  <r>
    <x v="305"/>
    <s v="BK50306"/>
    <d v="2025-01-04T00:00:00"/>
    <d v="2025-01-05T00:00:00"/>
    <d v="2025-01-21T00:00:00"/>
    <x v="5"/>
    <s v="Food"/>
    <s v="Switzerland"/>
    <s v="Shanghai"/>
    <s v="Singapore"/>
    <x v="1"/>
    <x v="7"/>
    <s v="40FT"/>
    <n v="4"/>
    <s v="Furniture"/>
    <n v="172817.64"/>
    <n v="34728.97"/>
    <n v="9125.7000000000007"/>
    <n v="2243.7800000000002"/>
    <n v="1728.18"/>
    <n v="446.22"/>
    <n v="797.74"/>
    <n v="123747.05"/>
    <n v="12"/>
    <x v="0"/>
    <n v="289.41000000000003"/>
    <x v="0"/>
    <s v="Paid"/>
    <s v="Standard"/>
    <s v="L. Chen"/>
    <s v="Europe"/>
    <x v="11"/>
  </r>
  <r>
    <x v="306"/>
    <s v="BK50307"/>
    <d v="2025-06-05T00:00:00"/>
    <d v="2025-06-08T00:00:00"/>
    <d v="2025-06-24T00:00:00"/>
    <x v="10"/>
    <s v="E-commerce"/>
    <s v="USA"/>
    <s v="Busan"/>
    <s v="Los Angeles"/>
    <x v="0"/>
    <x v="4"/>
    <s v="40FT"/>
    <n v="2"/>
    <s v="Furniture"/>
    <n v="80187.929999999993"/>
    <n v="17170.52"/>
    <n v="3572.72"/>
    <n v="1196.92"/>
    <n v="801.88"/>
    <n v="480.48"/>
    <n v="488.96"/>
    <n v="56476.45"/>
    <n v="24"/>
    <x v="4"/>
    <n v="143.09"/>
    <x v="0"/>
    <s v="Paid"/>
    <s v="Critical"/>
    <s v="L. Chen"/>
    <s v="Asia"/>
    <x v="0"/>
  </r>
  <r>
    <x v="307"/>
    <s v="BK50308"/>
    <d v="2025-03-20T00:00:00"/>
    <d v="2025-03-21T00:00:00"/>
    <d v="2025-04-09T00:00:00"/>
    <x v="3"/>
    <s v="Electronics"/>
    <s v="South Korea"/>
    <s v="Busan"/>
    <s v="Los Angeles"/>
    <x v="0"/>
    <x v="4"/>
    <s v="Reefer"/>
    <n v="4"/>
    <s v="Auto Parts"/>
    <n v="92653.97"/>
    <n v="21113.33"/>
    <n v="6846.98"/>
    <n v="2688.43"/>
    <n v="926.54"/>
    <n v="308.85000000000002"/>
    <n v="483.29"/>
    <n v="60286.55"/>
    <n v="12"/>
    <x v="5"/>
    <n v="175.94"/>
    <x v="0"/>
    <s v="Pending"/>
    <s v="High"/>
    <s v="R. Mehta"/>
    <s v="North America"/>
    <x v="5"/>
  </r>
  <r>
    <x v="308"/>
    <s v="BK50309"/>
    <d v="2025-02-04T00:00:00"/>
    <d v="2025-02-08T00:00:00"/>
    <d v="2025-03-07T00:00:00"/>
    <x v="3"/>
    <s v="Electronics"/>
    <s v="South Korea"/>
    <s v="Colombo"/>
    <s v="Los Angeles"/>
    <x v="1"/>
    <x v="7"/>
    <s v="High Cube"/>
    <n v="2"/>
    <s v="Furniture"/>
    <n v="15466.69"/>
    <n v="4072.65"/>
    <n v="963.59"/>
    <n v="178.33"/>
    <n v="154.66999999999999"/>
    <n v="811.62"/>
    <n v="926.81"/>
    <n v="8359.02"/>
    <n v="12"/>
    <x v="4"/>
    <n v="33.94"/>
    <x v="0"/>
    <s v="Paid"/>
    <s v="Standard"/>
    <s v="A. Tan"/>
    <s v="Europe"/>
    <x v="9"/>
  </r>
  <r>
    <x v="309"/>
    <s v="BK50310"/>
    <d v="2025-05-17T00:00:00"/>
    <d v="2025-05-19T00:00:00"/>
    <d v="2025-06-13T00:00:00"/>
    <x v="1"/>
    <s v="FMCG"/>
    <s v="UK"/>
    <s v="Colombo"/>
    <s v="Singapore"/>
    <x v="4"/>
    <x v="0"/>
    <s v="20FT"/>
    <n v="1"/>
    <s v="Machinery"/>
    <n v="25811.18"/>
    <n v="5286.35"/>
    <n v="1789.56"/>
    <n v="264.11"/>
    <n v="258.11"/>
    <n v="683.25"/>
    <n v="1564.6"/>
    <n v="15965.2"/>
    <n v="8"/>
    <x v="0"/>
    <n v="44.05"/>
    <x v="0"/>
    <s v="Pending"/>
    <s v="Standard"/>
    <s v="J. Smith"/>
    <s v="Asia"/>
    <x v="6"/>
  </r>
  <r>
    <x v="310"/>
    <s v="BK50311"/>
    <d v="2025-02-15T00:00:00"/>
    <d v="2025-02-16T00:00:00"/>
    <d v="2025-02-28T00:00:00"/>
    <x v="3"/>
    <s v="Electronics"/>
    <s v="South Korea"/>
    <s v="Singapore"/>
    <s v="Rotterdam"/>
    <x v="1"/>
    <x v="7"/>
    <s v="High Cube"/>
    <n v="4"/>
    <s v="Food"/>
    <n v="94817.24"/>
    <n v="22728.560000000001"/>
    <n v="5159.53"/>
    <n v="2268.38"/>
    <n v="948.17"/>
    <n v="119.13"/>
    <n v="773.28"/>
    <n v="62820.19"/>
    <n v="24"/>
    <x v="1"/>
    <n v="189.4"/>
    <x v="0"/>
    <s v="Paid"/>
    <s v="Critical"/>
    <s v="M. Ahmed"/>
    <s v="Middle East"/>
    <x v="9"/>
  </r>
  <r>
    <x v="311"/>
    <s v="BK50312"/>
    <d v="2025-06-25T00:00:00"/>
    <d v="2025-06-26T00:00:00"/>
    <d v="2025-07-17T00:00:00"/>
    <x v="10"/>
    <s v="E-commerce"/>
    <s v="USA"/>
    <s v="Jebel Ali"/>
    <s v="Nhava Sheva"/>
    <x v="2"/>
    <x v="2"/>
    <s v="40FT"/>
    <n v="1"/>
    <s v="Furniture"/>
    <n v="30415.03"/>
    <n v="8328.57"/>
    <n v="1730.04"/>
    <n v="905.76"/>
    <n v="304.14999999999998"/>
    <n v="310.16000000000003"/>
    <n v="2145.25"/>
    <n v="16691.099999999999"/>
    <n v="4"/>
    <x v="2"/>
    <n v="69.400000000000006"/>
    <x v="0"/>
    <s v="Pending"/>
    <s v="Standard"/>
    <s v="R. Mehta"/>
    <s v="Middle East"/>
    <x v="0"/>
  </r>
  <r>
    <x v="312"/>
    <s v="BK50313"/>
    <d v="2025-12-26T00:00:00"/>
    <d v="2025-12-27T00:00:00"/>
    <d v="2026-01-11T00:00:00"/>
    <x v="4"/>
    <s v="Manufacturing"/>
    <s v="Germany"/>
    <s v="Jebel Ali"/>
    <s v="Nhava Sheva"/>
    <x v="2"/>
    <x v="0"/>
    <s v="20FT"/>
    <n v="2"/>
    <s v="Textiles"/>
    <n v="85554.53"/>
    <n v="23649.31"/>
    <n v="4624.79"/>
    <n v="1606.5"/>
    <n v="855.55"/>
    <n v="742.49"/>
    <n v="337.78"/>
    <n v="53738.11"/>
    <n v="0"/>
    <x v="3"/>
    <n v="197.08"/>
    <x v="1"/>
    <s v="Paid"/>
    <s v="High"/>
    <s v="M. Ahmed"/>
    <s v="Asia"/>
    <x v="2"/>
  </r>
  <r>
    <x v="313"/>
    <s v="BK50314"/>
    <d v="2025-06-22T00:00:00"/>
    <d v="2025-06-24T00:00:00"/>
    <d v="2025-07-22T00:00:00"/>
    <x v="1"/>
    <s v="FMCG"/>
    <s v="UK"/>
    <s v="Busan"/>
    <s v="Los Angeles"/>
    <x v="0"/>
    <x v="1"/>
    <s v="20FT"/>
    <n v="1"/>
    <s v="Chemicals"/>
    <n v="23599.05"/>
    <n v="4157.3900000000003"/>
    <n v="1667.75"/>
    <n v="443.87"/>
    <n v="235.99"/>
    <n v="804.91"/>
    <n v="2298"/>
    <n v="13991.14"/>
    <n v="0"/>
    <x v="3"/>
    <n v="34.64"/>
    <x v="1"/>
    <s v="Pending"/>
    <s v="Critical"/>
    <s v="J. Smith"/>
    <s v="North America"/>
    <x v="0"/>
  </r>
  <r>
    <x v="314"/>
    <s v="BK50315"/>
    <d v="2025-08-01T00:00:00"/>
    <d v="2025-08-02T00:00:00"/>
    <d v="2025-08-23T00:00:00"/>
    <x v="2"/>
    <s v="Electronics"/>
    <s v="South Korea"/>
    <s v="Busan"/>
    <s v="Singapore"/>
    <x v="1"/>
    <x v="2"/>
    <s v="40FT"/>
    <n v="2"/>
    <s v="Machinery"/>
    <n v="29420.17"/>
    <n v="5299.55"/>
    <n v="2129.66"/>
    <n v="518.46"/>
    <n v="294.2"/>
    <n v="881.4"/>
    <n v="1321.71"/>
    <n v="18975.189999999999"/>
    <n v="12"/>
    <x v="1"/>
    <n v="44.16"/>
    <x v="0"/>
    <s v="Pending"/>
    <s v="High"/>
    <s v="L. Chen"/>
    <s v="North America"/>
    <x v="4"/>
  </r>
  <r>
    <x v="315"/>
    <s v="BK50316"/>
    <d v="2025-12-29T00:00:00"/>
    <d v="2025-12-31T00:00:00"/>
    <d v="2026-01-16T00:00:00"/>
    <x v="7"/>
    <s v="Retail"/>
    <s v="Germany"/>
    <s v="Los Angeles"/>
    <s v="Shanghai"/>
    <x v="1"/>
    <x v="2"/>
    <s v="High Cube"/>
    <n v="2"/>
    <s v="Textiles"/>
    <n v="53642.01"/>
    <n v="16016.51"/>
    <n v="2360.88"/>
    <n v="1501.92"/>
    <n v="536.41999999999996"/>
    <n v="254.52"/>
    <n v="1241.27"/>
    <n v="31730.49"/>
    <n v="24"/>
    <x v="0"/>
    <n v="133.47"/>
    <x v="0"/>
    <s v="Pending"/>
    <s v="Critical"/>
    <s v="L. Chen"/>
    <s v="Middle East"/>
    <x v="2"/>
  </r>
  <r>
    <x v="316"/>
    <s v="BK50317"/>
    <d v="2025-05-25T00:00:00"/>
    <d v="2025-05-28T00:00:00"/>
    <d v="2025-06-12T00:00:00"/>
    <x v="6"/>
    <s v="Pharma"/>
    <s v="USA"/>
    <s v="Shanghai"/>
    <s v="Rotterdam"/>
    <x v="3"/>
    <x v="2"/>
    <s v="Reefer"/>
    <n v="4"/>
    <s v="Electronics"/>
    <n v="143155.96"/>
    <n v="33948.49"/>
    <n v="10473.030000000001"/>
    <n v="3069.59"/>
    <n v="1431.56"/>
    <n v="847.87"/>
    <n v="1734.94"/>
    <n v="91650.48"/>
    <n v="48"/>
    <x v="4"/>
    <n v="282.89999999999998"/>
    <x v="0"/>
    <s v="Pending"/>
    <s v="Standard"/>
    <s v="A. Tan"/>
    <s v="North America"/>
    <x v="6"/>
  </r>
  <r>
    <x v="317"/>
    <s v="BK50318"/>
    <d v="2025-10-15T00:00:00"/>
    <d v="2025-10-19T00:00:00"/>
    <d v="2025-11-04T00:00:00"/>
    <x v="8"/>
    <s v="Retail"/>
    <s v="Sweden"/>
    <s v="Singapore"/>
    <s v="Rotterdam"/>
    <x v="3"/>
    <x v="7"/>
    <s v="40FT"/>
    <n v="2"/>
    <s v="Furniture"/>
    <n v="13088.93"/>
    <n v="3612.8"/>
    <n v="733.78"/>
    <n v="181.58"/>
    <n v="130.88999999999999"/>
    <n v="782.73"/>
    <n v="2101.9699999999998"/>
    <n v="5545.18"/>
    <n v="48"/>
    <x v="4"/>
    <n v="30.11"/>
    <x v="0"/>
    <s v="Paid"/>
    <s v="Critical"/>
    <s v="J. Smith"/>
    <s v="Europe"/>
    <x v="7"/>
  </r>
  <r>
    <x v="318"/>
    <s v="BK50319"/>
    <d v="2025-03-22T00:00:00"/>
    <d v="2025-03-23T00:00:00"/>
    <d v="2025-04-06T00:00:00"/>
    <x v="1"/>
    <s v="FMCG"/>
    <s v="UK"/>
    <s v="Singapore"/>
    <s v="Rotterdam"/>
    <x v="3"/>
    <x v="2"/>
    <s v="High Cube"/>
    <n v="1"/>
    <s v="Auto Parts"/>
    <n v="13958.92"/>
    <n v="2519.16"/>
    <n v="866.17"/>
    <n v="267.8"/>
    <n v="139.59"/>
    <n v="428.55"/>
    <n v="411.54"/>
    <n v="9326.11"/>
    <n v="0"/>
    <x v="3"/>
    <n v="20.99"/>
    <x v="1"/>
    <s v="Pending"/>
    <s v="Standard"/>
    <s v="M. Ahmed"/>
    <s v="Europe"/>
    <x v="5"/>
  </r>
  <r>
    <x v="319"/>
    <s v="BK50320"/>
    <d v="2025-11-13T00:00:00"/>
    <d v="2025-11-14T00:00:00"/>
    <d v="2025-12-08T00:00:00"/>
    <x v="6"/>
    <s v="Pharma"/>
    <s v="USA"/>
    <s v="Colombo"/>
    <s v="Singapore"/>
    <x v="4"/>
    <x v="4"/>
    <s v="40FT"/>
    <n v="4"/>
    <s v="Machinery"/>
    <n v="124440.78"/>
    <n v="23872.69"/>
    <n v="7425.23"/>
    <n v="2474.73"/>
    <n v="1244.4100000000001"/>
    <n v="160.69"/>
    <n v="760.78"/>
    <n v="88502.25"/>
    <n v="48"/>
    <x v="5"/>
    <n v="198.94"/>
    <x v="0"/>
    <s v="Pending"/>
    <s v="Critical"/>
    <s v="A. Tan"/>
    <s v="Europe"/>
    <x v="8"/>
  </r>
  <r>
    <x v="320"/>
    <s v="BK50321"/>
    <d v="2025-01-21T00:00:00"/>
    <d v="2025-01-23T00:00:00"/>
    <d v="2025-02-07T00:00:00"/>
    <x v="9"/>
    <s v="Engineering"/>
    <s v="Germany"/>
    <s v="Singapore"/>
    <s v="Rotterdam"/>
    <x v="3"/>
    <x v="4"/>
    <s v="20FT"/>
    <n v="1"/>
    <s v="Machinery"/>
    <n v="41448.75"/>
    <n v="12203.35"/>
    <n v="2637.66"/>
    <n v="1190.0999999999999"/>
    <n v="414.49"/>
    <n v="197"/>
    <n v="1140.6400000000001"/>
    <n v="23665.51"/>
    <n v="0"/>
    <x v="3"/>
    <n v="101.69"/>
    <x v="1"/>
    <s v="Paid"/>
    <s v="Critical"/>
    <s v="L. Chen"/>
    <s v="Middle East"/>
    <x v="11"/>
  </r>
  <r>
    <x v="321"/>
    <s v="BK50322"/>
    <d v="2025-10-10T00:00:00"/>
    <d v="2025-10-11T00:00:00"/>
    <d v="2025-11-01T00:00:00"/>
    <x v="5"/>
    <s v="Food"/>
    <s v="Switzerland"/>
    <s v="Jebel Ali"/>
    <s v="Nhava Sheva"/>
    <x v="2"/>
    <x v="7"/>
    <s v="Reefer"/>
    <n v="2"/>
    <s v="Machinery"/>
    <n v="41669.71"/>
    <n v="11042.03"/>
    <n v="2934.94"/>
    <n v="490.67"/>
    <n v="416.7"/>
    <n v="326.02999999999997"/>
    <n v="1363.75"/>
    <n v="25095.59"/>
    <n v="12"/>
    <x v="0"/>
    <n v="92.02"/>
    <x v="0"/>
    <s v="Pending"/>
    <s v="High"/>
    <s v="M. Ahmed"/>
    <s v="Asia"/>
    <x v="7"/>
  </r>
  <r>
    <x v="322"/>
    <s v="BK50323"/>
    <d v="2025-04-09T00:00:00"/>
    <d v="2025-04-11T00:00:00"/>
    <d v="2025-05-03T00:00:00"/>
    <x v="5"/>
    <s v="Food"/>
    <s v="Switzerland"/>
    <s v="Singapore"/>
    <s v="Rotterdam"/>
    <x v="3"/>
    <x v="0"/>
    <s v="40FT"/>
    <n v="2"/>
    <s v="Textiles"/>
    <n v="28102.76"/>
    <n v="4635.8"/>
    <n v="1414.52"/>
    <n v="398.38"/>
    <n v="281.02999999999997"/>
    <n v="318.08"/>
    <n v="1038.3399999999999"/>
    <n v="20016.61"/>
    <n v="0"/>
    <x v="3"/>
    <n v="38.630000000000003"/>
    <x v="1"/>
    <s v="Paid"/>
    <s v="Critical"/>
    <s v="J. Smith"/>
    <s v="Asia"/>
    <x v="10"/>
  </r>
  <r>
    <x v="323"/>
    <s v="BK50324"/>
    <d v="2025-09-09T00:00:00"/>
    <d v="2025-09-13T00:00:00"/>
    <d v="2025-09-26T00:00:00"/>
    <x v="5"/>
    <s v="Food"/>
    <s v="Switzerland"/>
    <s v="Nhava Sheva"/>
    <s v="Colombo"/>
    <x v="1"/>
    <x v="6"/>
    <s v="High Cube"/>
    <n v="2"/>
    <s v="Textiles"/>
    <n v="53264.44"/>
    <n v="10353.98"/>
    <n v="2543.73"/>
    <n v="547.32000000000005"/>
    <n v="532.64"/>
    <n v="545.14"/>
    <n v="408.29"/>
    <n v="38333.339999999997"/>
    <n v="4"/>
    <x v="5"/>
    <n v="86.28"/>
    <x v="0"/>
    <s v="Pending"/>
    <s v="High"/>
    <s v="R. Mehta"/>
    <s v="North America"/>
    <x v="3"/>
  </r>
  <r>
    <x v="324"/>
    <s v="BK50325"/>
    <d v="2025-08-05T00:00:00"/>
    <d v="2025-08-06T00:00:00"/>
    <d v="2025-08-19T00:00:00"/>
    <x v="7"/>
    <s v="Retail"/>
    <s v="Germany"/>
    <s v="Shanghai"/>
    <s v="Rotterdam"/>
    <x v="3"/>
    <x v="4"/>
    <s v="Reefer"/>
    <n v="1"/>
    <s v="Food"/>
    <n v="39776.410000000003"/>
    <n v="8466.7199999999993"/>
    <n v="2760.72"/>
    <n v="603.38"/>
    <n v="397.76"/>
    <n v="651.30999999999995"/>
    <n v="1608.54"/>
    <n v="25287.98"/>
    <n v="48"/>
    <x v="0"/>
    <n v="70.56"/>
    <x v="0"/>
    <s v="Pending"/>
    <s v="High"/>
    <s v="L. Chen"/>
    <s v="North America"/>
    <x v="4"/>
  </r>
  <r>
    <x v="325"/>
    <s v="BK50326"/>
    <d v="2025-05-02T00:00:00"/>
    <d v="2025-05-06T00:00:00"/>
    <d v="2025-05-21T00:00:00"/>
    <x v="7"/>
    <s v="Retail"/>
    <s v="Germany"/>
    <s v="Busan"/>
    <s v="Los Angeles"/>
    <x v="0"/>
    <x v="7"/>
    <s v="20FT"/>
    <n v="2"/>
    <s v="Auto Parts"/>
    <n v="48610.400000000001"/>
    <n v="10678.78"/>
    <n v="3510.62"/>
    <n v="827.29"/>
    <n v="486.1"/>
    <n v="504.07"/>
    <n v="2037.81"/>
    <n v="30565.73"/>
    <n v="4"/>
    <x v="5"/>
    <n v="88.99"/>
    <x v="0"/>
    <s v="Paid"/>
    <s v="Standard"/>
    <s v="R. Mehta"/>
    <s v="North America"/>
    <x v="6"/>
  </r>
  <r>
    <x v="326"/>
    <s v="BK50327"/>
    <d v="2025-09-26T00:00:00"/>
    <d v="2025-09-29T00:00:00"/>
    <d v="2025-10-20T00:00:00"/>
    <x v="2"/>
    <s v="Electronics"/>
    <s v="South Korea"/>
    <s v="Colombo"/>
    <s v="Singapore"/>
    <x v="4"/>
    <x v="3"/>
    <s v="High Cube"/>
    <n v="1"/>
    <s v="Auto Parts"/>
    <n v="18925.62"/>
    <n v="3766.19"/>
    <n v="1087.97"/>
    <n v="241.94"/>
    <n v="189.26"/>
    <n v="621.37"/>
    <n v="1864.76"/>
    <n v="11154.13"/>
    <n v="24"/>
    <x v="1"/>
    <n v="31.38"/>
    <x v="0"/>
    <s v="Pending"/>
    <s v="Critical"/>
    <s v="A. Tan"/>
    <s v="Europe"/>
    <x v="3"/>
  </r>
  <r>
    <x v="327"/>
    <s v="BK50328"/>
    <d v="2025-10-20T00:00:00"/>
    <d v="2025-10-23T00:00:00"/>
    <d v="2025-11-04T00:00:00"/>
    <x v="4"/>
    <s v="Manufacturing"/>
    <s v="Germany"/>
    <s v="Jebel Ali"/>
    <s v="Busan"/>
    <x v="1"/>
    <x v="5"/>
    <s v="Reefer"/>
    <n v="4"/>
    <s v="Electronics"/>
    <n v="83628.94"/>
    <n v="22612.91"/>
    <n v="4329.09"/>
    <n v="1640.16"/>
    <n v="836.29"/>
    <n v="767.13"/>
    <n v="1824.68"/>
    <n v="51618.68"/>
    <n v="4"/>
    <x v="5"/>
    <n v="188.44"/>
    <x v="0"/>
    <s v="Paid"/>
    <s v="Standard"/>
    <s v="M. Ahmed"/>
    <s v="North America"/>
    <x v="7"/>
  </r>
  <r>
    <x v="328"/>
    <s v="BK50329"/>
    <d v="2025-02-05T00:00:00"/>
    <d v="2025-02-07T00:00:00"/>
    <d v="2025-02-21T00:00:00"/>
    <x v="2"/>
    <s v="Electronics"/>
    <s v="South Korea"/>
    <s v="Hamburg"/>
    <s v="Jebel Ali"/>
    <x v="1"/>
    <x v="2"/>
    <s v="High Cube"/>
    <n v="4"/>
    <s v="Electronics"/>
    <n v="66587.360000000001"/>
    <n v="12477.09"/>
    <n v="3929.2"/>
    <n v="748.84"/>
    <n v="665.87"/>
    <n v="101.74"/>
    <n v="1225.42"/>
    <n v="47439.199999999997"/>
    <n v="36"/>
    <x v="4"/>
    <n v="103.98"/>
    <x v="0"/>
    <s v="Pending"/>
    <s v="Standard"/>
    <s v="M. Ahmed"/>
    <s v="Asia"/>
    <x v="9"/>
  </r>
  <r>
    <x v="329"/>
    <s v="BK50330"/>
    <d v="2025-12-09T00:00:00"/>
    <d v="2025-12-11T00:00:00"/>
    <d v="2026-01-07T00:00:00"/>
    <x v="5"/>
    <s v="Food"/>
    <s v="Switzerland"/>
    <s v="Nhava Sheva"/>
    <s v="Colombo"/>
    <x v="1"/>
    <x v="7"/>
    <s v="20FT"/>
    <n v="2"/>
    <s v="Furniture"/>
    <n v="62872.11"/>
    <n v="13077.98"/>
    <n v="2997.44"/>
    <n v="740.58"/>
    <n v="628.72"/>
    <n v="542.36"/>
    <n v="1453.78"/>
    <n v="43431.25"/>
    <n v="0"/>
    <x v="3"/>
    <n v="108.98"/>
    <x v="1"/>
    <s v="Paid"/>
    <s v="High"/>
    <s v="J. Smith"/>
    <s v="Asia"/>
    <x v="2"/>
  </r>
  <r>
    <x v="330"/>
    <s v="BK50331"/>
    <d v="2025-04-16T00:00:00"/>
    <d v="2025-04-19T00:00:00"/>
    <d v="2025-05-14T00:00:00"/>
    <x v="5"/>
    <s v="Food"/>
    <s v="Switzerland"/>
    <s v="Rotterdam"/>
    <s v="Jebel Ali"/>
    <x v="1"/>
    <x v="1"/>
    <s v="20FT"/>
    <n v="1"/>
    <s v="Food"/>
    <n v="12260.25"/>
    <n v="2814.76"/>
    <n v="563.82000000000005"/>
    <n v="124.69"/>
    <n v="122.6"/>
    <n v="165.59"/>
    <n v="1498.19"/>
    <n v="6970.6"/>
    <n v="0"/>
    <x v="3"/>
    <n v="23.46"/>
    <x v="1"/>
    <s v="Pending"/>
    <s v="Standard"/>
    <s v="L. Chen"/>
    <s v="North America"/>
    <x v="10"/>
  </r>
  <r>
    <x v="331"/>
    <s v="BK50332"/>
    <d v="2025-03-22T00:00:00"/>
    <d v="2025-03-24T00:00:00"/>
    <d v="2025-04-14T00:00:00"/>
    <x v="9"/>
    <s v="Engineering"/>
    <s v="Germany"/>
    <s v="Jebel Ali"/>
    <s v="Nhava Sheva"/>
    <x v="2"/>
    <x v="2"/>
    <s v="High Cube"/>
    <n v="1"/>
    <s v="Textiles"/>
    <n v="29759.15"/>
    <n v="7991.68"/>
    <n v="2241.2600000000002"/>
    <n v="878.94"/>
    <n v="297.58999999999997"/>
    <n v="550.94000000000005"/>
    <n v="2412.88"/>
    <n v="15385.86"/>
    <n v="24"/>
    <x v="4"/>
    <n v="66.599999999999994"/>
    <x v="0"/>
    <s v="Pending"/>
    <s v="Standard"/>
    <s v="M. Ahmed"/>
    <s v="Asia"/>
    <x v="5"/>
  </r>
  <r>
    <x v="332"/>
    <s v="BK50333"/>
    <d v="2025-09-08T00:00:00"/>
    <d v="2025-09-11T00:00:00"/>
    <d v="2025-09-22T00:00:00"/>
    <x v="10"/>
    <s v="E-commerce"/>
    <s v="USA"/>
    <s v="Shanghai"/>
    <s v="Jebel Ali"/>
    <x v="1"/>
    <x v="2"/>
    <s v="High Cube"/>
    <n v="1"/>
    <s v="Chemicals"/>
    <n v="22095.77"/>
    <n v="5542.93"/>
    <n v="1120.55"/>
    <n v="577.16999999999996"/>
    <n v="220.96"/>
    <n v="871.47"/>
    <n v="2142.35"/>
    <n v="11620.34"/>
    <n v="0"/>
    <x v="3"/>
    <n v="46.19"/>
    <x v="1"/>
    <s v="Pending"/>
    <s v="High"/>
    <s v="R. Mehta"/>
    <s v="Middle East"/>
    <x v="3"/>
  </r>
  <r>
    <x v="333"/>
    <s v="BK50334"/>
    <d v="2025-02-02T00:00:00"/>
    <d v="2025-02-05T00:00:00"/>
    <d v="2025-03-02T00:00:00"/>
    <x v="11"/>
    <s v="Automotive"/>
    <s v="Japan"/>
    <s v="Hamburg"/>
    <s v="Rotterdam"/>
    <x v="1"/>
    <x v="3"/>
    <s v="20FT"/>
    <n v="2"/>
    <s v="Auto Parts"/>
    <n v="75477.97"/>
    <n v="17879.080000000002"/>
    <n v="4137.49"/>
    <n v="1059.43"/>
    <n v="754.78"/>
    <n v="101.82"/>
    <n v="1681.61"/>
    <n v="49863.76"/>
    <n v="0"/>
    <x v="3"/>
    <n v="148.99"/>
    <x v="1"/>
    <s v="Pending"/>
    <s v="Standard"/>
    <s v="J. Smith"/>
    <s v="Europe"/>
    <x v="9"/>
  </r>
  <r>
    <x v="334"/>
    <s v="BK50335"/>
    <d v="2025-11-30T00:00:00"/>
    <d v="2025-12-02T00:00:00"/>
    <d v="2025-12-17T00:00:00"/>
    <x v="3"/>
    <s v="Electronics"/>
    <s v="South Korea"/>
    <s v="Jebel Ali"/>
    <s v="Nhava Sheva"/>
    <x v="2"/>
    <x v="2"/>
    <s v="40FT"/>
    <n v="2"/>
    <s v="Textiles"/>
    <n v="47037.18"/>
    <n v="13999.68"/>
    <n v="3749.42"/>
    <n v="895.96"/>
    <n v="470.37"/>
    <n v="131.79"/>
    <n v="1619.77"/>
    <n v="26170.19"/>
    <n v="4"/>
    <x v="5"/>
    <n v="116.66"/>
    <x v="0"/>
    <s v="Pending"/>
    <s v="Critical"/>
    <s v="M. Ahmed"/>
    <s v="Middle East"/>
    <x v="8"/>
  </r>
  <r>
    <x v="335"/>
    <s v="BK50336"/>
    <d v="2025-06-15T00:00:00"/>
    <d v="2025-06-17T00:00:00"/>
    <d v="2025-07-13T00:00:00"/>
    <x v="6"/>
    <s v="Pharma"/>
    <s v="USA"/>
    <s v="Shanghai"/>
    <s v="Los Angeles"/>
    <x v="1"/>
    <x v="0"/>
    <s v="20FT"/>
    <n v="2"/>
    <s v="Auto Parts"/>
    <n v="87751.8"/>
    <n v="20733.349999999999"/>
    <n v="4954.8599999999997"/>
    <n v="2204.13"/>
    <n v="877.52"/>
    <n v="551"/>
    <n v="1170.6300000000001"/>
    <n v="57260.31"/>
    <n v="24"/>
    <x v="4"/>
    <n v="172.78"/>
    <x v="0"/>
    <s v="Paid"/>
    <s v="High"/>
    <s v="J. Smith"/>
    <s v="North America"/>
    <x v="0"/>
  </r>
  <r>
    <x v="336"/>
    <s v="BK50337"/>
    <d v="2025-06-22T00:00:00"/>
    <d v="2025-06-26T00:00:00"/>
    <d v="2025-07-18T00:00:00"/>
    <x v="2"/>
    <s v="Electronics"/>
    <s v="South Korea"/>
    <s v="Shanghai"/>
    <s v="Rotterdam"/>
    <x v="3"/>
    <x v="2"/>
    <s v="20FT"/>
    <n v="4"/>
    <s v="Chemicals"/>
    <n v="100162.54"/>
    <n v="22682.52"/>
    <n v="7503.69"/>
    <n v="1901.41"/>
    <n v="1001.63"/>
    <n v="519.76"/>
    <n v="1247.1400000000001"/>
    <n v="65306.39"/>
    <n v="0"/>
    <x v="3"/>
    <n v="189.02"/>
    <x v="1"/>
    <s v="Pending"/>
    <s v="High"/>
    <s v="M. Ahmed"/>
    <s v="Asia"/>
    <x v="0"/>
  </r>
  <r>
    <x v="337"/>
    <s v="BK50338"/>
    <d v="2025-01-25T00:00:00"/>
    <d v="2025-01-26T00:00:00"/>
    <d v="2025-02-10T00:00:00"/>
    <x v="10"/>
    <s v="E-commerce"/>
    <s v="USA"/>
    <s v="Shanghai"/>
    <s v="Rotterdam"/>
    <x v="3"/>
    <x v="2"/>
    <s v="40FT"/>
    <n v="2"/>
    <s v="Auto Parts"/>
    <n v="55381.54"/>
    <n v="16612.37"/>
    <n v="3590.9"/>
    <n v="1093.99"/>
    <n v="553.82000000000005"/>
    <n v="146.38999999999999"/>
    <n v="888.1"/>
    <n v="32495.97"/>
    <n v="48"/>
    <x v="1"/>
    <n v="138.44"/>
    <x v="0"/>
    <s v="Pending"/>
    <s v="High"/>
    <s v="J. Smith"/>
    <s v="North America"/>
    <x v="11"/>
  </r>
  <r>
    <x v="338"/>
    <s v="BK50339"/>
    <d v="2025-03-16T00:00:00"/>
    <d v="2025-03-19T00:00:00"/>
    <d v="2025-04-15T00:00:00"/>
    <x v="1"/>
    <s v="FMCG"/>
    <s v="UK"/>
    <s v="Jebel Ali"/>
    <s v="Nhava Sheva"/>
    <x v="2"/>
    <x v="4"/>
    <s v="40FT"/>
    <n v="4"/>
    <s v="Machinery"/>
    <n v="172860.73"/>
    <n v="35993.18"/>
    <n v="12811.89"/>
    <n v="4151.33"/>
    <n v="1728.61"/>
    <n v="812.65"/>
    <n v="1525.5"/>
    <n v="115837.57"/>
    <n v="24"/>
    <x v="5"/>
    <n v="299.94"/>
    <x v="0"/>
    <s v="Paid"/>
    <s v="Standard"/>
    <s v="L. Chen"/>
    <s v="Europe"/>
    <x v="5"/>
  </r>
  <r>
    <x v="339"/>
    <s v="BK50340"/>
    <d v="2025-01-25T00:00:00"/>
    <d v="2025-01-27T00:00:00"/>
    <d v="2025-02-23T00:00:00"/>
    <x v="3"/>
    <s v="Electronics"/>
    <s v="South Korea"/>
    <s v="Los Angeles"/>
    <s v="Shanghai"/>
    <x v="1"/>
    <x v="7"/>
    <s v="20FT"/>
    <n v="4"/>
    <s v="Chemicals"/>
    <n v="153519.73000000001"/>
    <n v="28633.42"/>
    <n v="8096.61"/>
    <n v="2259.6799999999998"/>
    <n v="1535.2"/>
    <n v="338.57"/>
    <n v="1877.22"/>
    <n v="110779.03"/>
    <n v="12"/>
    <x v="0"/>
    <n v="238.61"/>
    <x v="0"/>
    <s v="Paid"/>
    <s v="Critical"/>
    <s v="M. Ahmed"/>
    <s v="North America"/>
    <x v="11"/>
  </r>
  <r>
    <x v="340"/>
    <s v="BK50341"/>
    <d v="2025-08-25T00:00:00"/>
    <d v="2025-08-26T00:00:00"/>
    <d v="2025-09-17T00:00:00"/>
    <x v="8"/>
    <s v="Retail"/>
    <s v="Sweden"/>
    <s v="Busan"/>
    <s v="Singapore"/>
    <x v="1"/>
    <x v="2"/>
    <s v="40FT"/>
    <n v="4"/>
    <s v="Auto Parts"/>
    <n v="124720.57"/>
    <n v="19998.34"/>
    <n v="7632.16"/>
    <n v="2054.92"/>
    <n v="1247.21"/>
    <n v="173.29"/>
    <n v="1624.61"/>
    <n v="91990.04"/>
    <n v="0"/>
    <x v="3"/>
    <n v="166.65"/>
    <x v="1"/>
    <s v="Paid"/>
    <s v="Standard"/>
    <s v="R. Mehta"/>
    <s v="Middle East"/>
    <x v="4"/>
  </r>
  <r>
    <x v="341"/>
    <s v="BK50342"/>
    <d v="2025-06-27T00:00:00"/>
    <d v="2025-06-30T00:00:00"/>
    <d v="2025-07-27T00:00:00"/>
    <x v="2"/>
    <s v="Electronics"/>
    <s v="South Korea"/>
    <s v="Los Angeles"/>
    <s v="Nhava Sheva"/>
    <x v="1"/>
    <x v="0"/>
    <s v="40FT"/>
    <n v="2"/>
    <s v="Textiles"/>
    <n v="39530.57"/>
    <n v="8079.28"/>
    <n v="1716.76"/>
    <n v="990.49"/>
    <n v="395.31"/>
    <n v="305.33999999999997"/>
    <n v="348.15"/>
    <n v="27695.24"/>
    <n v="4"/>
    <x v="5"/>
    <n v="67.33"/>
    <x v="0"/>
    <s v="Paid"/>
    <s v="High"/>
    <s v="R. Mehta"/>
    <s v="Europe"/>
    <x v="0"/>
  </r>
  <r>
    <x v="342"/>
    <s v="BK50343"/>
    <d v="2025-10-01T00:00:00"/>
    <d v="2025-10-02T00:00:00"/>
    <d v="2025-10-20T00:00:00"/>
    <x v="4"/>
    <s v="Manufacturing"/>
    <s v="Germany"/>
    <s v="Jebel Ali"/>
    <s v="Nhava Sheva"/>
    <x v="2"/>
    <x v="2"/>
    <s v="40FT"/>
    <n v="1"/>
    <s v="Furniture"/>
    <n v="43328.98"/>
    <n v="11605.73"/>
    <n v="2288.2800000000002"/>
    <n v="580.35"/>
    <n v="433.29"/>
    <n v="251.23"/>
    <n v="669.87"/>
    <n v="27500.23"/>
    <n v="8"/>
    <x v="2"/>
    <n v="96.71"/>
    <x v="0"/>
    <s v="Pending"/>
    <s v="High"/>
    <s v="L. Chen"/>
    <s v="Europe"/>
    <x v="7"/>
  </r>
  <r>
    <x v="343"/>
    <s v="BK50344"/>
    <d v="2025-11-11T00:00:00"/>
    <d v="2025-11-14T00:00:00"/>
    <d v="2025-12-05T00:00:00"/>
    <x v="2"/>
    <s v="Electronics"/>
    <s v="South Korea"/>
    <s v="Los Angeles"/>
    <s v="New York"/>
    <x v="1"/>
    <x v="0"/>
    <s v="High Cube"/>
    <n v="2"/>
    <s v="Chemicals"/>
    <n v="54519.83"/>
    <n v="15949.51"/>
    <n v="2942.11"/>
    <n v="1008.44"/>
    <n v="545.20000000000005"/>
    <n v="877.32"/>
    <n v="1839.95"/>
    <n v="31357.3"/>
    <n v="48"/>
    <x v="2"/>
    <n v="132.91"/>
    <x v="0"/>
    <s v="Paid"/>
    <s v="Critical"/>
    <s v="L. Chen"/>
    <s v="Asia"/>
    <x v="8"/>
  </r>
  <r>
    <x v="344"/>
    <s v="BK50345"/>
    <d v="2025-06-19T00:00:00"/>
    <d v="2025-06-23T00:00:00"/>
    <d v="2025-07-21T00:00:00"/>
    <x v="10"/>
    <s v="E-commerce"/>
    <s v="USA"/>
    <s v="Colombo"/>
    <s v="Singapore"/>
    <x v="4"/>
    <x v="7"/>
    <s v="40FT"/>
    <n v="4"/>
    <s v="Food"/>
    <n v="106978.89"/>
    <n v="30454.83"/>
    <n v="8214.92"/>
    <n v="1927.74"/>
    <n v="1069.79"/>
    <n v="592.91999999999996"/>
    <n v="2343.71"/>
    <n v="62374.98"/>
    <n v="4"/>
    <x v="2"/>
    <n v="253.79"/>
    <x v="0"/>
    <s v="Pending"/>
    <s v="Standard"/>
    <s v="R. Mehta"/>
    <s v="Asia"/>
    <x v="0"/>
  </r>
  <r>
    <x v="345"/>
    <s v="BK50346"/>
    <d v="2025-06-20T00:00:00"/>
    <d v="2025-06-24T00:00:00"/>
    <d v="2025-07-07T00:00:00"/>
    <x v="4"/>
    <s v="Manufacturing"/>
    <s v="Germany"/>
    <s v="Singapore"/>
    <s v="Rotterdam"/>
    <x v="3"/>
    <x v="2"/>
    <s v="Reefer"/>
    <n v="4"/>
    <s v="Auto Parts"/>
    <n v="69320.570000000007"/>
    <n v="12232.46"/>
    <n v="3356.01"/>
    <n v="1568.73"/>
    <n v="693.21"/>
    <n v="611.95000000000005"/>
    <n v="412.35"/>
    <n v="50445.86"/>
    <n v="0"/>
    <x v="3"/>
    <n v="101.94"/>
    <x v="1"/>
    <s v="Paid"/>
    <s v="Critical"/>
    <s v="R. Mehta"/>
    <s v="Middle East"/>
    <x v="0"/>
  </r>
  <r>
    <x v="346"/>
    <s v="BK50347"/>
    <d v="2025-10-25T00:00:00"/>
    <d v="2025-10-26T00:00:00"/>
    <d v="2025-11-15T00:00:00"/>
    <x v="0"/>
    <s v="Retail"/>
    <s v="India"/>
    <s v="New York"/>
    <s v="Rotterdam"/>
    <x v="1"/>
    <x v="4"/>
    <s v="High Cube"/>
    <n v="4"/>
    <s v="Auto Parts"/>
    <n v="47395.1"/>
    <n v="12332.83"/>
    <n v="3768.2"/>
    <n v="719.61"/>
    <n v="473.95"/>
    <n v="139.63999999999999"/>
    <n v="703.9"/>
    <n v="29256.97"/>
    <n v="36"/>
    <x v="5"/>
    <n v="102.77"/>
    <x v="0"/>
    <s v="Paid"/>
    <s v="Critical"/>
    <s v="J. Smith"/>
    <s v="Middle East"/>
    <x v="7"/>
  </r>
  <r>
    <x v="347"/>
    <s v="BK50348"/>
    <d v="2025-06-15T00:00:00"/>
    <d v="2025-06-16T00:00:00"/>
    <d v="2025-07-09T00:00:00"/>
    <x v="5"/>
    <s v="Food"/>
    <s v="Switzerland"/>
    <s v="Singapore"/>
    <s v="Rotterdam"/>
    <x v="3"/>
    <x v="6"/>
    <s v="Reefer"/>
    <n v="2"/>
    <s v="Chemicals"/>
    <n v="72990.25"/>
    <n v="14508.05"/>
    <n v="5644.54"/>
    <n v="1155.1199999999999"/>
    <n v="729.9"/>
    <n v="448.72"/>
    <n v="2192.9299999999998"/>
    <n v="48310.99"/>
    <n v="8"/>
    <x v="4"/>
    <n v="120.9"/>
    <x v="0"/>
    <s v="Pending"/>
    <s v="Critical"/>
    <s v="A. Tan"/>
    <s v="Asia"/>
    <x v="0"/>
  </r>
  <r>
    <x v="348"/>
    <s v="BK50349"/>
    <d v="2025-01-19T00:00:00"/>
    <d v="2025-01-21T00:00:00"/>
    <d v="2025-02-04T00:00:00"/>
    <x v="5"/>
    <s v="Food"/>
    <s v="Switzerland"/>
    <s v="Shanghai"/>
    <s v="Rotterdam"/>
    <x v="3"/>
    <x v="3"/>
    <s v="40FT"/>
    <n v="1"/>
    <s v="Furniture"/>
    <n v="12352.24"/>
    <n v="3321.7"/>
    <n v="525.48"/>
    <n v="136.06"/>
    <n v="123.52"/>
    <n v="551.53"/>
    <n v="2121.4499999999998"/>
    <n v="5572.5"/>
    <n v="4"/>
    <x v="2"/>
    <n v="27.68"/>
    <x v="0"/>
    <s v="Pending"/>
    <s v="High"/>
    <s v="J. Smith"/>
    <s v="Europe"/>
    <x v="11"/>
  </r>
  <r>
    <x v="349"/>
    <s v="BK50350"/>
    <d v="2025-07-05T00:00:00"/>
    <d v="2025-07-06T00:00:00"/>
    <d v="2025-07-27T00:00:00"/>
    <x v="1"/>
    <s v="FMCG"/>
    <s v="UK"/>
    <s v="Singapore"/>
    <s v="Rotterdam"/>
    <x v="3"/>
    <x v="3"/>
    <s v="High Cube"/>
    <n v="1"/>
    <s v="Auto Parts"/>
    <n v="7773.65"/>
    <n v="1419.42"/>
    <n v="406.02"/>
    <n v="192.76"/>
    <n v="77.739999999999995"/>
    <n v="563.09"/>
    <n v="1396.19"/>
    <n v="3718.43"/>
    <n v="8"/>
    <x v="0"/>
    <n v="11.83"/>
    <x v="0"/>
    <s v="Paid"/>
    <s v="High"/>
    <s v="J. Smith"/>
    <s v="North America"/>
    <x v="1"/>
  </r>
  <r>
    <x v="350"/>
    <s v="BK50351"/>
    <d v="2025-05-31T00:00:00"/>
    <d v="2025-06-01T00:00:00"/>
    <d v="2025-06-30T00:00:00"/>
    <x v="1"/>
    <s v="FMCG"/>
    <s v="UK"/>
    <s v="Nhava Sheva"/>
    <s v="New York"/>
    <x v="1"/>
    <x v="6"/>
    <s v="Reefer"/>
    <n v="2"/>
    <s v="Textiles"/>
    <n v="30303.39"/>
    <n v="6546.17"/>
    <n v="1887.15"/>
    <n v="339.01"/>
    <n v="303.02999999999997"/>
    <n v="820.44"/>
    <n v="2359.17"/>
    <n v="18048.419999999998"/>
    <n v="48"/>
    <x v="0"/>
    <n v="54.55"/>
    <x v="0"/>
    <s v="Paid"/>
    <s v="High"/>
    <s v="M. Ahmed"/>
    <s v="North America"/>
    <x v="6"/>
  </r>
  <r>
    <x v="351"/>
    <s v="BK50352"/>
    <d v="2025-07-21T00:00:00"/>
    <d v="2025-07-25T00:00:00"/>
    <d v="2025-08-07T00:00:00"/>
    <x v="0"/>
    <s v="Retail"/>
    <s v="India"/>
    <s v="Shanghai"/>
    <s v="Rotterdam"/>
    <x v="3"/>
    <x v="3"/>
    <s v="40FT"/>
    <n v="2"/>
    <s v="Furniture"/>
    <n v="45939.26"/>
    <n v="11297.44"/>
    <n v="3116.2"/>
    <n v="751.37"/>
    <n v="459.39"/>
    <n v="507.71"/>
    <n v="2489.7399999999998"/>
    <n v="27317.41"/>
    <n v="12"/>
    <x v="2"/>
    <n v="94.15"/>
    <x v="0"/>
    <s v="Pending"/>
    <s v="Critical"/>
    <s v="M. Ahmed"/>
    <s v="Middle East"/>
    <x v="1"/>
  </r>
  <r>
    <x v="352"/>
    <s v="BK50353"/>
    <d v="2025-04-27T00:00:00"/>
    <d v="2025-04-28T00:00:00"/>
    <d v="2025-05-10T00:00:00"/>
    <x v="0"/>
    <s v="Retail"/>
    <s v="India"/>
    <s v="Hamburg"/>
    <s v="Colombo"/>
    <x v="1"/>
    <x v="1"/>
    <s v="Reefer"/>
    <n v="2"/>
    <s v="Auto Parts"/>
    <n v="73671.05"/>
    <n v="17456.29"/>
    <n v="4211.8"/>
    <n v="1560.24"/>
    <n v="736.71"/>
    <n v="149.55000000000001"/>
    <n v="945.21"/>
    <n v="48611.25"/>
    <n v="0"/>
    <x v="3"/>
    <n v="145.47"/>
    <x v="1"/>
    <s v="Paid"/>
    <s v="Critical"/>
    <s v="A. Tan"/>
    <s v="Europe"/>
    <x v="10"/>
  </r>
  <r>
    <x v="353"/>
    <s v="BK50354"/>
    <d v="2025-09-18T00:00:00"/>
    <d v="2025-09-20T00:00:00"/>
    <d v="2025-10-19T00:00:00"/>
    <x v="11"/>
    <s v="Automotive"/>
    <s v="Japan"/>
    <s v="Busan"/>
    <s v="Los Angeles"/>
    <x v="0"/>
    <x v="6"/>
    <s v="High Cube"/>
    <n v="2"/>
    <s v="Electronics"/>
    <n v="45765.65"/>
    <n v="11091"/>
    <n v="2215.16"/>
    <n v="663.37"/>
    <n v="457.66"/>
    <n v="486.84"/>
    <n v="1067.7"/>
    <n v="29783.919999999998"/>
    <n v="36"/>
    <x v="4"/>
    <n v="92.42"/>
    <x v="0"/>
    <s v="Paid"/>
    <s v="High"/>
    <s v="L. Chen"/>
    <s v="North America"/>
    <x v="3"/>
  </r>
  <r>
    <x v="354"/>
    <s v="BK50355"/>
    <d v="2025-10-26T00:00:00"/>
    <d v="2025-10-29T00:00:00"/>
    <d v="2025-11-26T00:00:00"/>
    <x v="0"/>
    <s v="Retail"/>
    <s v="India"/>
    <s v="Colombo"/>
    <s v="Nhava Sheva"/>
    <x v="1"/>
    <x v="3"/>
    <s v="Reefer"/>
    <n v="2"/>
    <s v="Textiles"/>
    <n v="45830.91"/>
    <n v="10205.9"/>
    <n v="3174.46"/>
    <n v="1063.44"/>
    <n v="458.31"/>
    <n v="768.6"/>
    <n v="2156.4699999999998"/>
    <n v="28003.73"/>
    <n v="0"/>
    <x v="3"/>
    <n v="85.05"/>
    <x v="1"/>
    <s v="Paid"/>
    <s v="Standard"/>
    <s v="J. Smith"/>
    <s v="North America"/>
    <x v="7"/>
  </r>
  <r>
    <x v="355"/>
    <s v="BK50356"/>
    <d v="2025-09-24T00:00:00"/>
    <d v="2025-09-27T00:00:00"/>
    <d v="2025-10-23T00:00:00"/>
    <x v="6"/>
    <s v="Pharma"/>
    <s v="USA"/>
    <s v="Singapore"/>
    <s v="Rotterdam"/>
    <x v="3"/>
    <x v="3"/>
    <s v="High Cube"/>
    <n v="4"/>
    <s v="Electronics"/>
    <n v="130965.94"/>
    <n v="25344.62"/>
    <n v="10069.08"/>
    <n v="3839.22"/>
    <n v="1309.6600000000001"/>
    <n v="663.07"/>
    <n v="328.73"/>
    <n v="89411.56"/>
    <n v="0"/>
    <x v="3"/>
    <n v="211.21"/>
    <x v="1"/>
    <s v="Pending"/>
    <s v="High"/>
    <s v="L. Chen"/>
    <s v="Asia"/>
    <x v="3"/>
  </r>
  <r>
    <x v="356"/>
    <s v="BK50357"/>
    <d v="2025-12-17T00:00:00"/>
    <d v="2025-12-21T00:00:00"/>
    <d v="2026-01-12T00:00:00"/>
    <x v="0"/>
    <s v="Retail"/>
    <s v="India"/>
    <s v="Shanghai"/>
    <s v="Rotterdam"/>
    <x v="3"/>
    <x v="4"/>
    <s v="40FT"/>
    <n v="2"/>
    <s v="Food"/>
    <n v="25703.64"/>
    <n v="7375.15"/>
    <n v="1711.99"/>
    <n v="371.39"/>
    <n v="257.04000000000002"/>
    <n v="527.14"/>
    <n v="433.63"/>
    <n v="15027.3"/>
    <n v="12"/>
    <x v="0"/>
    <n v="61.46"/>
    <x v="0"/>
    <s v="Pending"/>
    <s v="Standard"/>
    <s v="J. Smith"/>
    <s v="Middle East"/>
    <x v="2"/>
  </r>
  <r>
    <x v="357"/>
    <s v="BK50358"/>
    <d v="2025-04-24T00:00:00"/>
    <d v="2025-04-28T00:00:00"/>
    <d v="2025-05-26T00:00:00"/>
    <x v="6"/>
    <s v="Pharma"/>
    <s v="USA"/>
    <s v="Jebel Ali"/>
    <s v="Nhava Sheva"/>
    <x v="2"/>
    <x v="0"/>
    <s v="High Cube"/>
    <n v="2"/>
    <s v="Auto Parts"/>
    <n v="43683.24"/>
    <n v="10194.33"/>
    <n v="3076.2"/>
    <n v="783.6"/>
    <n v="436.83"/>
    <n v="314.94"/>
    <n v="1522.62"/>
    <n v="27354.720000000001"/>
    <n v="48"/>
    <x v="4"/>
    <n v="84.95"/>
    <x v="0"/>
    <s v="Paid"/>
    <s v="Critical"/>
    <s v="L. Chen"/>
    <s v="Middle East"/>
    <x v="10"/>
  </r>
  <r>
    <x v="358"/>
    <s v="BK50359"/>
    <d v="2025-04-05T00:00:00"/>
    <d v="2025-04-08T00:00:00"/>
    <d v="2025-05-06T00:00:00"/>
    <x v="11"/>
    <s v="Automotive"/>
    <s v="Japan"/>
    <s v="Busan"/>
    <s v="Los Angeles"/>
    <x v="0"/>
    <x v="5"/>
    <s v="20FT"/>
    <n v="2"/>
    <s v="Textiles"/>
    <n v="16542.330000000002"/>
    <n v="3774.38"/>
    <n v="930.49"/>
    <n v="421.43"/>
    <n v="165.42"/>
    <n v="383.34"/>
    <n v="1674.52"/>
    <n v="9192.75"/>
    <n v="0"/>
    <x v="3"/>
    <n v="31.45"/>
    <x v="1"/>
    <s v="Paid"/>
    <s v="Standard"/>
    <s v="J. Smith"/>
    <s v="Middle East"/>
    <x v="10"/>
  </r>
  <r>
    <x v="359"/>
    <s v="BK50360"/>
    <d v="2025-10-10T00:00:00"/>
    <d v="2025-10-12T00:00:00"/>
    <d v="2025-11-01T00:00:00"/>
    <x v="9"/>
    <s v="Engineering"/>
    <s v="Germany"/>
    <s v="Busan"/>
    <s v="Los Angeles"/>
    <x v="0"/>
    <x v="2"/>
    <s v="40FT"/>
    <n v="4"/>
    <s v="Auto Parts"/>
    <n v="171665.71"/>
    <n v="44594.17"/>
    <n v="11630.82"/>
    <n v="1763.17"/>
    <n v="1716.66"/>
    <n v="110.92"/>
    <n v="1295.73"/>
    <n v="110554.24000000001"/>
    <n v="12"/>
    <x v="5"/>
    <n v="371.62"/>
    <x v="0"/>
    <s v="Pending"/>
    <s v="High"/>
    <s v="M. Ahmed"/>
    <s v="North America"/>
    <x v="7"/>
  </r>
  <r>
    <x v="360"/>
    <s v="BK50361"/>
    <d v="2025-08-25T00:00:00"/>
    <d v="2025-08-26T00:00:00"/>
    <d v="2025-09-07T00:00:00"/>
    <x v="10"/>
    <s v="E-commerce"/>
    <s v="USA"/>
    <s v="Singapore"/>
    <s v="Rotterdam"/>
    <x v="3"/>
    <x v="0"/>
    <s v="20FT"/>
    <n v="4"/>
    <s v="Machinery"/>
    <n v="134522.35"/>
    <n v="29533.24"/>
    <n v="7656.27"/>
    <n v="2518.65"/>
    <n v="1345.22"/>
    <n v="811.4"/>
    <n v="1657.6"/>
    <n v="90999.97"/>
    <n v="8"/>
    <x v="1"/>
    <n v="246.11"/>
    <x v="0"/>
    <s v="Pending"/>
    <s v="Critical"/>
    <s v="R. Mehta"/>
    <s v="Middle East"/>
    <x v="4"/>
  </r>
  <r>
    <x v="361"/>
    <s v="BK50362"/>
    <d v="2025-03-18T00:00:00"/>
    <d v="2025-03-20T00:00:00"/>
    <d v="2025-04-06T00:00:00"/>
    <x v="3"/>
    <s v="Electronics"/>
    <s v="South Korea"/>
    <s v="Rotterdam"/>
    <s v="Hamburg"/>
    <x v="1"/>
    <x v="1"/>
    <s v="Reefer"/>
    <n v="2"/>
    <s v="Textiles"/>
    <n v="45921.33"/>
    <n v="11877.18"/>
    <n v="3302.68"/>
    <n v="954.28"/>
    <n v="459.21"/>
    <n v="806.25"/>
    <n v="496.37"/>
    <n v="28025.360000000001"/>
    <n v="12"/>
    <x v="2"/>
    <n v="98.98"/>
    <x v="0"/>
    <s v="Pending"/>
    <s v="High"/>
    <s v="M. Ahmed"/>
    <s v="Middle East"/>
    <x v="5"/>
  </r>
  <r>
    <x v="362"/>
    <s v="BK50363"/>
    <d v="2025-02-06T00:00:00"/>
    <d v="2025-02-08T00:00:00"/>
    <d v="2025-03-08T00:00:00"/>
    <x v="0"/>
    <s v="Retail"/>
    <s v="India"/>
    <s v="Colombo"/>
    <s v="Singapore"/>
    <x v="4"/>
    <x v="1"/>
    <s v="40FT"/>
    <n v="2"/>
    <s v="Auto Parts"/>
    <n v="42220.47"/>
    <n v="11770.04"/>
    <n v="3097.33"/>
    <n v="684.16"/>
    <n v="422.2"/>
    <n v="151.53"/>
    <n v="1538.24"/>
    <n v="24556.97"/>
    <n v="36"/>
    <x v="0"/>
    <n v="98.08"/>
    <x v="0"/>
    <s v="Pending"/>
    <s v="High"/>
    <s v="M. Ahmed"/>
    <s v="Europe"/>
    <x v="9"/>
  </r>
  <r>
    <x v="363"/>
    <s v="BK50364"/>
    <d v="2025-07-12T00:00:00"/>
    <d v="2025-07-16T00:00:00"/>
    <d v="2025-08-14T00:00:00"/>
    <x v="1"/>
    <s v="FMCG"/>
    <s v="UK"/>
    <s v="Jebel Ali"/>
    <s v="Nhava Sheva"/>
    <x v="2"/>
    <x v="2"/>
    <s v="Reefer"/>
    <n v="2"/>
    <s v="Food"/>
    <n v="28174.6"/>
    <n v="7728.22"/>
    <n v="1442.73"/>
    <n v="766.62"/>
    <n v="281.75"/>
    <n v="574.23"/>
    <n v="2444.42"/>
    <n v="14936.63"/>
    <n v="48"/>
    <x v="4"/>
    <n v="64.400000000000006"/>
    <x v="0"/>
    <s v="Paid"/>
    <s v="Critical"/>
    <s v="A. Tan"/>
    <s v="Middle East"/>
    <x v="1"/>
  </r>
  <r>
    <x v="364"/>
    <s v="BK50365"/>
    <d v="2025-02-03T00:00:00"/>
    <d v="2025-02-06T00:00:00"/>
    <d v="2025-03-03T00:00:00"/>
    <x v="5"/>
    <s v="Food"/>
    <s v="Switzerland"/>
    <s v="Busan"/>
    <s v="Los Angeles"/>
    <x v="0"/>
    <x v="6"/>
    <s v="20FT"/>
    <n v="4"/>
    <s v="Auto Parts"/>
    <n v="42383.23"/>
    <n v="7105.16"/>
    <n v="3082.51"/>
    <n v="565.48"/>
    <n v="423.83"/>
    <n v="268.58999999999997"/>
    <n v="2477.2600000000002"/>
    <n v="28460.400000000001"/>
    <n v="36"/>
    <x v="4"/>
    <n v="59.21"/>
    <x v="0"/>
    <s v="Pending"/>
    <s v="Standard"/>
    <s v="M. Ahmed"/>
    <s v="North America"/>
    <x v="9"/>
  </r>
  <r>
    <x v="365"/>
    <s v="BK50366"/>
    <d v="2025-02-21T00:00:00"/>
    <d v="2025-02-25T00:00:00"/>
    <d v="2025-03-20T00:00:00"/>
    <x v="9"/>
    <s v="Engineering"/>
    <s v="Germany"/>
    <s v="Colombo"/>
    <s v="Singapore"/>
    <x v="4"/>
    <x v="4"/>
    <s v="High Cube"/>
    <n v="2"/>
    <s v="Machinery"/>
    <n v="31409.8"/>
    <n v="6234.92"/>
    <n v="1563.19"/>
    <n v="320.70999999999998"/>
    <n v="314.10000000000002"/>
    <n v="263.35000000000002"/>
    <n v="1378.1"/>
    <n v="21335.43"/>
    <n v="0"/>
    <x v="3"/>
    <n v="51.96"/>
    <x v="1"/>
    <s v="Paid"/>
    <s v="High"/>
    <s v="M. Ahmed"/>
    <s v="Asia"/>
    <x v="9"/>
  </r>
  <r>
    <x v="366"/>
    <s v="BK50367"/>
    <d v="2025-08-09T00:00:00"/>
    <d v="2025-08-10T00:00:00"/>
    <d v="2025-08-23T00:00:00"/>
    <x v="2"/>
    <s v="Electronics"/>
    <s v="South Korea"/>
    <s v="Shanghai"/>
    <s v="Rotterdam"/>
    <x v="3"/>
    <x v="6"/>
    <s v="High Cube"/>
    <n v="2"/>
    <s v="Chemicals"/>
    <n v="21107.919999999998"/>
    <n v="5665.07"/>
    <n v="1102.3599999999999"/>
    <n v="233.93"/>
    <n v="211.08"/>
    <n v="734.33"/>
    <n v="2162.77"/>
    <n v="10998.38"/>
    <n v="24"/>
    <x v="1"/>
    <n v="47.21"/>
    <x v="0"/>
    <s v="Pending"/>
    <s v="High"/>
    <s v="R. Mehta"/>
    <s v="Europe"/>
    <x v="4"/>
  </r>
  <r>
    <x v="367"/>
    <s v="BK50368"/>
    <d v="2025-09-04T00:00:00"/>
    <d v="2025-09-08T00:00:00"/>
    <d v="2025-10-06T00:00:00"/>
    <x v="6"/>
    <s v="Pharma"/>
    <s v="USA"/>
    <s v="Busan"/>
    <s v="Los Angeles"/>
    <x v="0"/>
    <x v="1"/>
    <s v="20FT"/>
    <n v="2"/>
    <s v="Auto Parts"/>
    <n v="15594.43"/>
    <n v="2858.69"/>
    <n v="1163.52"/>
    <n v="440.33"/>
    <n v="155.94"/>
    <n v="217.44"/>
    <n v="1673.21"/>
    <n v="9085.2999999999993"/>
    <n v="0"/>
    <x v="3"/>
    <n v="23.82"/>
    <x v="1"/>
    <s v="Paid"/>
    <s v="Critical"/>
    <s v="A. Tan"/>
    <s v="Europe"/>
    <x v="3"/>
  </r>
  <r>
    <x v="368"/>
    <s v="BK50369"/>
    <d v="2025-05-27T00:00:00"/>
    <d v="2025-05-31T00:00:00"/>
    <d v="2025-06-13T00:00:00"/>
    <x v="2"/>
    <s v="Electronics"/>
    <s v="South Korea"/>
    <s v="Busan"/>
    <s v="Los Angeles"/>
    <x v="0"/>
    <x v="3"/>
    <s v="40FT"/>
    <n v="4"/>
    <s v="Machinery"/>
    <n v="66458.84"/>
    <n v="14870.46"/>
    <n v="3889.15"/>
    <n v="817.2"/>
    <n v="664.59"/>
    <n v="719.84"/>
    <n v="1974.94"/>
    <n v="43522.66"/>
    <n v="8"/>
    <x v="0"/>
    <n v="123.92"/>
    <x v="0"/>
    <s v="Pending"/>
    <s v="Critical"/>
    <s v="L. Chen"/>
    <s v="North America"/>
    <x v="6"/>
  </r>
  <r>
    <x v="369"/>
    <s v="BK50370"/>
    <d v="2025-09-20T00:00:00"/>
    <d v="2025-09-22T00:00:00"/>
    <d v="2025-10-05T00:00:00"/>
    <x v="3"/>
    <s v="Electronics"/>
    <s v="South Korea"/>
    <s v="Colombo"/>
    <s v="Singapore"/>
    <x v="4"/>
    <x v="3"/>
    <s v="20FT"/>
    <n v="4"/>
    <s v="Chemicals"/>
    <n v="126985.45"/>
    <n v="37995.65"/>
    <n v="6877.43"/>
    <n v="2909.26"/>
    <n v="1269.8499999999999"/>
    <n v="589.91"/>
    <n v="332.65"/>
    <n v="77010.7"/>
    <n v="0"/>
    <x v="3"/>
    <n v="316.63"/>
    <x v="1"/>
    <s v="Pending"/>
    <s v="Standard"/>
    <s v="L. Chen"/>
    <s v="Asia"/>
    <x v="3"/>
  </r>
  <r>
    <x v="370"/>
    <s v="BK50371"/>
    <d v="2025-01-31T00:00:00"/>
    <d v="2025-02-03T00:00:00"/>
    <d v="2025-02-15T00:00:00"/>
    <x v="0"/>
    <s v="Retail"/>
    <s v="India"/>
    <s v="Singapore"/>
    <s v="Rotterdam"/>
    <x v="3"/>
    <x v="5"/>
    <s v="20FT"/>
    <n v="1"/>
    <s v="Food"/>
    <n v="18352.849999999999"/>
    <n v="4401.49"/>
    <n v="1418.83"/>
    <n v="400.41"/>
    <n v="183.53"/>
    <n v="415.97"/>
    <n v="1558.63"/>
    <n v="9973.99"/>
    <n v="36"/>
    <x v="4"/>
    <n v="36.68"/>
    <x v="0"/>
    <s v="Paid"/>
    <s v="High"/>
    <s v="A. Tan"/>
    <s v="Europe"/>
    <x v="11"/>
  </r>
  <r>
    <x v="371"/>
    <s v="BK50372"/>
    <d v="2025-04-06T00:00:00"/>
    <d v="2025-04-10T00:00:00"/>
    <d v="2025-04-30T00:00:00"/>
    <x v="7"/>
    <s v="Retail"/>
    <s v="Germany"/>
    <s v="Shanghai"/>
    <s v="Rotterdam"/>
    <x v="3"/>
    <x v="0"/>
    <s v="Reefer"/>
    <n v="2"/>
    <s v="Electronics"/>
    <n v="34471.040000000001"/>
    <n v="9137.3700000000008"/>
    <n v="1996.01"/>
    <n v="996.74"/>
    <n v="344.71"/>
    <n v="215.53"/>
    <n v="1067.78"/>
    <n v="20712.900000000001"/>
    <n v="0"/>
    <x v="3"/>
    <n v="76.14"/>
    <x v="1"/>
    <s v="Pending"/>
    <s v="Standard"/>
    <s v="A. Tan"/>
    <s v="North America"/>
    <x v="10"/>
  </r>
  <r>
    <x v="372"/>
    <s v="BK50373"/>
    <d v="2025-04-19T00:00:00"/>
    <d v="2025-04-23T00:00:00"/>
    <d v="2025-05-09T00:00:00"/>
    <x v="3"/>
    <s v="Electronics"/>
    <s v="South Korea"/>
    <s v="Hamburg"/>
    <s v="Shanghai"/>
    <x v="1"/>
    <x v="2"/>
    <s v="20FT"/>
    <n v="1"/>
    <s v="Machinery"/>
    <n v="11286.29"/>
    <n v="3211.9"/>
    <n v="613.66"/>
    <n v="181.64"/>
    <n v="112.86"/>
    <n v="573.32000000000005"/>
    <n v="1702.93"/>
    <n v="4889.9799999999996"/>
    <n v="0"/>
    <x v="3"/>
    <n v="26.77"/>
    <x v="1"/>
    <s v="Paid"/>
    <s v="Critical"/>
    <s v="R. Mehta"/>
    <s v="North America"/>
    <x v="10"/>
  </r>
  <r>
    <x v="373"/>
    <s v="BK50374"/>
    <d v="2025-02-04T00:00:00"/>
    <d v="2025-02-08T00:00:00"/>
    <d v="2025-02-20T00:00:00"/>
    <x v="4"/>
    <s v="Manufacturing"/>
    <s v="Germany"/>
    <s v="Rotterdam"/>
    <s v="Hamburg"/>
    <x v="1"/>
    <x v="4"/>
    <s v="High Cube"/>
    <n v="1"/>
    <s v="Electronics"/>
    <n v="15796.15"/>
    <n v="2857.73"/>
    <n v="977.41"/>
    <n v="393.03"/>
    <n v="157.96"/>
    <n v="840.83"/>
    <n v="613.96"/>
    <n v="9955.23"/>
    <n v="48"/>
    <x v="0"/>
    <n v="23.81"/>
    <x v="0"/>
    <s v="Pending"/>
    <s v="Standard"/>
    <s v="L. Chen"/>
    <s v="Europe"/>
    <x v="9"/>
  </r>
  <r>
    <x v="374"/>
    <s v="BK50375"/>
    <d v="2025-09-25T00:00:00"/>
    <d v="2025-09-28T00:00:00"/>
    <d v="2025-10-12T00:00:00"/>
    <x v="1"/>
    <s v="FMCG"/>
    <s v="UK"/>
    <s v="Colombo"/>
    <s v="Singapore"/>
    <x v="4"/>
    <x v="5"/>
    <s v="Reefer"/>
    <n v="4"/>
    <s v="Electronics"/>
    <n v="90136.37"/>
    <n v="23811.61"/>
    <n v="4823.97"/>
    <n v="1604.47"/>
    <n v="901.36"/>
    <n v="836.27"/>
    <n v="2273.02"/>
    <n v="55885.67"/>
    <n v="8"/>
    <x v="4"/>
    <n v="198.43"/>
    <x v="0"/>
    <s v="Paid"/>
    <s v="High"/>
    <s v="L. Chen"/>
    <s v="Middle East"/>
    <x v="3"/>
  </r>
  <r>
    <x v="375"/>
    <s v="BK50376"/>
    <d v="2025-03-20T00:00:00"/>
    <d v="2025-03-21T00:00:00"/>
    <d v="2025-04-06T00:00:00"/>
    <x v="4"/>
    <s v="Manufacturing"/>
    <s v="Germany"/>
    <s v="Singapore"/>
    <s v="Rotterdam"/>
    <x v="3"/>
    <x v="3"/>
    <s v="Reefer"/>
    <n v="2"/>
    <s v="Electronics"/>
    <n v="45538.59"/>
    <n v="11285.48"/>
    <n v="2127.5"/>
    <n v="472.67"/>
    <n v="455.39"/>
    <n v="556.44000000000005"/>
    <n v="1846.25"/>
    <n v="28794.86"/>
    <n v="0"/>
    <x v="3"/>
    <n v="94.05"/>
    <x v="1"/>
    <s v="Pending"/>
    <s v="High"/>
    <s v="A. Tan"/>
    <s v="Europe"/>
    <x v="5"/>
  </r>
  <r>
    <x v="376"/>
    <s v="BK50377"/>
    <d v="2025-06-29T00:00:00"/>
    <d v="2025-07-03T00:00:00"/>
    <d v="2025-07-18T00:00:00"/>
    <x v="1"/>
    <s v="FMCG"/>
    <s v="UK"/>
    <s v="Shanghai"/>
    <s v="Rotterdam"/>
    <x v="3"/>
    <x v="3"/>
    <s v="20FT"/>
    <n v="4"/>
    <s v="Auto Parts"/>
    <n v="140912.95999999999"/>
    <n v="24816.65"/>
    <n v="10055.780000000001"/>
    <n v="1707.91"/>
    <n v="1409.13"/>
    <n v="772.88"/>
    <n v="1737.25"/>
    <n v="100413.36"/>
    <n v="24"/>
    <x v="1"/>
    <n v="206.81"/>
    <x v="0"/>
    <s v="Paid"/>
    <s v="Critical"/>
    <s v="J. Smith"/>
    <s v="Asia"/>
    <x v="0"/>
  </r>
  <r>
    <x v="377"/>
    <s v="BK50378"/>
    <d v="2025-11-02T00:00:00"/>
    <d v="2025-11-05T00:00:00"/>
    <d v="2025-11-28T00:00:00"/>
    <x v="7"/>
    <s v="Retail"/>
    <s v="Germany"/>
    <s v="Singapore"/>
    <s v="Rotterdam"/>
    <x v="3"/>
    <x v="5"/>
    <s v="20FT"/>
    <n v="2"/>
    <s v="Furniture"/>
    <n v="64948.6"/>
    <n v="12498.86"/>
    <n v="3094.82"/>
    <n v="1637.94"/>
    <n v="649.49"/>
    <n v="250.19"/>
    <n v="2311.58"/>
    <n v="44505.72"/>
    <n v="0"/>
    <x v="3"/>
    <n v="104.16"/>
    <x v="1"/>
    <s v="Paid"/>
    <s v="High"/>
    <s v="A. Tan"/>
    <s v="Europe"/>
    <x v="8"/>
  </r>
  <r>
    <x v="378"/>
    <s v="BK50379"/>
    <d v="2025-10-06T00:00:00"/>
    <d v="2025-10-07T00:00:00"/>
    <d v="2025-11-05T00:00:00"/>
    <x v="2"/>
    <s v="Electronics"/>
    <s v="South Korea"/>
    <s v="Shanghai"/>
    <s v="Rotterdam"/>
    <x v="3"/>
    <x v="6"/>
    <s v="40FT"/>
    <n v="2"/>
    <s v="Electronics"/>
    <n v="21915.17"/>
    <n v="5197.57"/>
    <n v="1024.18"/>
    <n v="401.22"/>
    <n v="219.15"/>
    <n v="166.79"/>
    <n v="1382.72"/>
    <n v="13523.54"/>
    <n v="24"/>
    <x v="2"/>
    <n v="43.31"/>
    <x v="0"/>
    <s v="Paid"/>
    <s v="High"/>
    <s v="L. Chen"/>
    <s v="Middle East"/>
    <x v="7"/>
  </r>
  <r>
    <x v="379"/>
    <s v="BK50380"/>
    <d v="2025-01-07T00:00:00"/>
    <d v="2025-01-11T00:00:00"/>
    <d v="2025-01-25T00:00:00"/>
    <x v="2"/>
    <s v="Electronics"/>
    <s v="South Korea"/>
    <s v="Shanghai"/>
    <s v="Rotterdam"/>
    <x v="3"/>
    <x v="3"/>
    <s v="20FT"/>
    <n v="2"/>
    <s v="Food"/>
    <n v="52160.43"/>
    <n v="9745.8700000000008"/>
    <n v="3724.4"/>
    <n v="1275.8499999999999"/>
    <n v="521.6"/>
    <n v="632.53"/>
    <n v="653.15"/>
    <n v="35607.03"/>
    <n v="0"/>
    <x v="3"/>
    <n v="81.22"/>
    <x v="1"/>
    <s v="Paid"/>
    <s v="Standard"/>
    <s v="M. Ahmed"/>
    <s v="Europe"/>
    <x v="11"/>
  </r>
  <r>
    <x v="380"/>
    <s v="BK50381"/>
    <d v="2025-02-22T00:00:00"/>
    <d v="2025-02-23T00:00:00"/>
    <d v="2025-03-13T00:00:00"/>
    <x v="2"/>
    <s v="Electronics"/>
    <s v="South Korea"/>
    <s v="Colombo"/>
    <s v="Singapore"/>
    <x v="4"/>
    <x v="4"/>
    <s v="40FT"/>
    <n v="2"/>
    <s v="Food"/>
    <n v="68537.41"/>
    <n v="13408.95"/>
    <n v="5375.07"/>
    <n v="838.57"/>
    <n v="685.37"/>
    <n v="604.30999999999995"/>
    <n v="1793.43"/>
    <n v="45831.71"/>
    <n v="0"/>
    <x v="3"/>
    <n v="111.74"/>
    <x v="1"/>
    <s v="Pending"/>
    <s v="Standard"/>
    <s v="J. Smith"/>
    <s v="Europe"/>
    <x v="9"/>
  </r>
  <r>
    <x v="381"/>
    <s v="BK50382"/>
    <d v="2025-09-01T00:00:00"/>
    <d v="2025-09-02T00:00:00"/>
    <d v="2025-09-12T00:00:00"/>
    <x v="3"/>
    <s v="Electronics"/>
    <s v="South Korea"/>
    <s v="Shanghai"/>
    <s v="Rotterdam"/>
    <x v="3"/>
    <x v="1"/>
    <s v="High Cube"/>
    <n v="2"/>
    <s v="Machinery"/>
    <n v="33612.79"/>
    <n v="9224.66"/>
    <n v="1979.87"/>
    <n v="639.41"/>
    <n v="336.13"/>
    <n v="266.89999999999998"/>
    <n v="1747.66"/>
    <n v="19418.16"/>
    <n v="4"/>
    <x v="1"/>
    <n v="76.87"/>
    <x v="0"/>
    <s v="Pending"/>
    <s v="Critical"/>
    <s v="A. Tan"/>
    <s v="Middle East"/>
    <x v="3"/>
  </r>
  <r>
    <x v="382"/>
    <s v="BK50383"/>
    <d v="2025-02-25T00:00:00"/>
    <d v="2025-02-26T00:00:00"/>
    <d v="2025-03-15T00:00:00"/>
    <x v="3"/>
    <s v="Electronics"/>
    <s v="South Korea"/>
    <s v="Shanghai"/>
    <s v="Rotterdam"/>
    <x v="3"/>
    <x v="0"/>
    <s v="40FT"/>
    <n v="2"/>
    <s v="Auto Parts"/>
    <n v="42894.1"/>
    <n v="8616.2099999999991"/>
    <n v="2371.4499999999998"/>
    <n v="520.05999999999995"/>
    <n v="428.94"/>
    <n v="292.27"/>
    <n v="1936.7"/>
    <n v="28728.47"/>
    <n v="4"/>
    <x v="1"/>
    <n v="71.8"/>
    <x v="0"/>
    <s v="Paid"/>
    <s v="Standard"/>
    <s v="L. Chen"/>
    <s v="Middle East"/>
    <x v="9"/>
  </r>
  <r>
    <x v="383"/>
    <s v="BK50384"/>
    <d v="2025-03-23T00:00:00"/>
    <d v="2025-03-26T00:00:00"/>
    <d v="2025-04-09T00:00:00"/>
    <x v="2"/>
    <s v="Electronics"/>
    <s v="South Korea"/>
    <s v="Shanghai"/>
    <s v="Rotterdam"/>
    <x v="3"/>
    <x v="7"/>
    <s v="40FT"/>
    <n v="2"/>
    <s v="Auto Parts"/>
    <n v="66948.759999999995"/>
    <n v="13166.66"/>
    <n v="4175.08"/>
    <n v="1524.78"/>
    <n v="669.49"/>
    <n v="450.74"/>
    <n v="583.13"/>
    <n v="46378.879999999997"/>
    <n v="0"/>
    <x v="3"/>
    <n v="109.72"/>
    <x v="1"/>
    <s v="Paid"/>
    <s v="Standard"/>
    <s v="J. Smith"/>
    <s v="Europe"/>
    <x v="5"/>
  </r>
  <r>
    <x v="384"/>
    <s v="BK50385"/>
    <d v="2025-04-04T00:00:00"/>
    <d v="2025-04-07T00:00:00"/>
    <d v="2025-04-27T00:00:00"/>
    <x v="11"/>
    <s v="Automotive"/>
    <s v="Japan"/>
    <s v="Jebel Ali"/>
    <s v="Nhava Sheva"/>
    <x v="2"/>
    <x v="1"/>
    <s v="20FT"/>
    <n v="1"/>
    <s v="Electronics"/>
    <n v="24153.46"/>
    <n v="6134.2"/>
    <n v="1101.9100000000001"/>
    <n v="679.7"/>
    <n v="241.53"/>
    <n v="708.97"/>
    <n v="2318.77"/>
    <n v="12968.38"/>
    <n v="0"/>
    <x v="3"/>
    <n v="51.12"/>
    <x v="1"/>
    <s v="Paid"/>
    <s v="Standard"/>
    <s v="L. Chen"/>
    <s v="Middle East"/>
    <x v="10"/>
  </r>
  <r>
    <x v="385"/>
    <s v="BK50386"/>
    <d v="2025-11-22T00:00:00"/>
    <d v="2025-11-24T00:00:00"/>
    <d v="2025-12-11T00:00:00"/>
    <x v="7"/>
    <s v="Retail"/>
    <s v="Germany"/>
    <s v="Colombo"/>
    <s v="Singapore"/>
    <x v="1"/>
    <x v="6"/>
    <s v="Reefer"/>
    <n v="2"/>
    <s v="Food"/>
    <n v="88414.87"/>
    <n v="16571.39"/>
    <n v="4874.37"/>
    <n v="2098.39"/>
    <n v="884.15"/>
    <n v="744.82"/>
    <n v="1029.23"/>
    <n v="62212.52"/>
    <n v="0"/>
    <x v="3"/>
    <n v="138.09"/>
    <x v="1"/>
    <s v="Paid"/>
    <s v="Critical"/>
    <s v="L. Chen"/>
    <s v="North America"/>
    <x v="8"/>
  </r>
  <r>
    <x v="386"/>
    <s v="BK50387"/>
    <d v="2025-04-14T00:00:00"/>
    <d v="2025-04-16T00:00:00"/>
    <d v="2025-04-30T00:00:00"/>
    <x v="8"/>
    <s v="Retail"/>
    <s v="Sweden"/>
    <s v="Busan"/>
    <s v="Los Angeles"/>
    <x v="0"/>
    <x v="4"/>
    <s v="40FT"/>
    <n v="4"/>
    <s v="Auto Parts"/>
    <n v="66097.77"/>
    <n v="12262.99"/>
    <n v="4705.83"/>
    <n v="1193.6400000000001"/>
    <n v="660.98"/>
    <n v="408.13"/>
    <n v="2347.7199999999998"/>
    <n v="44518.48"/>
    <n v="12"/>
    <x v="2"/>
    <n v="102.19"/>
    <x v="0"/>
    <s v="Pending"/>
    <s v="Critical"/>
    <s v="L. Chen"/>
    <s v="North America"/>
    <x v="10"/>
  </r>
  <r>
    <x v="387"/>
    <s v="BK50388"/>
    <d v="2025-04-19T00:00:00"/>
    <d v="2025-04-21T00:00:00"/>
    <d v="2025-05-02T00:00:00"/>
    <x v="2"/>
    <s v="Electronics"/>
    <s v="South Korea"/>
    <s v="Rotterdam"/>
    <s v="Busan"/>
    <x v="1"/>
    <x v="0"/>
    <s v="40FT"/>
    <n v="1"/>
    <s v="Electronics"/>
    <n v="24096.05"/>
    <n v="7043.33"/>
    <n v="1003.2"/>
    <n v="671.53"/>
    <n v="240.96"/>
    <n v="493.6"/>
    <n v="381.6"/>
    <n v="14261.83"/>
    <n v="4"/>
    <x v="2"/>
    <n v="58.69"/>
    <x v="0"/>
    <s v="Paid"/>
    <s v="Standard"/>
    <s v="J. Smith"/>
    <s v="North America"/>
    <x v="10"/>
  </r>
  <r>
    <x v="388"/>
    <s v="BK50389"/>
    <d v="2025-07-25T00:00:00"/>
    <d v="2025-07-28T00:00:00"/>
    <d v="2025-08-25T00:00:00"/>
    <x v="7"/>
    <s v="Retail"/>
    <s v="Germany"/>
    <s v="Jebel Ali"/>
    <s v="Nhava Sheva"/>
    <x v="2"/>
    <x v="3"/>
    <s v="Reefer"/>
    <n v="2"/>
    <s v="Machinery"/>
    <n v="55805.51"/>
    <n v="13792.57"/>
    <n v="3730.69"/>
    <n v="1567.66"/>
    <n v="558.05999999999995"/>
    <n v="686.48"/>
    <n v="1297.74"/>
    <n v="34172.31"/>
    <n v="48"/>
    <x v="1"/>
    <n v="114.94"/>
    <x v="0"/>
    <s v="Paid"/>
    <s v="High"/>
    <s v="M. Ahmed"/>
    <s v="Middle East"/>
    <x v="1"/>
  </r>
  <r>
    <x v="389"/>
    <s v="BK50390"/>
    <d v="2025-06-24T00:00:00"/>
    <d v="2025-06-26T00:00:00"/>
    <d v="2025-07-26T00:00:00"/>
    <x v="11"/>
    <s v="Automotive"/>
    <s v="Japan"/>
    <s v="Shanghai"/>
    <s v="Rotterdam"/>
    <x v="3"/>
    <x v="1"/>
    <s v="20FT"/>
    <n v="2"/>
    <s v="Machinery"/>
    <n v="19782.63"/>
    <n v="3750.28"/>
    <n v="1574.65"/>
    <n v="320.82"/>
    <n v="197.83"/>
    <n v="682.25"/>
    <n v="1188.75"/>
    <n v="12068.05"/>
    <n v="48"/>
    <x v="5"/>
    <n v="31.25"/>
    <x v="0"/>
    <s v="Paid"/>
    <s v="Standard"/>
    <s v="M. Ahmed"/>
    <s v="Middle East"/>
    <x v="0"/>
  </r>
  <r>
    <x v="390"/>
    <s v="BK50391"/>
    <d v="2025-05-23T00:00:00"/>
    <d v="2025-05-25T00:00:00"/>
    <d v="2025-06-06T00:00:00"/>
    <x v="1"/>
    <s v="FMCG"/>
    <s v="UK"/>
    <s v="Singapore"/>
    <s v="New York"/>
    <x v="1"/>
    <x v="0"/>
    <s v="20FT"/>
    <n v="1"/>
    <s v="Auto Parts"/>
    <n v="23834.57"/>
    <n v="6417.03"/>
    <n v="1838.16"/>
    <n v="595.65"/>
    <n v="238.35"/>
    <n v="205.67"/>
    <n v="1766.65"/>
    <n v="12773.06"/>
    <n v="12"/>
    <x v="4"/>
    <n v="53.48"/>
    <x v="0"/>
    <s v="Pending"/>
    <s v="Standard"/>
    <s v="R. Mehta"/>
    <s v="Europe"/>
    <x v="6"/>
  </r>
  <r>
    <x v="391"/>
    <s v="BK50392"/>
    <d v="2025-09-24T00:00:00"/>
    <d v="2025-09-25T00:00:00"/>
    <d v="2025-10-15T00:00:00"/>
    <x v="0"/>
    <s v="Retail"/>
    <s v="India"/>
    <s v="Busan"/>
    <s v="Los Angeles"/>
    <x v="0"/>
    <x v="1"/>
    <s v="40FT"/>
    <n v="2"/>
    <s v="Chemicals"/>
    <n v="13392.16"/>
    <n v="3556.35"/>
    <n v="922.91"/>
    <n v="146.5"/>
    <n v="133.91999999999999"/>
    <n v="773.11"/>
    <n v="2329.54"/>
    <n v="5529.83"/>
    <n v="8"/>
    <x v="0"/>
    <n v="29.64"/>
    <x v="0"/>
    <s v="Pending"/>
    <s v="Standard"/>
    <s v="R. Mehta"/>
    <s v="Europe"/>
    <x v="3"/>
  </r>
  <r>
    <x v="392"/>
    <s v="BK50393"/>
    <d v="2025-02-01T00:00:00"/>
    <d v="2025-02-05T00:00:00"/>
    <d v="2025-02-22T00:00:00"/>
    <x v="7"/>
    <s v="Retail"/>
    <s v="Germany"/>
    <s v="Jebel Ali"/>
    <s v="Nhava Sheva"/>
    <x v="2"/>
    <x v="0"/>
    <s v="20FT"/>
    <n v="4"/>
    <s v="Textiles"/>
    <n v="115409.44"/>
    <n v="26886"/>
    <n v="5729.19"/>
    <n v="1977.12"/>
    <n v="1154.0899999999999"/>
    <n v="307.77999999999997"/>
    <n v="1631.17"/>
    <n v="77724.09"/>
    <n v="24"/>
    <x v="1"/>
    <n v="224.05"/>
    <x v="0"/>
    <s v="Pending"/>
    <s v="Critical"/>
    <s v="A. Tan"/>
    <s v="Middle East"/>
    <x v="9"/>
  </r>
  <r>
    <x v="393"/>
    <s v="BK50394"/>
    <d v="2025-07-21T00:00:00"/>
    <d v="2025-07-24T00:00:00"/>
    <d v="2025-08-16T00:00:00"/>
    <x v="8"/>
    <s v="Retail"/>
    <s v="Sweden"/>
    <s v="Colombo"/>
    <s v="Colombo"/>
    <x v="1"/>
    <x v="0"/>
    <s v="Reefer"/>
    <n v="4"/>
    <s v="Textiles"/>
    <n v="119679.91"/>
    <n v="25789.79"/>
    <n v="7307.91"/>
    <n v="3369.37"/>
    <n v="1196.8"/>
    <n v="470.21"/>
    <n v="1308.6600000000001"/>
    <n v="80237.17"/>
    <n v="0"/>
    <x v="3"/>
    <n v="214.91"/>
    <x v="1"/>
    <s v="Paid"/>
    <s v="Standard"/>
    <s v="R. Mehta"/>
    <s v="Middle East"/>
    <x v="1"/>
  </r>
  <r>
    <x v="394"/>
    <s v="BK50395"/>
    <d v="2025-01-05T00:00:00"/>
    <d v="2025-01-07T00:00:00"/>
    <d v="2025-01-24T00:00:00"/>
    <x v="10"/>
    <s v="E-commerce"/>
    <s v="USA"/>
    <s v="Shanghai"/>
    <s v="Rotterdam"/>
    <x v="3"/>
    <x v="6"/>
    <s v="Reefer"/>
    <n v="1"/>
    <s v="Machinery"/>
    <n v="35216.54"/>
    <n v="7277.2"/>
    <n v="1803.75"/>
    <n v="359.28"/>
    <n v="352.17"/>
    <n v="319.81"/>
    <n v="1188.6099999999999"/>
    <n v="23915.72"/>
    <n v="8"/>
    <x v="4"/>
    <n v="60.64"/>
    <x v="0"/>
    <s v="Paid"/>
    <s v="Critical"/>
    <s v="J. Smith"/>
    <s v="Asia"/>
    <x v="11"/>
  </r>
  <r>
    <x v="395"/>
    <s v="BK50396"/>
    <d v="2025-09-03T00:00:00"/>
    <d v="2025-09-04T00:00:00"/>
    <d v="2025-09-27T00:00:00"/>
    <x v="0"/>
    <s v="Retail"/>
    <s v="India"/>
    <s v="Busan"/>
    <s v="Los Angeles"/>
    <x v="0"/>
    <x v="2"/>
    <s v="High Cube"/>
    <n v="1"/>
    <s v="Electronics"/>
    <n v="26669.43"/>
    <n v="7043.45"/>
    <n v="1660.62"/>
    <n v="435.49"/>
    <n v="266.69"/>
    <n v="898.31"/>
    <n v="318.35000000000002"/>
    <n v="16046.52"/>
    <n v="12"/>
    <x v="0"/>
    <n v="58.7"/>
    <x v="0"/>
    <s v="Paid"/>
    <s v="Standard"/>
    <s v="J. Smith"/>
    <s v="Middle East"/>
    <x v="3"/>
  </r>
  <r>
    <x v="396"/>
    <s v="BK50397"/>
    <d v="2025-08-16T00:00:00"/>
    <d v="2025-08-17T00:00:00"/>
    <d v="2025-08-31T00:00:00"/>
    <x v="10"/>
    <s v="E-commerce"/>
    <s v="USA"/>
    <s v="Los Angeles"/>
    <s v="Singapore"/>
    <x v="1"/>
    <x v="5"/>
    <s v="Reefer"/>
    <n v="4"/>
    <s v="Machinery"/>
    <n v="56741.91"/>
    <n v="13884.77"/>
    <n v="4002.95"/>
    <n v="1322.15"/>
    <n v="567.41999999999996"/>
    <n v="474.85"/>
    <n v="917.96"/>
    <n v="35571.81"/>
    <n v="48"/>
    <x v="1"/>
    <n v="115.71"/>
    <x v="0"/>
    <s v="Pending"/>
    <s v="High"/>
    <s v="R. Mehta"/>
    <s v="Asia"/>
    <x v="4"/>
  </r>
  <r>
    <x v="397"/>
    <s v="BK50398"/>
    <d v="2025-12-05T00:00:00"/>
    <d v="2025-12-06T00:00:00"/>
    <d v="2025-12-21T00:00:00"/>
    <x v="9"/>
    <s v="Engineering"/>
    <s v="Germany"/>
    <s v="Hamburg"/>
    <s v="Rotterdam"/>
    <x v="1"/>
    <x v="2"/>
    <s v="Reefer"/>
    <n v="1"/>
    <s v="Chemicals"/>
    <n v="9581.57"/>
    <n v="1810.16"/>
    <n v="674.98"/>
    <n v="154.68"/>
    <n v="95.82"/>
    <n v="863.05"/>
    <n v="492.4"/>
    <n v="5490.48"/>
    <n v="48"/>
    <x v="2"/>
    <n v="15.08"/>
    <x v="0"/>
    <s v="Pending"/>
    <s v="High"/>
    <s v="J. Smith"/>
    <s v="North America"/>
    <x v="2"/>
  </r>
  <r>
    <x v="398"/>
    <s v="BK50399"/>
    <d v="2025-12-30T00:00:00"/>
    <d v="2026-01-02T00:00:00"/>
    <d v="2026-01-26T00:00:00"/>
    <x v="5"/>
    <s v="Food"/>
    <s v="Switzerland"/>
    <s v="Shanghai"/>
    <s v="Rotterdam"/>
    <x v="3"/>
    <x v="1"/>
    <s v="High Cube"/>
    <n v="1"/>
    <s v="Machinery"/>
    <n v="42952.86"/>
    <n v="12161.2"/>
    <n v="2549.96"/>
    <n v="1101.8399999999999"/>
    <n v="429.53"/>
    <n v="807.97"/>
    <n v="421.17"/>
    <n v="25481.19"/>
    <n v="4"/>
    <x v="0"/>
    <n v="101.34"/>
    <x v="0"/>
    <s v="Paid"/>
    <s v="Critical"/>
    <s v="R. Mehta"/>
    <s v="Europe"/>
    <x v="2"/>
  </r>
  <r>
    <x v="399"/>
    <s v="BK50400"/>
    <d v="2025-04-15T00:00:00"/>
    <d v="2025-04-18T00:00:00"/>
    <d v="2025-05-14T00:00:00"/>
    <x v="7"/>
    <s v="Retail"/>
    <s v="Germany"/>
    <s v="Busan"/>
    <s v="Los Angeles"/>
    <x v="0"/>
    <x v="0"/>
    <s v="40FT"/>
    <n v="1"/>
    <s v="Textiles"/>
    <n v="23527.24"/>
    <n v="5536.14"/>
    <n v="1170.17"/>
    <n v="347.68"/>
    <n v="235.27"/>
    <n v="788.11"/>
    <n v="1431.94"/>
    <n v="14017.93"/>
    <n v="0"/>
    <x v="3"/>
    <n v="46.13"/>
    <x v="1"/>
    <s v="Pending"/>
    <s v="Critical"/>
    <s v="A. Tan"/>
    <s v="Europe"/>
    <x v="10"/>
  </r>
  <r>
    <x v="400"/>
    <s v="BK50401"/>
    <d v="2025-04-22T00:00:00"/>
    <d v="2025-04-23T00:00:00"/>
    <d v="2025-05-12T00:00:00"/>
    <x v="3"/>
    <s v="Electronics"/>
    <s v="South Korea"/>
    <s v="Busan"/>
    <s v="Nhava Sheva"/>
    <x v="1"/>
    <x v="1"/>
    <s v="40FT"/>
    <n v="1"/>
    <s v="Textiles"/>
    <n v="23268.74"/>
    <n v="6847.1"/>
    <n v="1410.76"/>
    <n v="696.78"/>
    <n v="232.69"/>
    <n v="628.20000000000005"/>
    <n v="2276.4499999999998"/>
    <n v="11176.76"/>
    <n v="8"/>
    <x v="1"/>
    <n v="57.06"/>
    <x v="0"/>
    <s v="Paid"/>
    <s v="Standard"/>
    <s v="A. Tan"/>
    <s v="Asia"/>
    <x v="10"/>
  </r>
  <r>
    <x v="401"/>
    <s v="BK50402"/>
    <d v="2025-11-23T00:00:00"/>
    <d v="2025-11-25T00:00:00"/>
    <d v="2025-12-21T00:00:00"/>
    <x v="5"/>
    <s v="Food"/>
    <s v="Switzerland"/>
    <s v="Colombo"/>
    <s v="Singapore"/>
    <x v="4"/>
    <x v="2"/>
    <s v="High Cube"/>
    <n v="2"/>
    <s v="Chemicals"/>
    <n v="23513.66"/>
    <n v="4530.88"/>
    <n v="1005.1"/>
    <n v="547.03"/>
    <n v="235.14"/>
    <n v="436.13"/>
    <n v="2216.66"/>
    <n v="14542.72"/>
    <n v="0"/>
    <x v="3"/>
    <n v="37.76"/>
    <x v="1"/>
    <s v="Paid"/>
    <s v="High"/>
    <s v="M. Ahmed"/>
    <s v="Asia"/>
    <x v="8"/>
  </r>
  <r>
    <x v="402"/>
    <s v="BK50403"/>
    <d v="2025-03-21T00:00:00"/>
    <d v="2025-03-25T00:00:00"/>
    <d v="2025-04-18T00:00:00"/>
    <x v="0"/>
    <s v="Retail"/>
    <s v="India"/>
    <s v="Hamburg"/>
    <s v="New York"/>
    <x v="1"/>
    <x v="0"/>
    <s v="40FT"/>
    <n v="1"/>
    <s v="Machinery"/>
    <n v="42147.03"/>
    <n v="9777.07"/>
    <n v="2104.87"/>
    <n v="1233.44"/>
    <n v="421.47"/>
    <n v="667.67"/>
    <n v="870.19"/>
    <n v="27072.32"/>
    <n v="24"/>
    <x v="5"/>
    <n v="81.48"/>
    <x v="0"/>
    <s v="Pending"/>
    <s v="High"/>
    <s v="J. Smith"/>
    <s v="Middle East"/>
    <x v="5"/>
  </r>
  <r>
    <x v="403"/>
    <s v="BK50404"/>
    <d v="2025-12-09T00:00:00"/>
    <d v="2025-12-11T00:00:00"/>
    <d v="2025-12-23T00:00:00"/>
    <x v="9"/>
    <s v="Engineering"/>
    <s v="Germany"/>
    <s v="Shanghai"/>
    <s v="Busan"/>
    <x v="1"/>
    <x v="3"/>
    <s v="40FT"/>
    <n v="1"/>
    <s v="Textiles"/>
    <n v="42360.94"/>
    <n v="11671.6"/>
    <n v="2932.56"/>
    <n v="530.21"/>
    <n v="423.61"/>
    <n v="567.03"/>
    <n v="2108.06"/>
    <n v="24127.87"/>
    <n v="48"/>
    <x v="1"/>
    <n v="97.26"/>
    <x v="0"/>
    <s v="Paid"/>
    <s v="High"/>
    <s v="J. Smith"/>
    <s v="North America"/>
    <x v="2"/>
  </r>
  <r>
    <x v="404"/>
    <s v="BK50405"/>
    <d v="2025-11-24T00:00:00"/>
    <d v="2025-11-28T00:00:00"/>
    <d v="2025-12-18T00:00:00"/>
    <x v="11"/>
    <s v="Automotive"/>
    <s v="Japan"/>
    <s v="Rotterdam"/>
    <s v="Singapore"/>
    <x v="1"/>
    <x v="5"/>
    <s v="40FT"/>
    <n v="1"/>
    <s v="Auto Parts"/>
    <n v="13886.26"/>
    <n v="3571.77"/>
    <n v="725.07"/>
    <n v="322.04000000000002"/>
    <n v="138.86000000000001"/>
    <n v="602.29"/>
    <n v="2031.07"/>
    <n v="6495.16"/>
    <n v="0"/>
    <x v="3"/>
    <n v="29.76"/>
    <x v="1"/>
    <s v="Pending"/>
    <s v="Standard"/>
    <s v="R. Mehta"/>
    <s v="Europe"/>
    <x v="8"/>
  </r>
  <r>
    <x v="405"/>
    <s v="BK50406"/>
    <d v="2025-08-27T00:00:00"/>
    <d v="2025-08-30T00:00:00"/>
    <d v="2025-09-17T00:00:00"/>
    <x v="3"/>
    <s v="Electronics"/>
    <s v="South Korea"/>
    <s v="Colombo"/>
    <s v="Jebel Ali"/>
    <x v="1"/>
    <x v="2"/>
    <s v="High Cube"/>
    <n v="4"/>
    <s v="Auto Parts"/>
    <n v="56105.58"/>
    <n v="9564.34"/>
    <n v="4431.12"/>
    <n v="1408.64"/>
    <n v="561.05999999999995"/>
    <n v="787.94"/>
    <n v="2182.85"/>
    <n v="37169.629999999997"/>
    <n v="0"/>
    <x v="3"/>
    <n v="79.7"/>
    <x v="1"/>
    <s v="Pending"/>
    <s v="High"/>
    <s v="R. Mehta"/>
    <s v="Middle East"/>
    <x v="4"/>
  </r>
  <r>
    <x v="406"/>
    <s v="BK50407"/>
    <d v="2025-01-06T00:00:00"/>
    <d v="2025-01-08T00:00:00"/>
    <d v="2025-02-02T00:00:00"/>
    <x v="9"/>
    <s v="Engineering"/>
    <s v="Germany"/>
    <s v="Singapore"/>
    <s v="Rotterdam"/>
    <x v="3"/>
    <x v="4"/>
    <s v="20FT"/>
    <n v="4"/>
    <s v="Furniture"/>
    <n v="157135.89000000001"/>
    <n v="30719.41"/>
    <n v="8426.2900000000009"/>
    <n v="3885.69"/>
    <n v="1571.36"/>
    <n v="152.68"/>
    <n v="974.1"/>
    <n v="111406.36"/>
    <n v="0"/>
    <x v="3"/>
    <n v="256"/>
    <x v="1"/>
    <s v="Paid"/>
    <s v="High"/>
    <s v="R. Mehta"/>
    <s v="Europe"/>
    <x v="11"/>
  </r>
  <r>
    <x v="407"/>
    <s v="BK50408"/>
    <d v="2025-12-23T00:00:00"/>
    <d v="2025-12-26T00:00:00"/>
    <d v="2026-01-05T00:00:00"/>
    <x v="0"/>
    <s v="Retail"/>
    <s v="India"/>
    <s v="Rotterdam"/>
    <s v="Hamburg"/>
    <x v="1"/>
    <x v="5"/>
    <s v="Reefer"/>
    <n v="2"/>
    <s v="Food"/>
    <n v="16278.69"/>
    <n v="3973.69"/>
    <n v="714.09"/>
    <n v="477.89"/>
    <n v="162.79"/>
    <n v="233.87"/>
    <n v="583.89"/>
    <n v="10132.469999999999"/>
    <n v="12"/>
    <x v="2"/>
    <n v="33.11"/>
    <x v="0"/>
    <s v="Paid"/>
    <s v="Critical"/>
    <s v="R. Mehta"/>
    <s v="Middle East"/>
    <x v="2"/>
  </r>
  <r>
    <x v="408"/>
    <s v="BK50409"/>
    <d v="2025-05-01T00:00:00"/>
    <d v="2025-05-04T00:00:00"/>
    <d v="2025-05-19T00:00:00"/>
    <x v="11"/>
    <s v="Automotive"/>
    <s v="Japan"/>
    <s v="Singapore"/>
    <s v="Rotterdam"/>
    <x v="3"/>
    <x v="2"/>
    <s v="20FT"/>
    <n v="4"/>
    <s v="Machinery"/>
    <n v="35902.82"/>
    <n v="7076.97"/>
    <n v="2034.65"/>
    <n v="765.67"/>
    <n v="359.03"/>
    <n v="884.72"/>
    <n v="1991.32"/>
    <n v="22790.46"/>
    <n v="8"/>
    <x v="5"/>
    <n v="58.97"/>
    <x v="0"/>
    <s v="Pending"/>
    <s v="Standard"/>
    <s v="A. Tan"/>
    <s v="Middle East"/>
    <x v="6"/>
  </r>
  <r>
    <x v="409"/>
    <s v="BK50410"/>
    <d v="2025-05-17T00:00:00"/>
    <d v="2025-05-18T00:00:00"/>
    <d v="2025-06-14T00:00:00"/>
    <x v="9"/>
    <s v="Engineering"/>
    <s v="Germany"/>
    <s v="Singapore"/>
    <s v="Rotterdam"/>
    <x v="3"/>
    <x v="1"/>
    <s v="20FT"/>
    <n v="4"/>
    <s v="Auto Parts"/>
    <n v="155399.95000000001"/>
    <n v="26128.05"/>
    <n v="6223.99"/>
    <n v="4259.95"/>
    <n v="1554"/>
    <n v="749.12"/>
    <n v="1829.48"/>
    <n v="114655.36"/>
    <n v="0"/>
    <x v="3"/>
    <n v="217.73"/>
    <x v="1"/>
    <s v="Pending"/>
    <s v="Critical"/>
    <s v="L. Chen"/>
    <s v="Europe"/>
    <x v="6"/>
  </r>
  <r>
    <x v="410"/>
    <s v="BK50411"/>
    <d v="2025-09-12T00:00:00"/>
    <d v="2025-09-14T00:00:00"/>
    <d v="2025-10-01T00:00:00"/>
    <x v="11"/>
    <s v="Automotive"/>
    <s v="Japan"/>
    <s v="Busan"/>
    <s v="Los Angeles"/>
    <x v="1"/>
    <x v="1"/>
    <s v="20FT"/>
    <n v="4"/>
    <s v="Chemicals"/>
    <n v="137707.20000000001"/>
    <n v="38668.44"/>
    <n v="10022.07"/>
    <n v="2512.39"/>
    <n v="1377.07"/>
    <n v="406.17"/>
    <n v="402.75"/>
    <n v="84318.31"/>
    <n v="4"/>
    <x v="1"/>
    <n v="322.24"/>
    <x v="0"/>
    <s v="Paid"/>
    <s v="Standard"/>
    <s v="L. Chen"/>
    <s v="Middle East"/>
    <x v="3"/>
  </r>
  <r>
    <x v="411"/>
    <s v="BK50412"/>
    <d v="2025-10-28T00:00:00"/>
    <d v="2025-10-31T00:00:00"/>
    <d v="2025-11-19T00:00:00"/>
    <x v="11"/>
    <s v="Automotive"/>
    <s v="Japan"/>
    <s v="Busan"/>
    <s v="Los Angeles"/>
    <x v="0"/>
    <x v="3"/>
    <s v="40FT"/>
    <n v="2"/>
    <s v="Auto Parts"/>
    <n v="38466.81"/>
    <n v="7244.13"/>
    <n v="1590.84"/>
    <n v="1027.57"/>
    <n v="384.67"/>
    <n v="744.41"/>
    <n v="316.41000000000003"/>
    <n v="27158.78"/>
    <n v="8"/>
    <x v="0"/>
    <n v="60.37"/>
    <x v="0"/>
    <s v="Pending"/>
    <s v="High"/>
    <s v="M. Ahmed"/>
    <s v="Asia"/>
    <x v="7"/>
  </r>
  <r>
    <x v="412"/>
    <s v="BK50413"/>
    <d v="2025-01-01T00:00:00"/>
    <d v="2025-01-04T00:00:00"/>
    <d v="2025-01-31T00:00:00"/>
    <x v="3"/>
    <s v="Electronics"/>
    <s v="South Korea"/>
    <s v="Colombo"/>
    <s v="Singapore"/>
    <x v="4"/>
    <x v="7"/>
    <s v="High Cube"/>
    <n v="4"/>
    <s v="Auto Parts"/>
    <n v="99903.31"/>
    <n v="20419.93"/>
    <n v="6411.95"/>
    <n v="2599.85"/>
    <n v="999.03"/>
    <n v="183.37"/>
    <n v="739.94"/>
    <n v="68549.240000000005"/>
    <n v="48"/>
    <x v="4"/>
    <n v="170.17"/>
    <x v="0"/>
    <s v="Paid"/>
    <s v="Critical"/>
    <s v="A. Tan"/>
    <s v="Middle East"/>
    <x v="11"/>
  </r>
  <r>
    <x v="413"/>
    <s v="BK50414"/>
    <d v="2025-08-21T00:00:00"/>
    <d v="2025-08-24T00:00:00"/>
    <d v="2025-09-21T00:00:00"/>
    <x v="10"/>
    <s v="E-commerce"/>
    <s v="USA"/>
    <s v="Shanghai"/>
    <s v="Rotterdam"/>
    <x v="3"/>
    <x v="3"/>
    <s v="High Cube"/>
    <n v="2"/>
    <s v="Auto Parts"/>
    <n v="42387.839999999997"/>
    <n v="8401.5"/>
    <n v="2251.9699999999998"/>
    <n v="946.59"/>
    <n v="423.88"/>
    <n v="539.91999999999996"/>
    <n v="756.01"/>
    <n v="29067.97"/>
    <n v="0"/>
    <x v="3"/>
    <n v="70.010000000000005"/>
    <x v="1"/>
    <s v="Pending"/>
    <s v="Standard"/>
    <s v="L. Chen"/>
    <s v="Asia"/>
    <x v="4"/>
  </r>
  <r>
    <x v="414"/>
    <s v="BK50415"/>
    <d v="2025-12-30T00:00:00"/>
    <d v="2026-01-03T00:00:00"/>
    <d v="2026-01-22T00:00:00"/>
    <x v="8"/>
    <s v="Retail"/>
    <s v="Sweden"/>
    <s v="Jebel Ali"/>
    <s v="Hamburg"/>
    <x v="1"/>
    <x v="5"/>
    <s v="40FT"/>
    <n v="2"/>
    <s v="Textiles"/>
    <n v="38560.75"/>
    <n v="10284.32"/>
    <n v="2732.31"/>
    <n v="631.94000000000005"/>
    <n v="385.61"/>
    <n v="625.36"/>
    <n v="1977.88"/>
    <n v="21923.33"/>
    <n v="12"/>
    <x v="0"/>
    <n v="85.7"/>
    <x v="0"/>
    <s v="Pending"/>
    <s v="Critical"/>
    <s v="J. Smith"/>
    <s v="Asia"/>
    <x v="2"/>
  </r>
  <r>
    <x v="415"/>
    <s v="BK50416"/>
    <d v="2025-09-24T00:00:00"/>
    <d v="2025-09-27T00:00:00"/>
    <d v="2025-10-16T00:00:00"/>
    <x v="9"/>
    <s v="Engineering"/>
    <s v="Germany"/>
    <s v="Colombo"/>
    <s v="Singapore"/>
    <x v="4"/>
    <x v="2"/>
    <s v="40FT"/>
    <n v="4"/>
    <s v="Machinery"/>
    <n v="44530.06"/>
    <n v="7654.97"/>
    <n v="1952.45"/>
    <n v="663.82"/>
    <n v="445.3"/>
    <n v="582.26"/>
    <n v="1299.97"/>
    <n v="31931.29"/>
    <n v="12"/>
    <x v="1"/>
    <n v="63.79"/>
    <x v="0"/>
    <s v="Paid"/>
    <s v="High"/>
    <s v="M. Ahmed"/>
    <s v="Europe"/>
    <x v="3"/>
  </r>
  <r>
    <x v="416"/>
    <s v="BK50417"/>
    <d v="2025-02-11T00:00:00"/>
    <d v="2025-02-14T00:00:00"/>
    <d v="2025-03-03T00:00:00"/>
    <x v="11"/>
    <s v="Automotive"/>
    <s v="Japan"/>
    <s v="Jebel Ali"/>
    <s v="Nhava Sheva"/>
    <x v="2"/>
    <x v="0"/>
    <s v="40FT"/>
    <n v="1"/>
    <s v="Auto Parts"/>
    <n v="29001.81"/>
    <n v="5406.62"/>
    <n v="1930.26"/>
    <n v="798.05"/>
    <n v="290.02"/>
    <n v="520.6"/>
    <n v="795.63"/>
    <n v="19260.63"/>
    <n v="36"/>
    <x v="4"/>
    <n v="45.06"/>
    <x v="0"/>
    <s v="Paid"/>
    <s v="Critical"/>
    <s v="J. Smith"/>
    <s v="Middle East"/>
    <x v="9"/>
  </r>
  <r>
    <x v="417"/>
    <s v="BK50418"/>
    <d v="2025-08-16T00:00:00"/>
    <d v="2025-08-19T00:00:00"/>
    <d v="2025-09-13T00:00:00"/>
    <x v="5"/>
    <s v="Food"/>
    <s v="Switzerland"/>
    <s v="New York"/>
    <s v="Jebel Ali"/>
    <x v="1"/>
    <x v="6"/>
    <s v="Reefer"/>
    <n v="4"/>
    <s v="Auto Parts"/>
    <n v="110894.71"/>
    <n v="30363.82"/>
    <n v="6753.58"/>
    <n v="1537.6"/>
    <n v="1108.95"/>
    <n v="665.94"/>
    <n v="1308.7"/>
    <n v="69156.12"/>
    <n v="8"/>
    <x v="4"/>
    <n v="253.03"/>
    <x v="0"/>
    <s v="Pending"/>
    <s v="Critical"/>
    <s v="R. Mehta"/>
    <s v="Europe"/>
    <x v="4"/>
  </r>
  <r>
    <x v="418"/>
    <s v="BK50419"/>
    <d v="2025-09-13T00:00:00"/>
    <d v="2025-09-15T00:00:00"/>
    <d v="2025-09-30T00:00:00"/>
    <x v="9"/>
    <s v="Engineering"/>
    <s v="Germany"/>
    <s v="Colombo"/>
    <s v="Singapore"/>
    <x v="4"/>
    <x v="7"/>
    <s v="Reefer"/>
    <n v="4"/>
    <s v="Auto Parts"/>
    <n v="140813.38"/>
    <n v="39900.300000000003"/>
    <n v="9315.2800000000007"/>
    <n v="2093"/>
    <n v="1408.13"/>
    <n v="723.43"/>
    <n v="1630.76"/>
    <n v="85742.48"/>
    <n v="12"/>
    <x v="5"/>
    <n v="332.5"/>
    <x v="0"/>
    <s v="Paid"/>
    <s v="Critical"/>
    <s v="R. Mehta"/>
    <s v="North America"/>
    <x v="3"/>
  </r>
  <r>
    <x v="419"/>
    <s v="BK50420"/>
    <d v="2025-02-06T00:00:00"/>
    <d v="2025-02-07T00:00:00"/>
    <d v="2025-03-05T00:00:00"/>
    <x v="11"/>
    <s v="Automotive"/>
    <s v="Japan"/>
    <s v="Colombo"/>
    <s v="Singapore"/>
    <x v="4"/>
    <x v="6"/>
    <s v="Reefer"/>
    <n v="2"/>
    <s v="Furniture"/>
    <n v="35098.92"/>
    <n v="7336.11"/>
    <n v="1511.78"/>
    <n v="407.57"/>
    <n v="350.99"/>
    <n v="304.08"/>
    <n v="1884.68"/>
    <n v="23303.71"/>
    <n v="36"/>
    <x v="2"/>
    <n v="61.13"/>
    <x v="0"/>
    <s v="Paid"/>
    <s v="Standard"/>
    <s v="A. Tan"/>
    <s v="North America"/>
    <x v="9"/>
  </r>
  <r>
    <x v="420"/>
    <s v="BK50421"/>
    <d v="2025-06-01T00:00:00"/>
    <d v="2025-06-05T00:00:00"/>
    <d v="2025-07-01T00:00:00"/>
    <x v="9"/>
    <s v="Engineering"/>
    <s v="Germany"/>
    <s v="Busan"/>
    <s v="Rotterdam"/>
    <x v="1"/>
    <x v="3"/>
    <s v="20FT"/>
    <n v="4"/>
    <s v="Chemicals"/>
    <n v="76549.850000000006"/>
    <n v="14396.54"/>
    <n v="3707.65"/>
    <n v="1865.6"/>
    <n v="765.5"/>
    <n v="586.14"/>
    <n v="1303.3900000000001"/>
    <n v="53925.03"/>
    <n v="0"/>
    <x v="3"/>
    <n v="119.97"/>
    <x v="1"/>
    <s v="Pending"/>
    <s v="Standard"/>
    <s v="R. Mehta"/>
    <s v="Europe"/>
    <x v="0"/>
  </r>
  <r>
    <x v="421"/>
    <s v="BK50422"/>
    <d v="2025-06-30T00:00:00"/>
    <d v="2025-07-04T00:00:00"/>
    <d v="2025-07-14T00:00:00"/>
    <x v="5"/>
    <s v="Food"/>
    <s v="Switzerland"/>
    <s v="Shanghai"/>
    <s v="Rotterdam"/>
    <x v="3"/>
    <x v="3"/>
    <s v="High Cube"/>
    <n v="2"/>
    <s v="Textiles"/>
    <n v="75317.820000000007"/>
    <n v="14098.54"/>
    <n v="4755.8500000000004"/>
    <n v="1243.0999999999999"/>
    <n v="753.18"/>
    <n v="780.33"/>
    <n v="2229.42"/>
    <n v="51457.4"/>
    <n v="0"/>
    <x v="3"/>
    <n v="117.49"/>
    <x v="1"/>
    <s v="Paid"/>
    <s v="Standard"/>
    <s v="A. Tan"/>
    <s v="Middle East"/>
    <x v="0"/>
  </r>
  <r>
    <x v="422"/>
    <s v="BK50423"/>
    <d v="2025-11-07T00:00:00"/>
    <d v="2025-11-10T00:00:00"/>
    <d v="2025-11-25T00:00:00"/>
    <x v="0"/>
    <s v="Retail"/>
    <s v="India"/>
    <s v="Hamburg"/>
    <s v="New York"/>
    <x v="1"/>
    <x v="3"/>
    <s v="40FT"/>
    <n v="1"/>
    <s v="Furniture"/>
    <n v="40268.01"/>
    <n v="10690.03"/>
    <n v="2213.94"/>
    <n v="475.16"/>
    <n v="402.68"/>
    <n v="252.2"/>
    <n v="680.67"/>
    <n v="25553.33"/>
    <n v="0"/>
    <x v="3"/>
    <n v="89.08"/>
    <x v="1"/>
    <s v="Pending"/>
    <s v="Critical"/>
    <s v="R. Mehta"/>
    <s v="Asia"/>
    <x v="8"/>
  </r>
  <r>
    <x v="423"/>
    <s v="BK50424"/>
    <d v="2025-07-13T00:00:00"/>
    <d v="2025-07-17T00:00:00"/>
    <d v="2025-08-01T00:00:00"/>
    <x v="6"/>
    <s v="Pharma"/>
    <s v="USA"/>
    <s v="Shanghai"/>
    <s v="Rotterdam"/>
    <x v="3"/>
    <x v="0"/>
    <s v="40FT"/>
    <n v="2"/>
    <s v="Food"/>
    <n v="28217.91"/>
    <n v="6179.75"/>
    <n v="1657.87"/>
    <n v="366.62"/>
    <n v="282.18"/>
    <n v="793.51"/>
    <n v="1858.22"/>
    <n v="17079.759999999998"/>
    <n v="0"/>
    <x v="3"/>
    <n v="51.5"/>
    <x v="1"/>
    <s v="Pending"/>
    <s v="Critical"/>
    <s v="A. Tan"/>
    <s v="Europe"/>
    <x v="1"/>
  </r>
  <r>
    <x v="424"/>
    <s v="BK50425"/>
    <d v="2025-12-26T00:00:00"/>
    <d v="2025-12-29T00:00:00"/>
    <d v="2026-01-13T00:00:00"/>
    <x v="2"/>
    <s v="Electronics"/>
    <s v="South Korea"/>
    <s v="Singapore"/>
    <s v="Rotterdam"/>
    <x v="3"/>
    <x v="6"/>
    <s v="Reefer"/>
    <n v="2"/>
    <s v="Furniture"/>
    <n v="43602.55"/>
    <n v="11704.05"/>
    <n v="2841.93"/>
    <n v="1003.04"/>
    <n v="436.03"/>
    <n v="241.91"/>
    <n v="2298.71"/>
    <n v="25076.880000000001"/>
    <n v="36"/>
    <x v="4"/>
    <n v="97.53"/>
    <x v="0"/>
    <s v="Paid"/>
    <s v="Standard"/>
    <s v="R. Mehta"/>
    <s v="North America"/>
    <x v="2"/>
  </r>
  <r>
    <x v="425"/>
    <s v="BK50426"/>
    <d v="2025-11-27T00:00:00"/>
    <d v="2025-12-01T00:00:00"/>
    <d v="2025-12-16T00:00:00"/>
    <x v="7"/>
    <s v="Retail"/>
    <s v="Germany"/>
    <s v="Singapore"/>
    <s v="Rotterdam"/>
    <x v="3"/>
    <x v="6"/>
    <s v="40FT"/>
    <n v="4"/>
    <s v="Textiles"/>
    <n v="94195.87"/>
    <n v="18370.349999999999"/>
    <n v="5448.14"/>
    <n v="2353.98"/>
    <n v="941.96"/>
    <n v="261.76"/>
    <n v="1152.92"/>
    <n v="65666.759999999995"/>
    <n v="12"/>
    <x v="5"/>
    <n v="153.09"/>
    <x v="0"/>
    <s v="Pending"/>
    <s v="Critical"/>
    <s v="L. Chen"/>
    <s v="Europe"/>
    <x v="8"/>
  </r>
  <r>
    <x v="426"/>
    <s v="BK50427"/>
    <d v="2025-04-06T00:00:00"/>
    <d v="2025-04-08T00:00:00"/>
    <d v="2025-04-29T00:00:00"/>
    <x v="1"/>
    <s v="FMCG"/>
    <s v="UK"/>
    <s v="Colombo"/>
    <s v="Singapore"/>
    <x v="4"/>
    <x v="2"/>
    <s v="High Cube"/>
    <n v="2"/>
    <s v="Electronics"/>
    <n v="57738.559999999998"/>
    <n v="11015.92"/>
    <n v="3818.47"/>
    <n v="1617.83"/>
    <n v="577.39"/>
    <n v="372.29"/>
    <n v="1254.1300000000001"/>
    <n v="39082.53"/>
    <n v="0"/>
    <x v="3"/>
    <n v="91.8"/>
    <x v="1"/>
    <s v="Pending"/>
    <s v="High"/>
    <s v="A. Tan"/>
    <s v="Europe"/>
    <x v="10"/>
  </r>
  <r>
    <x v="427"/>
    <s v="BK50428"/>
    <d v="2025-10-25T00:00:00"/>
    <d v="2025-10-28T00:00:00"/>
    <d v="2025-11-25T00:00:00"/>
    <x v="5"/>
    <s v="Food"/>
    <s v="Switzerland"/>
    <s v="Colombo"/>
    <s v="Singapore"/>
    <x v="4"/>
    <x v="3"/>
    <s v="Reefer"/>
    <n v="4"/>
    <s v="Chemicals"/>
    <n v="137729.25"/>
    <n v="34113.919999999998"/>
    <n v="7254.46"/>
    <n v="4124.47"/>
    <n v="1377.29"/>
    <n v="637.78"/>
    <n v="389.62"/>
    <n v="89831.71"/>
    <n v="8"/>
    <x v="0"/>
    <n v="284.27999999999997"/>
    <x v="0"/>
    <s v="Paid"/>
    <s v="Critical"/>
    <s v="L. Chen"/>
    <s v="Asia"/>
    <x v="7"/>
  </r>
  <r>
    <x v="428"/>
    <s v="BK50429"/>
    <d v="2025-11-01T00:00:00"/>
    <d v="2025-11-05T00:00:00"/>
    <d v="2025-11-15T00:00:00"/>
    <x v="0"/>
    <s v="Retail"/>
    <s v="India"/>
    <s v="Colombo"/>
    <s v="Singapore"/>
    <x v="4"/>
    <x v="7"/>
    <s v="Reefer"/>
    <n v="1"/>
    <s v="Machinery"/>
    <n v="36306.400000000001"/>
    <n v="8647.16"/>
    <n v="1971.99"/>
    <n v="626.03"/>
    <n v="363.06"/>
    <n v="559.09"/>
    <n v="835.37"/>
    <n v="23303.7"/>
    <n v="4"/>
    <x v="0"/>
    <n v="72.06"/>
    <x v="0"/>
    <s v="Pending"/>
    <s v="High"/>
    <s v="R. Mehta"/>
    <s v="Asia"/>
    <x v="8"/>
  </r>
  <r>
    <x v="429"/>
    <s v="BK50430"/>
    <d v="2025-11-15T00:00:00"/>
    <d v="2025-11-18T00:00:00"/>
    <d v="2025-12-07T00:00:00"/>
    <x v="3"/>
    <s v="Electronics"/>
    <s v="South Korea"/>
    <s v="Colombo"/>
    <s v="Singapore"/>
    <x v="4"/>
    <x v="4"/>
    <s v="Reefer"/>
    <n v="2"/>
    <s v="Machinery"/>
    <n v="78510.5"/>
    <n v="18559.509999999998"/>
    <n v="3709.34"/>
    <n v="2354.4899999999998"/>
    <n v="785.11"/>
    <n v="535.25"/>
    <n v="1990.47"/>
    <n v="50576.33"/>
    <n v="0"/>
    <x v="3"/>
    <n v="154.66"/>
    <x v="1"/>
    <s v="Paid"/>
    <s v="Standard"/>
    <s v="J. Smith"/>
    <s v="Europe"/>
    <x v="8"/>
  </r>
  <r>
    <x v="430"/>
    <s v="BK50431"/>
    <d v="2025-02-18T00:00:00"/>
    <d v="2025-02-19T00:00:00"/>
    <d v="2025-03-12T00:00:00"/>
    <x v="5"/>
    <s v="Food"/>
    <s v="Switzerland"/>
    <s v="Busan"/>
    <s v="Los Angeles"/>
    <x v="0"/>
    <x v="5"/>
    <s v="High Cube"/>
    <n v="2"/>
    <s v="Food"/>
    <n v="37694.519999999997"/>
    <n v="6781.23"/>
    <n v="1888.26"/>
    <n v="1117.3599999999999"/>
    <n v="376.95"/>
    <n v="113.16"/>
    <n v="2474.19"/>
    <n v="24943.37"/>
    <n v="0"/>
    <x v="3"/>
    <n v="56.51"/>
    <x v="1"/>
    <s v="Pending"/>
    <s v="Critical"/>
    <s v="A. Tan"/>
    <s v="North America"/>
    <x v="9"/>
  </r>
  <r>
    <x v="431"/>
    <s v="BK50432"/>
    <d v="2025-12-09T00:00:00"/>
    <d v="2025-12-12T00:00:00"/>
    <d v="2026-01-09T00:00:00"/>
    <x v="9"/>
    <s v="Engineering"/>
    <s v="Germany"/>
    <s v="Jebel Ali"/>
    <s v="Nhava Sheva"/>
    <x v="2"/>
    <x v="0"/>
    <s v="40FT"/>
    <n v="1"/>
    <s v="Machinery"/>
    <n v="27684.53"/>
    <n v="6530.29"/>
    <n v="1717.65"/>
    <n v="440.89"/>
    <n v="276.85000000000002"/>
    <n v="184.51"/>
    <n v="2248.27"/>
    <n v="16286.07"/>
    <n v="0"/>
    <x v="3"/>
    <n v="54.42"/>
    <x v="1"/>
    <s v="Paid"/>
    <s v="High"/>
    <s v="A. Tan"/>
    <s v="Middle East"/>
    <x v="2"/>
  </r>
  <r>
    <x v="432"/>
    <s v="BK50433"/>
    <d v="2025-10-10T00:00:00"/>
    <d v="2025-10-11T00:00:00"/>
    <d v="2025-11-02T00:00:00"/>
    <x v="9"/>
    <s v="Engineering"/>
    <s v="Germany"/>
    <s v="Los Angeles"/>
    <s v="New York"/>
    <x v="1"/>
    <x v="4"/>
    <s v="20FT"/>
    <n v="1"/>
    <s v="Machinery"/>
    <n v="32988.89"/>
    <n v="5797.36"/>
    <n v="1365.29"/>
    <n v="374.02"/>
    <n v="329.89"/>
    <n v="311.8"/>
    <n v="1280.99"/>
    <n v="23529.54"/>
    <n v="0"/>
    <x v="3"/>
    <n v="48.31"/>
    <x v="1"/>
    <s v="Paid"/>
    <s v="Critical"/>
    <s v="A. Tan"/>
    <s v="North America"/>
    <x v="7"/>
  </r>
  <r>
    <x v="433"/>
    <s v="BK50434"/>
    <d v="2025-03-30T00:00:00"/>
    <d v="2025-04-02T00:00:00"/>
    <d v="2025-04-20T00:00:00"/>
    <x v="3"/>
    <s v="Electronics"/>
    <s v="South Korea"/>
    <s v="Hamburg"/>
    <s v="New York"/>
    <x v="1"/>
    <x v="2"/>
    <s v="High Cube"/>
    <n v="4"/>
    <s v="Auto Parts"/>
    <n v="111998.55"/>
    <n v="33270.339999999997"/>
    <n v="8210.32"/>
    <n v="2314.3200000000002"/>
    <n v="1119.99"/>
    <n v="801.44"/>
    <n v="1292.54"/>
    <n v="64989.599999999999"/>
    <n v="0"/>
    <x v="3"/>
    <n v="277.25"/>
    <x v="1"/>
    <s v="Pending"/>
    <s v="High"/>
    <s v="J. Smith"/>
    <s v="North America"/>
    <x v="5"/>
  </r>
  <r>
    <x v="434"/>
    <s v="BK50435"/>
    <d v="2025-03-17T00:00:00"/>
    <d v="2025-03-19T00:00:00"/>
    <d v="2025-04-14T00:00:00"/>
    <x v="10"/>
    <s v="E-commerce"/>
    <s v="USA"/>
    <s v="Nhava Sheva"/>
    <s v="Shanghai"/>
    <x v="1"/>
    <x v="1"/>
    <s v="Reefer"/>
    <n v="4"/>
    <s v="Electronics"/>
    <n v="108521.98"/>
    <n v="23329.9"/>
    <n v="8545.7199999999993"/>
    <n v="2075.5700000000002"/>
    <n v="1085.22"/>
    <n v="633.44000000000005"/>
    <n v="1857.02"/>
    <n v="70995.11"/>
    <n v="12"/>
    <x v="0"/>
    <n v="194.42"/>
    <x v="0"/>
    <s v="Paid"/>
    <s v="Standard"/>
    <s v="M. Ahmed"/>
    <s v="Middle East"/>
    <x v="5"/>
  </r>
  <r>
    <x v="435"/>
    <s v="BK50436"/>
    <d v="2025-01-19T00:00:00"/>
    <d v="2025-01-23T00:00:00"/>
    <d v="2025-02-20T00:00:00"/>
    <x v="3"/>
    <s v="Electronics"/>
    <s v="South Korea"/>
    <s v="Hamburg"/>
    <s v="Los Angeles"/>
    <x v="1"/>
    <x v="5"/>
    <s v="Reefer"/>
    <n v="2"/>
    <s v="Machinery"/>
    <n v="62208.67"/>
    <n v="10409.51"/>
    <n v="4469.1899999999996"/>
    <n v="938.45"/>
    <n v="622.09"/>
    <n v="764.5"/>
    <n v="400.99"/>
    <n v="44603.94"/>
    <n v="36"/>
    <x v="4"/>
    <n v="86.75"/>
    <x v="0"/>
    <s v="Paid"/>
    <s v="Standard"/>
    <s v="J. Smith"/>
    <s v="North America"/>
    <x v="11"/>
  </r>
  <r>
    <x v="436"/>
    <s v="BK50437"/>
    <d v="2025-08-03T00:00:00"/>
    <d v="2025-08-06T00:00:00"/>
    <d v="2025-08-30T00:00:00"/>
    <x v="11"/>
    <s v="Automotive"/>
    <s v="Japan"/>
    <s v="Jebel Ali"/>
    <s v="Nhava Sheva"/>
    <x v="2"/>
    <x v="3"/>
    <s v="40FT"/>
    <n v="2"/>
    <s v="Furniture"/>
    <n v="34965.339999999997"/>
    <n v="6336.44"/>
    <n v="2663.92"/>
    <n v="1026.1500000000001"/>
    <n v="349.65"/>
    <n v="481.47"/>
    <n v="2226.09"/>
    <n v="21881.62"/>
    <n v="0"/>
    <x v="3"/>
    <n v="52.8"/>
    <x v="1"/>
    <s v="Paid"/>
    <s v="High"/>
    <s v="M. Ahmed"/>
    <s v="North America"/>
    <x v="4"/>
  </r>
  <r>
    <x v="437"/>
    <s v="BK50438"/>
    <d v="2025-09-12T00:00:00"/>
    <d v="2025-09-15T00:00:00"/>
    <d v="2025-10-01T00:00:00"/>
    <x v="0"/>
    <s v="Retail"/>
    <s v="India"/>
    <s v="New York"/>
    <s v="New York"/>
    <x v="1"/>
    <x v="4"/>
    <s v="Reefer"/>
    <n v="4"/>
    <s v="Chemicals"/>
    <n v="170906.14"/>
    <n v="44479.67"/>
    <n v="11010.12"/>
    <n v="2179.21"/>
    <n v="1709.06"/>
    <n v="390.39"/>
    <n v="867.38"/>
    <n v="110270.31"/>
    <n v="36"/>
    <x v="0"/>
    <n v="370.66"/>
    <x v="0"/>
    <s v="Paid"/>
    <s v="Critical"/>
    <s v="J. Smith"/>
    <s v="Europe"/>
    <x v="3"/>
  </r>
  <r>
    <x v="438"/>
    <s v="BK50439"/>
    <d v="2025-10-02T00:00:00"/>
    <d v="2025-10-06T00:00:00"/>
    <d v="2025-10-30T00:00:00"/>
    <x v="6"/>
    <s v="Pharma"/>
    <s v="USA"/>
    <s v="Singapore"/>
    <s v="Rotterdam"/>
    <x v="3"/>
    <x v="5"/>
    <s v="20FT"/>
    <n v="1"/>
    <s v="Furniture"/>
    <n v="7525.27"/>
    <n v="1988.29"/>
    <n v="366.84"/>
    <n v="143.02000000000001"/>
    <n v="75.25"/>
    <n v="806.2"/>
    <n v="752.75"/>
    <n v="3392.92"/>
    <n v="0"/>
    <x v="3"/>
    <n v="16.57"/>
    <x v="1"/>
    <s v="Pending"/>
    <s v="High"/>
    <s v="R. Mehta"/>
    <s v="Middle East"/>
    <x v="7"/>
  </r>
  <r>
    <x v="439"/>
    <s v="BK50440"/>
    <d v="2025-04-12T00:00:00"/>
    <d v="2025-04-16T00:00:00"/>
    <d v="2025-05-13T00:00:00"/>
    <x v="3"/>
    <s v="Electronics"/>
    <s v="South Korea"/>
    <s v="Nhava Sheva"/>
    <s v="Busan"/>
    <x v="1"/>
    <x v="3"/>
    <s v="20FT"/>
    <n v="2"/>
    <s v="Electronics"/>
    <n v="80496.83"/>
    <n v="14397.77"/>
    <n v="4879.46"/>
    <n v="2072.37"/>
    <n v="804.97"/>
    <n v="584.59"/>
    <n v="1998.59"/>
    <n v="55759.08"/>
    <n v="0"/>
    <x v="3"/>
    <n v="119.98"/>
    <x v="1"/>
    <s v="Pending"/>
    <s v="High"/>
    <s v="L. Chen"/>
    <s v="North America"/>
    <x v="10"/>
  </r>
  <r>
    <x v="440"/>
    <s v="BK50441"/>
    <d v="2025-12-08T00:00:00"/>
    <d v="2025-12-11T00:00:00"/>
    <d v="2026-01-07T00:00:00"/>
    <x v="0"/>
    <s v="Retail"/>
    <s v="India"/>
    <s v="Shanghai"/>
    <s v="Rotterdam"/>
    <x v="3"/>
    <x v="0"/>
    <s v="High Cube"/>
    <n v="2"/>
    <s v="Auto Parts"/>
    <n v="72988.820000000007"/>
    <n v="17957.41"/>
    <n v="3351.26"/>
    <n v="1952.17"/>
    <n v="729.89"/>
    <n v="176.54"/>
    <n v="866.7"/>
    <n v="47954.85"/>
    <n v="48"/>
    <x v="1"/>
    <n v="149.65"/>
    <x v="0"/>
    <s v="Pending"/>
    <s v="High"/>
    <s v="A. Tan"/>
    <s v="North America"/>
    <x v="2"/>
  </r>
  <r>
    <x v="441"/>
    <s v="BK50442"/>
    <d v="2025-09-27T00:00:00"/>
    <d v="2025-09-29T00:00:00"/>
    <d v="2025-10-13T00:00:00"/>
    <x v="5"/>
    <s v="Food"/>
    <s v="Switzerland"/>
    <s v="Singapore"/>
    <s v="Rotterdam"/>
    <x v="3"/>
    <x v="4"/>
    <s v="20FT"/>
    <n v="4"/>
    <s v="Electronics"/>
    <n v="149529.88"/>
    <n v="26843.08"/>
    <n v="6538.76"/>
    <n v="2720.07"/>
    <n v="1495.3"/>
    <n v="752.59"/>
    <n v="701.44"/>
    <n v="110478.64"/>
    <n v="0"/>
    <x v="3"/>
    <n v="223.69"/>
    <x v="1"/>
    <s v="Pending"/>
    <s v="Standard"/>
    <s v="A. Tan"/>
    <s v="Europe"/>
    <x v="3"/>
  </r>
  <r>
    <x v="442"/>
    <s v="BK50443"/>
    <d v="2025-08-29T00:00:00"/>
    <d v="2025-09-02T00:00:00"/>
    <d v="2025-09-21T00:00:00"/>
    <x v="10"/>
    <s v="E-commerce"/>
    <s v="USA"/>
    <s v="Colombo"/>
    <s v="Jebel Ali"/>
    <x v="1"/>
    <x v="7"/>
    <s v="20FT"/>
    <n v="2"/>
    <s v="Textiles"/>
    <n v="24936.38"/>
    <n v="5893.77"/>
    <n v="1869.74"/>
    <n v="608.38"/>
    <n v="249.36"/>
    <n v="633.12"/>
    <n v="2467.88"/>
    <n v="13214.13"/>
    <n v="24"/>
    <x v="5"/>
    <n v="49.11"/>
    <x v="0"/>
    <s v="Paid"/>
    <s v="Standard"/>
    <s v="J. Smith"/>
    <s v="Asia"/>
    <x v="4"/>
  </r>
  <r>
    <x v="443"/>
    <s v="BK50444"/>
    <d v="2025-07-09T00:00:00"/>
    <d v="2025-07-12T00:00:00"/>
    <d v="2025-08-04T00:00:00"/>
    <x v="9"/>
    <s v="Engineering"/>
    <s v="Germany"/>
    <s v="Singapore"/>
    <s v="Rotterdam"/>
    <x v="3"/>
    <x v="0"/>
    <s v="High Cube"/>
    <n v="1"/>
    <s v="Textiles"/>
    <n v="7263.55"/>
    <n v="1282.6099999999999"/>
    <n v="422.08"/>
    <n v="203.03"/>
    <n v="72.64"/>
    <n v="522.67999999999995"/>
    <n v="2151.63"/>
    <n v="2608.88"/>
    <n v="24"/>
    <x v="4"/>
    <n v="10.69"/>
    <x v="0"/>
    <s v="Paid"/>
    <s v="High"/>
    <s v="L. Chen"/>
    <s v="Middle East"/>
    <x v="1"/>
  </r>
  <r>
    <x v="444"/>
    <s v="BK50445"/>
    <d v="2025-10-30T00:00:00"/>
    <d v="2025-11-01T00:00:00"/>
    <d v="2025-11-26T00:00:00"/>
    <x v="6"/>
    <s v="Pharma"/>
    <s v="USA"/>
    <s v="Colombo"/>
    <s v="Singapore"/>
    <x v="4"/>
    <x v="4"/>
    <s v="Reefer"/>
    <n v="4"/>
    <s v="Electronics"/>
    <n v="57467"/>
    <n v="16306.5"/>
    <n v="2680.18"/>
    <n v="1414.99"/>
    <n v="574.66999999999996"/>
    <n v="630.44000000000005"/>
    <n v="2361.86"/>
    <n v="33498.36"/>
    <n v="4"/>
    <x v="4"/>
    <n v="135.88999999999999"/>
    <x v="0"/>
    <s v="Pending"/>
    <s v="High"/>
    <s v="L. Chen"/>
    <s v="Europe"/>
    <x v="7"/>
  </r>
  <r>
    <x v="445"/>
    <s v="BK50446"/>
    <d v="2025-01-20T00:00:00"/>
    <d v="2025-01-23T00:00:00"/>
    <d v="2025-02-15T00:00:00"/>
    <x v="2"/>
    <s v="Electronics"/>
    <s v="South Korea"/>
    <s v="Rotterdam"/>
    <s v="Rotterdam"/>
    <x v="1"/>
    <x v="5"/>
    <s v="Reefer"/>
    <n v="4"/>
    <s v="Auto Parts"/>
    <n v="76743.81"/>
    <n v="16305.82"/>
    <n v="5993.26"/>
    <n v="1248.18"/>
    <n v="767.44"/>
    <n v="388.46"/>
    <n v="454.96"/>
    <n v="51585.69"/>
    <n v="0"/>
    <x v="3"/>
    <n v="135.88"/>
    <x v="1"/>
    <s v="Pending"/>
    <s v="High"/>
    <s v="L. Chen"/>
    <s v="Asia"/>
    <x v="11"/>
  </r>
  <r>
    <x v="446"/>
    <s v="BK50447"/>
    <d v="2025-10-05T00:00:00"/>
    <d v="2025-10-08T00:00:00"/>
    <d v="2025-11-03T00:00:00"/>
    <x v="4"/>
    <s v="Manufacturing"/>
    <s v="Germany"/>
    <s v="Colombo"/>
    <s v="Singapore"/>
    <x v="4"/>
    <x v="1"/>
    <s v="20FT"/>
    <n v="4"/>
    <s v="Food"/>
    <n v="59585.32"/>
    <n v="17329.84"/>
    <n v="2520.5300000000002"/>
    <n v="1335.65"/>
    <n v="595.85"/>
    <n v="656.28"/>
    <n v="1289.71"/>
    <n v="35857.46"/>
    <n v="8"/>
    <x v="2"/>
    <n v="144.41999999999999"/>
    <x v="0"/>
    <s v="Pending"/>
    <s v="Standard"/>
    <s v="M. Ahmed"/>
    <s v="Asia"/>
    <x v="7"/>
  </r>
  <r>
    <x v="447"/>
    <s v="BK50448"/>
    <d v="2025-02-28T00:00:00"/>
    <d v="2025-03-02T00:00:00"/>
    <d v="2025-03-17T00:00:00"/>
    <x v="10"/>
    <s v="E-commerce"/>
    <s v="USA"/>
    <s v="Shanghai"/>
    <s v="Rotterdam"/>
    <x v="3"/>
    <x v="0"/>
    <s v="40FT"/>
    <n v="2"/>
    <s v="Furniture"/>
    <n v="49283.24"/>
    <n v="8483.15"/>
    <n v="3610.44"/>
    <n v="1449.14"/>
    <n v="492.83"/>
    <n v="409.52"/>
    <n v="587.51"/>
    <n v="34250.65"/>
    <n v="8"/>
    <x v="1"/>
    <n v="70.69"/>
    <x v="0"/>
    <s v="Paid"/>
    <s v="Standard"/>
    <s v="R. Mehta"/>
    <s v="Asia"/>
    <x v="9"/>
  </r>
  <r>
    <x v="448"/>
    <s v="BK50449"/>
    <d v="2025-11-29T00:00:00"/>
    <d v="2025-12-03T00:00:00"/>
    <d v="2025-12-28T00:00:00"/>
    <x v="4"/>
    <s v="Manufacturing"/>
    <s v="Germany"/>
    <s v="Colombo"/>
    <s v="Singapore"/>
    <x v="4"/>
    <x v="7"/>
    <s v="Reefer"/>
    <n v="1"/>
    <s v="Auto Parts"/>
    <n v="7809.72"/>
    <n v="2330.21"/>
    <n v="510.4"/>
    <n v="161.43"/>
    <n v="78.099999999999994"/>
    <n v="123.6"/>
    <n v="721.06"/>
    <n v="3884.92"/>
    <n v="12"/>
    <x v="2"/>
    <n v="19.420000000000002"/>
    <x v="0"/>
    <s v="Pending"/>
    <s v="Critical"/>
    <s v="J. Smith"/>
    <s v="North America"/>
    <x v="8"/>
  </r>
  <r>
    <x v="449"/>
    <s v="BK50450"/>
    <d v="2025-03-01T00:00:00"/>
    <d v="2025-03-05T00:00:00"/>
    <d v="2025-03-27T00:00:00"/>
    <x v="6"/>
    <s v="Pharma"/>
    <s v="USA"/>
    <s v="Colombo"/>
    <s v="Busan"/>
    <x v="1"/>
    <x v="6"/>
    <s v="High Cube"/>
    <n v="2"/>
    <s v="Furniture"/>
    <n v="42088.81"/>
    <n v="8891.4699999999993"/>
    <n v="2302.52"/>
    <n v="669.4"/>
    <n v="420.89"/>
    <n v="190.44"/>
    <n v="894.98"/>
    <n v="28719.11"/>
    <n v="0"/>
    <x v="3"/>
    <n v="74.099999999999994"/>
    <x v="1"/>
    <s v="Pending"/>
    <s v="High"/>
    <s v="L. Chen"/>
    <s v="North America"/>
    <x v="5"/>
  </r>
  <r>
    <x v="450"/>
    <s v="BK50451"/>
    <d v="2025-09-15T00:00:00"/>
    <d v="2025-09-16T00:00:00"/>
    <d v="2025-10-12T00:00:00"/>
    <x v="11"/>
    <s v="Automotive"/>
    <s v="Japan"/>
    <s v="Jebel Ali"/>
    <s v="Nhava Sheva"/>
    <x v="2"/>
    <x v="0"/>
    <s v="High Cube"/>
    <n v="2"/>
    <s v="Chemicals"/>
    <n v="70293.09"/>
    <n v="20316.75"/>
    <n v="5348.74"/>
    <n v="1064.33"/>
    <n v="702.93"/>
    <n v="499.53"/>
    <n v="1603.63"/>
    <n v="40757.18"/>
    <n v="12"/>
    <x v="4"/>
    <n v="169.31"/>
    <x v="0"/>
    <s v="Pending"/>
    <s v="Critical"/>
    <s v="M. Ahmed"/>
    <s v="Europe"/>
    <x v="3"/>
  </r>
  <r>
    <x v="451"/>
    <s v="BK50452"/>
    <d v="2025-08-12T00:00:00"/>
    <d v="2025-08-15T00:00:00"/>
    <d v="2025-08-31T00:00:00"/>
    <x v="0"/>
    <s v="Retail"/>
    <s v="India"/>
    <s v="Busan"/>
    <s v="Los Angeles"/>
    <x v="0"/>
    <x v="5"/>
    <s v="High Cube"/>
    <n v="1"/>
    <s v="Electronics"/>
    <n v="25573.08"/>
    <n v="6931.01"/>
    <n v="1144.4100000000001"/>
    <n v="392.91"/>
    <n v="255.73"/>
    <n v="559.74"/>
    <n v="887.28"/>
    <n v="15402"/>
    <n v="36"/>
    <x v="0"/>
    <n v="57.76"/>
    <x v="0"/>
    <s v="Paid"/>
    <s v="Critical"/>
    <s v="J. Smith"/>
    <s v="Asia"/>
    <x v="4"/>
  </r>
  <r>
    <x v="452"/>
    <s v="BK50453"/>
    <d v="2025-02-11T00:00:00"/>
    <d v="2025-02-15T00:00:00"/>
    <d v="2025-02-28T00:00:00"/>
    <x v="8"/>
    <s v="Retail"/>
    <s v="Sweden"/>
    <s v="Colombo"/>
    <s v="Rotterdam"/>
    <x v="1"/>
    <x v="1"/>
    <s v="High Cube"/>
    <n v="2"/>
    <s v="Food"/>
    <n v="37348.410000000003"/>
    <n v="7684.81"/>
    <n v="2108.25"/>
    <n v="952.86"/>
    <n v="373.48"/>
    <n v="666.1"/>
    <n v="2469.65"/>
    <n v="23093.26"/>
    <n v="24"/>
    <x v="1"/>
    <n v="64.040000000000006"/>
    <x v="0"/>
    <s v="Paid"/>
    <s v="Standard"/>
    <s v="J. Smith"/>
    <s v="Asia"/>
    <x v="9"/>
  </r>
  <r>
    <x v="453"/>
    <s v="BK50454"/>
    <d v="2025-04-22T00:00:00"/>
    <d v="2025-04-24T00:00:00"/>
    <d v="2025-05-09T00:00:00"/>
    <x v="8"/>
    <s v="Retail"/>
    <s v="Sweden"/>
    <s v="Shanghai"/>
    <s v="Rotterdam"/>
    <x v="3"/>
    <x v="1"/>
    <s v="40FT"/>
    <n v="1"/>
    <s v="Furniture"/>
    <n v="37300.42"/>
    <n v="6218.49"/>
    <n v="1527.29"/>
    <n v="573.74"/>
    <n v="373"/>
    <n v="730.5"/>
    <n v="322.19"/>
    <n v="27555.21"/>
    <n v="0"/>
    <x v="3"/>
    <n v="51.82"/>
    <x v="1"/>
    <s v="Pending"/>
    <s v="High"/>
    <s v="L. Chen"/>
    <s v="North America"/>
    <x v="10"/>
  </r>
  <r>
    <x v="454"/>
    <s v="BK50455"/>
    <d v="2025-11-27T00:00:00"/>
    <d v="2025-12-01T00:00:00"/>
    <d v="2025-12-19T00:00:00"/>
    <x v="10"/>
    <s v="E-commerce"/>
    <s v="USA"/>
    <s v="Busan"/>
    <s v="Los Angeles"/>
    <x v="0"/>
    <x v="2"/>
    <s v="Reefer"/>
    <n v="2"/>
    <s v="Chemicals"/>
    <n v="71560.41"/>
    <n v="19580.89"/>
    <n v="4430.04"/>
    <n v="1663.01"/>
    <n v="715.6"/>
    <n v="188.31"/>
    <n v="2271.09"/>
    <n v="42711.47"/>
    <n v="8"/>
    <x v="1"/>
    <n v="163.16999999999999"/>
    <x v="0"/>
    <s v="Pending"/>
    <s v="Critical"/>
    <s v="J. Smith"/>
    <s v="Middle East"/>
    <x v="8"/>
  </r>
  <r>
    <x v="455"/>
    <s v="BK50456"/>
    <d v="2025-02-06T00:00:00"/>
    <d v="2025-02-08T00:00:00"/>
    <d v="2025-02-18T00:00:00"/>
    <x v="4"/>
    <s v="Manufacturing"/>
    <s v="Germany"/>
    <s v="Colombo"/>
    <s v="New York"/>
    <x v="1"/>
    <x v="5"/>
    <s v="40FT"/>
    <n v="4"/>
    <s v="Machinery"/>
    <n v="127201.79"/>
    <n v="27969.279999999999"/>
    <n v="8650.66"/>
    <n v="2987.94"/>
    <n v="1272.02"/>
    <n v="374.86"/>
    <n v="1107.1199999999999"/>
    <n v="84839.91"/>
    <n v="0"/>
    <x v="3"/>
    <n v="233.08"/>
    <x v="1"/>
    <s v="Pending"/>
    <s v="Standard"/>
    <s v="M. Ahmed"/>
    <s v="North America"/>
    <x v="9"/>
  </r>
  <r>
    <x v="456"/>
    <s v="BK50457"/>
    <d v="2025-02-07T00:00:00"/>
    <d v="2025-02-10T00:00:00"/>
    <d v="2025-02-20T00:00:00"/>
    <x v="8"/>
    <s v="Retail"/>
    <s v="Sweden"/>
    <s v="Busan"/>
    <s v="Los Angeles"/>
    <x v="0"/>
    <x v="7"/>
    <s v="40FT"/>
    <n v="4"/>
    <s v="Textiles"/>
    <n v="54736.76"/>
    <n v="15250.57"/>
    <n v="3020.72"/>
    <n v="1266.5899999999999"/>
    <n v="547.37"/>
    <n v="771.14"/>
    <n v="1305.1099999999999"/>
    <n v="32575.26"/>
    <n v="4"/>
    <x v="1"/>
    <n v="127.09"/>
    <x v="0"/>
    <s v="Pending"/>
    <s v="High"/>
    <s v="R. Mehta"/>
    <s v="Asia"/>
    <x v="9"/>
  </r>
  <r>
    <x v="457"/>
    <s v="BK50458"/>
    <d v="2025-01-20T00:00:00"/>
    <d v="2025-01-24T00:00:00"/>
    <d v="2025-02-07T00:00:00"/>
    <x v="5"/>
    <s v="Food"/>
    <s v="Switzerland"/>
    <s v="Shanghai"/>
    <s v="Colombo"/>
    <x v="1"/>
    <x v="4"/>
    <s v="20FT"/>
    <n v="2"/>
    <s v="Food"/>
    <n v="86496.75"/>
    <n v="16729.310000000001"/>
    <n v="6421.32"/>
    <n v="2090.4699999999998"/>
    <n v="864.97"/>
    <n v="859.45"/>
    <n v="387.99"/>
    <n v="59143.24"/>
    <n v="12"/>
    <x v="4"/>
    <n v="139.41"/>
    <x v="0"/>
    <s v="Paid"/>
    <s v="Standard"/>
    <s v="A. Tan"/>
    <s v="North America"/>
    <x v="11"/>
  </r>
  <r>
    <x v="458"/>
    <s v="BK50459"/>
    <d v="2025-07-21T00:00:00"/>
    <d v="2025-07-23T00:00:00"/>
    <d v="2025-08-08T00:00:00"/>
    <x v="3"/>
    <s v="Electronics"/>
    <s v="South Korea"/>
    <s v="Shanghai"/>
    <s v="Rotterdam"/>
    <x v="3"/>
    <x v="6"/>
    <s v="40FT"/>
    <n v="4"/>
    <s v="Auto Parts"/>
    <n v="85557.79"/>
    <n v="18045.7"/>
    <n v="4729.54"/>
    <n v="2326.29"/>
    <n v="855.58"/>
    <n v="295.35000000000002"/>
    <n v="2051.09"/>
    <n v="57254.239999999998"/>
    <n v="0"/>
    <x v="3"/>
    <n v="150.38"/>
    <x v="1"/>
    <s v="Pending"/>
    <s v="High"/>
    <s v="A. Tan"/>
    <s v="Europe"/>
    <x v="1"/>
  </r>
  <r>
    <x v="459"/>
    <s v="BK50460"/>
    <d v="2025-01-02T00:00:00"/>
    <d v="2025-01-05T00:00:00"/>
    <d v="2025-01-22T00:00:00"/>
    <x v="9"/>
    <s v="Engineering"/>
    <s v="Germany"/>
    <s v="Singapore"/>
    <s v="New York"/>
    <x v="1"/>
    <x v="7"/>
    <s v="20FT"/>
    <n v="4"/>
    <s v="Textiles"/>
    <n v="85672.53"/>
    <n v="22997.46"/>
    <n v="5573.63"/>
    <n v="1094.6199999999999"/>
    <n v="856.73"/>
    <n v="207.37"/>
    <n v="1796.66"/>
    <n v="53146.06"/>
    <n v="0"/>
    <x v="3"/>
    <n v="191.65"/>
    <x v="1"/>
    <s v="Paid"/>
    <s v="Critical"/>
    <s v="J. Smith"/>
    <s v="Asia"/>
    <x v="11"/>
  </r>
  <r>
    <x v="460"/>
    <s v="BK50461"/>
    <d v="2025-09-16T00:00:00"/>
    <d v="2025-09-17T00:00:00"/>
    <d v="2025-10-13T00:00:00"/>
    <x v="10"/>
    <s v="E-commerce"/>
    <s v="USA"/>
    <s v="Singapore"/>
    <s v="Los Angeles"/>
    <x v="1"/>
    <x v="2"/>
    <s v="40FT"/>
    <n v="2"/>
    <s v="Auto Parts"/>
    <n v="65280.84"/>
    <n v="13571.24"/>
    <n v="3058.68"/>
    <n v="1747.2"/>
    <n v="652.80999999999995"/>
    <n v="890.86"/>
    <n v="691.86"/>
    <n v="44668.19"/>
    <n v="4"/>
    <x v="0"/>
    <n v="113.09"/>
    <x v="0"/>
    <s v="Pending"/>
    <s v="Critical"/>
    <s v="R. Mehta"/>
    <s v="Middle East"/>
    <x v="3"/>
  </r>
  <r>
    <x v="461"/>
    <s v="BK50462"/>
    <d v="2025-01-22T00:00:00"/>
    <d v="2025-01-25T00:00:00"/>
    <d v="2025-02-20T00:00:00"/>
    <x v="6"/>
    <s v="Pharma"/>
    <s v="USA"/>
    <s v="Shanghai"/>
    <s v="Rotterdam"/>
    <x v="3"/>
    <x v="1"/>
    <s v="40FT"/>
    <n v="2"/>
    <s v="Furniture"/>
    <n v="52144.3"/>
    <n v="8727.51"/>
    <n v="3472.85"/>
    <n v="618.78"/>
    <n v="521.44000000000005"/>
    <n v="306.42"/>
    <n v="1716.33"/>
    <n v="36780.97"/>
    <n v="4"/>
    <x v="2"/>
    <n v="72.73"/>
    <x v="0"/>
    <s v="Pending"/>
    <s v="Critical"/>
    <s v="R. Mehta"/>
    <s v="Asia"/>
    <x v="11"/>
  </r>
  <r>
    <x v="462"/>
    <s v="BK50463"/>
    <d v="2025-04-11T00:00:00"/>
    <d v="2025-04-14T00:00:00"/>
    <d v="2025-04-26T00:00:00"/>
    <x v="4"/>
    <s v="Manufacturing"/>
    <s v="Germany"/>
    <s v="Shanghai"/>
    <s v="Rotterdam"/>
    <x v="3"/>
    <x v="2"/>
    <s v="High Cube"/>
    <n v="2"/>
    <s v="Auto Parts"/>
    <n v="30155.97"/>
    <n v="6038.3"/>
    <n v="1360.96"/>
    <n v="843.38"/>
    <n v="301.56"/>
    <n v="591.35"/>
    <n v="1073.98"/>
    <n v="19946.439999999999"/>
    <n v="48"/>
    <x v="5"/>
    <n v="50.32"/>
    <x v="0"/>
    <s v="Pending"/>
    <s v="Standard"/>
    <s v="L. Chen"/>
    <s v="Middle East"/>
    <x v="10"/>
  </r>
  <r>
    <x v="463"/>
    <s v="BK50464"/>
    <d v="2025-12-13T00:00:00"/>
    <d v="2025-12-15T00:00:00"/>
    <d v="2026-01-08T00:00:00"/>
    <x v="2"/>
    <s v="Electronics"/>
    <s v="South Korea"/>
    <s v="Singapore"/>
    <s v="Rotterdam"/>
    <x v="3"/>
    <x v="7"/>
    <s v="20FT"/>
    <n v="4"/>
    <s v="Electronics"/>
    <n v="104776.04"/>
    <n v="17185.46"/>
    <n v="6518.31"/>
    <n v="2020.53"/>
    <n v="1047.76"/>
    <n v="846.12"/>
    <n v="1999.97"/>
    <n v="75157.89"/>
    <n v="48"/>
    <x v="2"/>
    <n v="143.21"/>
    <x v="0"/>
    <s v="Paid"/>
    <s v="Critical"/>
    <s v="A. Tan"/>
    <s v="Middle East"/>
    <x v="2"/>
  </r>
  <r>
    <x v="464"/>
    <s v="BK50465"/>
    <d v="2025-12-26T00:00:00"/>
    <d v="2025-12-30T00:00:00"/>
    <d v="2026-01-25T00:00:00"/>
    <x v="2"/>
    <s v="Electronics"/>
    <s v="South Korea"/>
    <s v="Hamburg"/>
    <s v="Los Angeles"/>
    <x v="1"/>
    <x v="0"/>
    <s v="Reefer"/>
    <n v="4"/>
    <s v="Food"/>
    <n v="50476.7"/>
    <n v="15079.18"/>
    <n v="2117.7399999999998"/>
    <n v="792.93"/>
    <n v="504.77"/>
    <n v="772.44"/>
    <n v="1709.84"/>
    <n v="29499.8"/>
    <n v="4"/>
    <x v="1"/>
    <n v="125.66"/>
    <x v="0"/>
    <s v="Paid"/>
    <s v="Critical"/>
    <s v="A. Tan"/>
    <s v="Europe"/>
    <x v="2"/>
  </r>
  <r>
    <x v="465"/>
    <s v="BK50466"/>
    <d v="2025-10-03T00:00:00"/>
    <d v="2025-10-05T00:00:00"/>
    <d v="2025-10-16T00:00:00"/>
    <x v="11"/>
    <s v="Automotive"/>
    <s v="Japan"/>
    <s v="Jebel Ali"/>
    <s v="Nhava Sheva"/>
    <x v="2"/>
    <x v="2"/>
    <s v="20FT"/>
    <n v="4"/>
    <s v="Auto Parts"/>
    <n v="48909.57"/>
    <n v="8215.69"/>
    <n v="2457.5"/>
    <n v="1316.62"/>
    <n v="489.1"/>
    <n v="103"/>
    <n v="1917.88"/>
    <n v="34409.78"/>
    <n v="0"/>
    <x v="3"/>
    <n v="68.459999999999994"/>
    <x v="1"/>
    <s v="Pending"/>
    <s v="High"/>
    <s v="R. Mehta"/>
    <s v="Asia"/>
    <x v="7"/>
  </r>
  <r>
    <x v="466"/>
    <s v="BK50467"/>
    <d v="2025-07-04T00:00:00"/>
    <d v="2025-07-06T00:00:00"/>
    <d v="2025-07-24T00:00:00"/>
    <x v="1"/>
    <s v="FMCG"/>
    <s v="UK"/>
    <s v="Singapore"/>
    <s v="Los Angeles"/>
    <x v="1"/>
    <x v="4"/>
    <s v="Reefer"/>
    <n v="4"/>
    <s v="Food"/>
    <n v="85639.08"/>
    <n v="15517.32"/>
    <n v="5507.66"/>
    <n v="1461.55"/>
    <n v="856.39"/>
    <n v="356.87"/>
    <n v="2296.5300000000002"/>
    <n v="59642.76"/>
    <n v="48"/>
    <x v="2"/>
    <n v="129.31"/>
    <x v="0"/>
    <s v="Pending"/>
    <s v="High"/>
    <s v="R. Mehta"/>
    <s v="Asia"/>
    <x v="1"/>
  </r>
  <r>
    <x v="467"/>
    <s v="BK50468"/>
    <d v="2025-10-18T00:00:00"/>
    <d v="2025-10-19T00:00:00"/>
    <d v="2025-11-12T00:00:00"/>
    <x v="10"/>
    <s v="E-commerce"/>
    <s v="USA"/>
    <s v="Busan"/>
    <s v="Los Angeles"/>
    <x v="0"/>
    <x v="7"/>
    <s v="20FT"/>
    <n v="1"/>
    <s v="Machinery"/>
    <n v="44293.03"/>
    <n v="13119"/>
    <n v="2236.9499999999998"/>
    <n v="1217.55"/>
    <n v="442.93"/>
    <n v="834.61"/>
    <n v="1931.25"/>
    <n v="24510.74"/>
    <n v="4"/>
    <x v="4"/>
    <n v="109.33"/>
    <x v="0"/>
    <s v="Paid"/>
    <s v="Standard"/>
    <s v="R. Mehta"/>
    <s v="Europe"/>
    <x v="7"/>
  </r>
  <r>
    <x v="468"/>
    <s v="BK50469"/>
    <d v="2025-01-15T00:00:00"/>
    <d v="2025-01-18T00:00:00"/>
    <d v="2025-02-15T00:00:00"/>
    <x v="2"/>
    <s v="Electronics"/>
    <s v="South Korea"/>
    <s v="Shanghai"/>
    <s v="Rotterdam"/>
    <x v="3"/>
    <x v="1"/>
    <s v="20FT"/>
    <n v="4"/>
    <s v="Machinery"/>
    <n v="70534.16"/>
    <n v="21110.48"/>
    <n v="3187.64"/>
    <n v="1486.7"/>
    <n v="705.34"/>
    <n v="256.98"/>
    <n v="627.32000000000005"/>
    <n v="43159.7"/>
    <n v="0"/>
    <x v="3"/>
    <n v="175.92"/>
    <x v="1"/>
    <s v="Paid"/>
    <s v="Critical"/>
    <s v="J. Smith"/>
    <s v="Europe"/>
    <x v="11"/>
  </r>
  <r>
    <x v="469"/>
    <s v="BK50470"/>
    <d v="2025-06-08T00:00:00"/>
    <d v="2025-06-10T00:00:00"/>
    <d v="2025-06-29T00:00:00"/>
    <x v="10"/>
    <s v="E-commerce"/>
    <s v="USA"/>
    <s v="Colombo"/>
    <s v="Singapore"/>
    <x v="4"/>
    <x v="7"/>
    <s v="20FT"/>
    <n v="2"/>
    <s v="Machinery"/>
    <n v="80212.710000000006"/>
    <n v="13482.42"/>
    <n v="5383.93"/>
    <n v="1824.37"/>
    <n v="802.13"/>
    <n v="448.47"/>
    <n v="1856.16"/>
    <n v="56415.23"/>
    <n v="0"/>
    <x v="3"/>
    <n v="112.35"/>
    <x v="1"/>
    <s v="Paid"/>
    <s v="Standard"/>
    <s v="L. Chen"/>
    <s v="Europe"/>
    <x v="0"/>
  </r>
  <r>
    <x v="470"/>
    <s v="BK50471"/>
    <d v="2025-09-28T00:00:00"/>
    <d v="2025-10-02T00:00:00"/>
    <d v="2025-10-25T00:00:00"/>
    <x v="10"/>
    <s v="E-commerce"/>
    <s v="USA"/>
    <s v="Singapore"/>
    <s v="Rotterdam"/>
    <x v="3"/>
    <x v="1"/>
    <s v="20FT"/>
    <n v="2"/>
    <s v="Food"/>
    <n v="63869.93"/>
    <n v="11464.23"/>
    <n v="4441.04"/>
    <n v="1597.83"/>
    <n v="638.70000000000005"/>
    <n v="850.17"/>
    <n v="2032.6"/>
    <n v="42845.36"/>
    <n v="0"/>
    <x v="3"/>
    <n v="95.54"/>
    <x v="1"/>
    <s v="Paid"/>
    <s v="Critical"/>
    <s v="A. Tan"/>
    <s v="North America"/>
    <x v="3"/>
  </r>
  <r>
    <x v="471"/>
    <s v="BK50472"/>
    <d v="2025-02-06T00:00:00"/>
    <d v="2025-02-08T00:00:00"/>
    <d v="2025-03-08T00:00:00"/>
    <x v="5"/>
    <s v="Food"/>
    <s v="Switzerland"/>
    <s v="Shanghai"/>
    <s v="Rotterdam"/>
    <x v="3"/>
    <x v="4"/>
    <s v="20FT"/>
    <n v="1"/>
    <s v="Machinery"/>
    <n v="21533.67"/>
    <n v="3886.93"/>
    <n v="1681.82"/>
    <n v="351.63"/>
    <n v="215.34"/>
    <n v="783.64"/>
    <n v="1380.71"/>
    <n v="13233.6"/>
    <n v="0"/>
    <x v="3"/>
    <n v="32.39"/>
    <x v="1"/>
    <s v="Pending"/>
    <s v="High"/>
    <s v="R. Mehta"/>
    <s v="North America"/>
    <x v="9"/>
  </r>
  <r>
    <x v="472"/>
    <s v="BK50473"/>
    <d v="2025-08-26T00:00:00"/>
    <d v="2025-08-30T00:00:00"/>
    <d v="2025-09-14T00:00:00"/>
    <x v="5"/>
    <s v="Food"/>
    <s v="Switzerland"/>
    <s v="Singapore"/>
    <s v="Rotterdam"/>
    <x v="3"/>
    <x v="1"/>
    <s v="40FT"/>
    <n v="2"/>
    <s v="Furniture"/>
    <n v="42916.46"/>
    <n v="8341.52"/>
    <n v="2413.56"/>
    <n v="1230.9100000000001"/>
    <n v="429.16"/>
    <n v="545.12"/>
    <n v="2245.54"/>
    <n v="27710.65"/>
    <n v="48"/>
    <x v="1"/>
    <n v="69.510000000000005"/>
    <x v="0"/>
    <s v="Pending"/>
    <s v="High"/>
    <s v="L. Chen"/>
    <s v="Europe"/>
    <x v="4"/>
  </r>
  <r>
    <x v="473"/>
    <s v="BK50474"/>
    <d v="2025-01-07T00:00:00"/>
    <d v="2025-01-08T00:00:00"/>
    <d v="2025-01-21T00:00:00"/>
    <x v="0"/>
    <s v="Retail"/>
    <s v="India"/>
    <s v="Colombo"/>
    <s v="Singapore"/>
    <x v="4"/>
    <x v="6"/>
    <s v="High Cube"/>
    <n v="2"/>
    <s v="Auto Parts"/>
    <n v="48534.64"/>
    <n v="11816"/>
    <n v="3113.56"/>
    <n v="548.13"/>
    <n v="485.35"/>
    <n v="492.61"/>
    <n v="1179.44"/>
    <n v="30899.55"/>
    <n v="0"/>
    <x v="3"/>
    <n v="98.47"/>
    <x v="1"/>
    <s v="Paid"/>
    <s v="Standard"/>
    <s v="R. Mehta"/>
    <s v="Europe"/>
    <x v="11"/>
  </r>
  <r>
    <x v="474"/>
    <s v="BK50475"/>
    <d v="2025-03-08T00:00:00"/>
    <d v="2025-03-12T00:00:00"/>
    <d v="2025-03-29T00:00:00"/>
    <x v="5"/>
    <s v="Food"/>
    <s v="Switzerland"/>
    <s v="Busan"/>
    <s v="Nhava Sheva"/>
    <x v="1"/>
    <x v="0"/>
    <s v="40FT"/>
    <n v="2"/>
    <s v="Furniture"/>
    <n v="49976.27"/>
    <n v="12375.61"/>
    <n v="2175.4699999999998"/>
    <n v="899.68"/>
    <n v="499.76"/>
    <n v="732.52"/>
    <n v="322.16000000000003"/>
    <n v="32971.07"/>
    <n v="0"/>
    <x v="3"/>
    <n v="103.13"/>
    <x v="1"/>
    <s v="Pending"/>
    <s v="Standard"/>
    <s v="L. Chen"/>
    <s v="Europe"/>
    <x v="5"/>
  </r>
  <r>
    <x v="475"/>
    <s v="BK50476"/>
    <d v="2025-04-02T00:00:00"/>
    <d v="2025-04-05T00:00:00"/>
    <d v="2025-04-26T00:00:00"/>
    <x v="9"/>
    <s v="Engineering"/>
    <s v="Germany"/>
    <s v="Singapore"/>
    <s v="Rotterdam"/>
    <x v="3"/>
    <x v="4"/>
    <s v="40FT"/>
    <n v="4"/>
    <s v="Food"/>
    <n v="66607.55"/>
    <n v="14280.76"/>
    <n v="4013.42"/>
    <n v="1681.49"/>
    <n v="666.08"/>
    <n v="784.73"/>
    <n v="326.74"/>
    <n v="44854.33"/>
    <n v="0"/>
    <x v="3"/>
    <n v="119.01"/>
    <x v="1"/>
    <s v="Pending"/>
    <s v="High"/>
    <s v="M. Ahmed"/>
    <s v="Asia"/>
    <x v="10"/>
  </r>
  <r>
    <x v="476"/>
    <s v="BK50477"/>
    <d v="2025-10-15T00:00:00"/>
    <d v="2025-10-17T00:00:00"/>
    <d v="2025-11-07T00:00:00"/>
    <x v="0"/>
    <s v="Retail"/>
    <s v="India"/>
    <s v="Singapore"/>
    <s v="Rotterdam"/>
    <x v="3"/>
    <x v="6"/>
    <s v="High Cube"/>
    <n v="1"/>
    <s v="Electronics"/>
    <n v="43944.54"/>
    <n v="11171.26"/>
    <n v="1885.96"/>
    <n v="660.84"/>
    <n v="439.45"/>
    <n v="623.84"/>
    <n v="2386.7600000000002"/>
    <n v="26776.43"/>
    <n v="0"/>
    <x v="3"/>
    <n v="93.09"/>
    <x v="1"/>
    <s v="Paid"/>
    <s v="Standard"/>
    <s v="J. Smith"/>
    <s v="North America"/>
    <x v="7"/>
  </r>
  <r>
    <x v="477"/>
    <s v="BK50478"/>
    <d v="2025-03-19T00:00:00"/>
    <d v="2025-03-20T00:00:00"/>
    <d v="2025-04-16T00:00:00"/>
    <x v="6"/>
    <s v="Pharma"/>
    <s v="USA"/>
    <s v="Jebel Ali"/>
    <s v="Shanghai"/>
    <x v="1"/>
    <x v="1"/>
    <s v="Reefer"/>
    <n v="1"/>
    <s v="Auto Parts"/>
    <n v="6364.11"/>
    <n v="1828.11"/>
    <n v="360.24"/>
    <n v="88.46"/>
    <n v="63.64"/>
    <n v="125.19"/>
    <n v="1343.88"/>
    <n v="2554.59"/>
    <n v="0"/>
    <x v="3"/>
    <n v="15.23"/>
    <x v="1"/>
    <s v="Paid"/>
    <s v="Critical"/>
    <s v="A. Tan"/>
    <s v="North America"/>
    <x v="5"/>
  </r>
  <r>
    <x v="478"/>
    <s v="BK50479"/>
    <d v="2025-08-08T00:00:00"/>
    <d v="2025-08-12T00:00:00"/>
    <d v="2025-08-23T00:00:00"/>
    <x v="6"/>
    <s v="Pharma"/>
    <s v="USA"/>
    <s v="Nhava Sheva"/>
    <s v="Los Angeles"/>
    <x v="1"/>
    <x v="6"/>
    <s v="40FT"/>
    <n v="2"/>
    <s v="Electronics"/>
    <n v="28767.61"/>
    <n v="8371.75"/>
    <n v="1822"/>
    <n v="781.31"/>
    <n v="287.68"/>
    <n v="712.09"/>
    <n v="844.16"/>
    <n v="15948.62"/>
    <n v="4"/>
    <x v="4"/>
    <n v="69.760000000000005"/>
    <x v="0"/>
    <s v="Pending"/>
    <s v="Standard"/>
    <s v="A. Tan"/>
    <s v="Middle East"/>
    <x v="4"/>
  </r>
  <r>
    <x v="479"/>
    <s v="BK50480"/>
    <d v="2025-06-15T00:00:00"/>
    <d v="2025-06-18T00:00:00"/>
    <d v="2025-06-30T00:00:00"/>
    <x v="5"/>
    <s v="Food"/>
    <s v="Switzerland"/>
    <s v="Singapore"/>
    <s v="Rotterdam"/>
    <x v="3"/>
    <x v="2"/>
    <s v="40FT"/>
    <n v="2"/>
    <s v="Textiles"/>
    <n v="40432.980000000003"/>
    <n v="11237.48"/>
    <n v="2556.62"/>
    <n v="443.34"/>
    <n v="404.33"/>
    <n v="214.59"/>
    <n v="692.65"/>
    <n v="24883.97"/>
    <n v="0"/>
    <x v="3"/>
    <n v="93.65"/>
    <x v="1"/>
    <s v="Paid"/>
    <s v="Standard"/>
    <s v="J. Smith"/>
    <s v="Europe"/>
    <x v="0"/>
  </r>
  <r>
    <x v="480"/>
    <s v="BK50481"/>
    <d v="2025-06-01T00:00:00"/>
    <d v="2025-06-03T00:00:00"/>
    <d v="2025-06-27T00:00:00"/>
    <x v="2"/>
    <s v="Electronics"/>
    <s v="South Korea"/>
    <s v="Shanghai"/>
    <s v="Rotterdam"/>
    <x v="3"/>
    <x v="5"/>
    <s v="Reefer"/>
    <n v="2"/>
    <s v="Chemicals"/>
    <n v="32866.92"/>
    <n v="6161.95"/>
    <n v="2559.6"/>
    <n v="898.76"/>
    <n v="328.67"/>
    <n v="112.48"/>
    <n v="2051.1999999999998"/>
    <n v="20754.259999999998"/>
    <n v="48"/>
    <x v="0"/>
    <n v="51.35"/>
    <x v="0"/>
    <s v="Paid"/>
    <s v="High"/>
    <s v="M. Ahmed"/>
    <s v="Middle East"/>
    <x v="0"/>
  </r>
  <r>
    <x v="481"/>
    <s v="BK50482"/>
    <d v="2025-07-20T00:00:00"/>
    <d v="2025-07-22T00:00:00"/>
    <d v="2025-08-01T00:00:00"/>
    <x v="7"/>
    <s v="Retail"/>
    <s v="Germany"/>
    <s v="Singapore"/>
    <s v="New York"/>
    <x v="1"/>
    <x v="2"/>
    <s v="High Cube"/>
    <n v="1"/>
    <s v="Chemicals"/>
    <n v="13382.07"/>
    <n v="3895.94"/>
    <n v="1022.81"/>
    <n v="376.82"/>
    <n v="133.82"/>
    <n v="794.43"/>
    <n v="1827.42"/>
    <n v="5330.83"/>
    <n v="0"/>
    <x v="3"/>
    <n v="32.47"/>
    <x v="1"/>
    <s v="Pending"/>
    <s v="Critical"/>
    <s v="M. Ahmed"/>
    <s v="Asia"/>
    <x v="1"/>
  </r>
  <r>
    <x v="482"/>
    <s v="BK50483"/>
    <d v="2025-07-20T00:00:00"/>
    <d v="2025-07-23T00:00:00"/>
    <d v="2025-08-18T00:00:00"/>
    <x v="3"/>
    <s v="Electronics"/>
    <s v="South Korea"/>
    <s v="New York"/>
    <s v="Singapore"/>
    <x v="1"/>
    <x v="5"/>
    <s v="Reefer"/>
    <n v="2"/>
    <s v="Chemicals"/>
    <n v="36657.379999999997"/>
    <n v="10030.06"/>
    <n v="2580.09"/>
    <n v="580.1"/>
    <n v="366.57"/>
    <n v="447.43"/>
    <n v="638.54999999999995"/>
    <n v="22014.58"/>
    <n v="24"/>
    <x v="2"/>
    <n v="83.58"/>
    <x v="0"/>
    <s v="Paid"/>
    <s v="Critical"/>
    <s v="L. Chen"/>
    <s v="Middle East"/>
    <x v="1"/>
  </r>
  <r>
    <x v="483"/>
    <s v="BK50484"/>
    <d v="2025-11-21T00:00:00"/>
    <d v="2025-11-22T00:00:00"/>
    <d v="2025-12-06T00:00:00"/>
    <x v="6"/>
    <s v="Pharma"/>
    <s v="USA"/>
    <s v="Shanghai"/>
    <s v="Rotterdam"/>
    <x v="3"/>
    <x v="5"/>
    <s v="Reefer"/>
    <n v="4"/>
    <s v="Furniture"/>
    <n v="133873.76"/>
    <n v="35511.58"/>
    <n v="8150.09"/>
    <n v="3413.74"/>
    <n v="1338.74"/>
    <n v="635.30999999999995"/>
    <n v="1562.2"/>
    <n v="83262.100000000006"/>
    <n v="36"/>
    <x v="0"/>
    <n v="295.93"/>
    <x v="0"/>
    <s v="Pending"/>
    <s v="High"/>
    <s v="L. Chen"/>
    <s v="Middle East"/>
    <x v="8"/>
  </r>
  <r>
    <x v="484"/>
    <s v="BK50485"/>
    <d v="2025-09-18T00:00:00"/>
    <d v="2025-09-20T00:00:00"/>
    <d v="2025-10-17T00:00:00"/>
    <x v="11"/>
    <s v="Automotive"/>
    <s v="Japan"/>
    <s v="Los Angeles"/>
    <s v="Jebel Ali"/>
    <x v="1"/>
    <x v="7"/>
    <s v="40FT"/>
    <n v="1"/>
    <s v="Textiles"/>
    <n v="39489.51"/>
    <n v="9461.0499999999993"/>
    <n v="1937.96"/>
    <n v="840.69"/>
    <n v="394.9"/>
    <n v="605.1"/>
    <n v="444.97"/>
    <n v="25804.84"/>
    <n v="24"/>
    <x v="4"/>
    <n v="78.84"/>
    <x v="0"/>
    <s v="Paid"/>
    <s v="Critical"/>
    <s v="L. Chen"/>
    <s v="North America"/>
    <x v="3"/>
  </r>
  <r>
    <x v="485"/>
    <s v="BK50486"/>
    <d v="2025-07-06T00:00:00"/>
    <d v="2025-07-10T00:00:00"/>
    <d v="2025-08-03T00:00:00"/>
    <x v="1"/>
    <s v="FMCG"/>
    <s v="UK"/>
    <s v="Colombo"/>
    <s v="Singapore"/>
    <x v="4"/>
    <x v="5"/>
    <s v="20FT"/>
    <n v="4"/>
    <s v="Food"/>
    <n v="91961.71"/>
    <n v="17137.61"/>
    <n v="6452.03"/>
    <n v="2597.58"/>
    <n v="919.62"/>
    <n v="123.05"/>
    <n v="2212.77"/>
    <n v="62519.05"/>
    <n v="48"/>
    <x v="5"/>
    <n v="142.81"/>
    <x v="0"/>
    <s v="Paid"/>
    <s v="Standard"/>
    <s v="R. Mehta"/>
    <s v="Asia"/>
    <x v="1"/>
  </r>
  <r>
    <x v="486"/>
    <s v="BK50487"/>
    <d v="2025-05-01T00:00:00"/>
    <d v="2025-05-02T00:00:00"/>
    <d v="2025-05-19T00:00:00"/>
    <x v="5"/>
    <s v="Food"/>
    <s v="Switzerland"/>
    <s v="Colombo"/>
    <s v="Los Angeles"/>
    <x v="1"/>
    <x v="3"/>
    <s v="40FT"/>
    <n v="2"/>
    <s v="Electronics"/>
    <n v="46694.34"/>
    <n v="11013.22"/>
    <n v="2563.89"/>
    <n v="845.04"/>
    <n v="466.94"/>
    <n v="132.11000000000001"/>
    <n v="2477.48"/>
    <n v="29195.66"/>
    <n v="0"/>
    <x v="3"/>
    <n v="91.78"/>
    <x v="1"/>
    <s v="Pending"/>
    <s v="Standard"/>
    <s v="M. Ahmed"/>
    <s v="Asia"/>
    <x v="6"/>
  </r>
  <r>
    <x v="487"/>
    <s v="BK50488"/>
    <d v="2025-09-16T00:00:00"/>
    <d v="2025-09-17T00:00:00"/>
    <d v="2025-10-12T00:00:00"/>
    <x v="3"/>
    <s v="Electronics"/>
    <s v="South Korea"/>
    <s v="Busan"/>
    <s v="Los Angeles"/>
    <x v="0"/>
    <x v="1"/>
    <s v="High Cube"/>
    <n v="4"/>
    <s v="Food"/>
    <n v="38601.699999999997"/>
    <n v="7173.09"/>
    <n v="2587.02"/>
    <n v="967.59"/>
    <n v="386.02"/>
    <n v="180.17"/>
    <n v="1654.34"/>
    <n v="25653.47"/>
    <n v="12"/>
    <x v="0"/>
    <n v="59.78"/>
    <x v="0"/>
    <s v="Pending"/>
    <s v="Standard"/>
    <s v="A. Tan"/>
    <s v="North America"/>
    <x v="3"/>
  </r>
  <r>
    <x v="488"/>
    <s v="BK50489"/>
    <d v="2025-03-29T00:00:00"/>
    <d v="2025-03-30T00:00:00"/>
    <d v="2025-04-19T00:00:00"/>
    <x v="9"/>
    <s v="Engineering"/>
    <s v="Germany"/>
    <s v="Colombo"/>
    <s v="Singapore"/>
    <x v="4"/>
    <x v="4"/>
    <s v="High Cube"/>
    <n v="2"/>
    <s v="Chemicals"/>
    <n v="32407.7"/>
    <n v="9171.35"/>
    <n v="2229.15"/>
    <n v="921.16"/>
    <n v="324.08"/>
    <n v="319.68"/>
    <n v="687.87"/>
    <n v="18754.41"/>
    <n v="24"/>
    <x v="2"/>
    <n v="76.430000000000007"/>
    <x v="0"/>
    <s v="Pending"/>
    <s v="Critical"/>
    <s v="M. Ahmed"/>
    <s v="North America"/>
    <x v="5"/>
  </r>
  <r>
    <x v="489"/>
    <s v="BK50490"/>
    <d v="2025-04-30T00:00:00"/>
    <d v="2025-05-01T00:00:00"/>
    <d v="2025-05-22T00:00:00"/>
    <x v="8"/>
    <s v="Retail"/>
    <s v="Sweden"/>
    <s v="Singapore"/>
    <s v="Rotterdam"/>
    <x v="3"/>
    <x v="4"/>
    <s v="High Cube"/>
    <n v="4"/>
    <s v="Electronics"/>
    <n v="96042.93"/>
    <n v="26793.25"/>
    <n v="5017.38"/>
    <n v="1611.01"/>
    <n v="960.43"/>
    <n v="327.27999999999997"/>
    <n v="1249.8599999999999"/>
    <n v="60083.72"/>
    <n v="12"/>
    <x v="2"/>
    <n v="223.28"/>
    <x v="0"/>
    <s v="Paid"/>
    <s v="Critical"/>
    <s v="A. Tan"/>
    <s v="Asia"/>
    <x v="10"/>
  </r>
  <r>
    <x v="490"/>
    <s v="BK50491"/>
    <d v="2025-02-11T00:00:00"/>
    <d v="2025-02-13T00:00:00"/>
    <d v="2025-03-05T00:00:00"/>
    <x v="4"/>
    <s v="Manufacturing"/>
    <s v="Germany"/>
    <s v="Colombo"/>
    <s v="Singapore"/>
    <x v="4"/>
    <x v="3"/>
    <s v="Reefer"/>
    <n v="2"/>
    <s v="Food"/>
    <n v="76059.78"/>
    <n v="12631.8"/>
    <n v="5709.35"/>
    <n v="1557.87"/>
    <n v="760.6"/>
    <n v="415.59"/>
    <n v="2388.21"/>
    <n v="52596.36"/>
    <n v="24"/>
    <x v="1"/>
    <n v="105.27"/>
    <x v="0"/>
    <s v="Paid"/>
    <s v="Critical"/>
    <s v="A. Tan"/>
    <s v="North America"/>
    <x v="9"/>
  </r>
  <r>
    <x v="491"/>
    <s v="BK50492"/>
    <d v="2025-11-02T00:00:00"/>
    <d v="2025-11-05T00:00:00"/>
    <d v="2025-12-02T00:00:00"/>
    <x v="8"/>
    <s v="Retail"/>
    <s v="Sweden"/>
    <s v="Shanghai"/>
    <s v="Rotterdam"/>
    <x v="3"/>
    <x v="2"/>
    <s v="Reefer"/>
    <n v="2"/>
    <s v="Textiles"/>
    <n v="66092.62"/>
    <n v="15039.32"/>
    <n v="5085.6899999999996"/>
    <n v="1817"/>
    <n v="660.93"/>
    <n v="623.49"/>
    <n v="1044.8900000000001"/>
    <n v="41821.300000000003"/>
    <n v="8"/>
    <x v="0"/>
    <n v="125.33"/>
    <x v="0"/>
    <s v="Paid"/>
    <s v="High"/>
    <s v="A. Tan"/>
    <s v="Middle East"/>
    <x v="8"/>
  </r>
  <r>
    <x v="492"/>
    <s v="BK50493"/>
    <d v="2025-04-04T00:00:00"/>
    <d v="2025-04-05T00:00:00"/>
    <d v="2025-04-30T00:00:00"/>
    <x v="7"/>
    <s v="Retail"/>
    <s v="Germany"/>
    <s v="Colombo"/>
    <s v="Singapore"/>
    <x v="4"/>
    <x v="3"/>
    <s v="Reefer"/>
    <n v="2"/>
    <s v="Textiles"/>
    <n v="47908.94"/>
    <n v="11108.21"/>
    <n v="2735.31"/>
    <n v="568.41"/>
    <n v="479.09"/>
    <n v="666.42"/>
    <n v="652.02"/>
    <n v="31699.48"/>
    <n v="0"/>
    <x v="3"/>
    <n v="92.57"/>
    <x v="1"/>
    <s v="Paid"/>
    <s v="Standard"/>
    <s v="A. Tan"/>
    <s v="Middle East"/>
    <x v="10"/>
  </r>
  <r>
    <x v="493"/>
    <s v="BK50494"/>
    <d v="2025-09-04T00:00:00"/>
    <d v="2025-09-05T00:00:00"/>
    <d v="2025-10-03T00:00:00"/>
    <x v="11"/>
    <s v="Automotive"/>
    <s v="Japan"/>
    <s v="Colombo"/>
    <s v="Singapore"/>
    <x v="4"/>
    <x v="6"/>
    <s v="Reefer"/>
    <n v="1"/>
    <s v="Auto Parts"/>
    <n v="30782.78"/>
    <n v="7452.91"/>
    <n v="2315.58"/>
    <n v="666.64"/>
    <n v="307.83"/>
    <n v="551.14"/>
    <n v="1650.41"/>
    <n v="17838.27"/>
    <n v="4"/>
    <x v="4"/>
    <n v="62.11"/>
    <x v="0"/>
    <s v="Paid"/>
    <s v="High"/>
    <s v="M. Ahmed"/>
    <s v="Europe"/>
    <x v="3"/>
  </r>
  <r>
    <x v="494"/>
    <s v="BK50495"/>
    <d v="2025-01-27T00:00:00"/>
    <d v="2025-01-29T00:00:00"/>
    <d v="2025-02-17T00:00:00"/>
    <x v="3"/>
    <s v="Electronics"/>
    <s v="South Korea"/>
    <s v="Busan"/>
    <s v="Los Angeles"/>
    <x v="0"/>
    <x v="0"/>
    <s v="Reefer"/>
    <n v="1"/>
    <s v="Electronics"/>
    <n v="21660.560000000001"/>
    <n v="4060.24"/>
    <n v="883.29"/>
    <n v="271.95"/>
    <n v="216.61"/>
    <n v="348.7"/>
    <n v="774.5"/>
    <n v="15105.27"/>
    <n v="0"/>
    <x v="3"/>
    <n v="33.840000000000003"/>
    <x v="1"/>
    <s v="Paid"/>
    <s v="High"/>
    <s v="J. Smith"/>
    <s v="North America"/>
    <x v="11"/>
  </r>
  <r>
    <x v="495"/>
    <s v="BK50496"/>
    <d v="2025-08-13T00:00:00"/>
    <d v="2025-08-16T00:00:00"/>
    <d v="2025-08-31T00:00:00"/>
    <x v="0"/>
    <s v="Retail"/>
    <s v="India"/>
    <s v="Shanghai"/>
    <s v="Rotterdam"/>
    <x v="3"/>
    <x v="0"/>
    <s v="High Cube"/>
    <n v="4"/>
    <s v="Auto Parts"/>
    <n v="156736.46"/>
    <n v="40196.82"/>
    <n v="10802.93"/>
    <n v="1906.71"/>
    <n v="1567.36"/>
    <n v="797.22"/>
    <n v="2375.64"/>
    <n v="99089.78"/>
    <n v="24"/>
    <x v="5"/>
    <n v="334.97"/>
    <x v="0"/>
    <s v="Paid"/>
    <s v="Critical"/>
    <s v="J. Smith"/>
    <s v="Europe"/>
    <x v="4"/>
  </r>
  <r>
    <x v="496"/>
    <s v="BK50497"/>
    <d v="2025-09-21T00:00:00"/>
    <d v="2025-09-22T00:00:00"/>
    <d v="2025-10-11T00:00:00"/>
    <x v="1"/>
    <s v="FMCG"/>
    <s v="UK"/>
    <s v="Nhava Sheva"/>
    <s v="Rotterdam"/>
    <x v="1"/>
    <x v="2"/>
    <s v="40FT"/>
    <n v="4"/>
    <s v="Machinery"/>
    <n v="154292.03"/>
    <n v="30700.74"/>
    <n v="11026.98"/>
    <n v="2468.2600000000002"/>
    <n v="1542.92"/>
    <n v="476.23"/>
    <n v="361.17"/>
    <n v="107715.73"/>
    <n v="48"/>
    <x v="5"/>
    <n v="255.84"/>
    <x v="0"/>
    <s v="Pending"/>
    <s v="Standard"/>
    <s v="L. Chen"/>
    <s v="North America"/>
    <x v="3"/>
  </r>
  <r>
    <x v="497"/>
    <s v="BK50498"/>
    <d v="2025-04-05T00:00:00"/>
    <d v="2025-04-08T00:00:00"/>
    <d v="2025-04-23T00:00:00"/>
    <x v="11"/>
    <s v="Automotive"/>
    <s v="Japan"/>
    <s v="Colombo"/>
    <s v="Singapore"/>
    <x v="4"/>
    <x v="2"/>
    <s v="40FT"/>
    <n v="4"/>
    <s v="Electronics"/>
    <n v="80955"/>
    <n v="15849.94"/>
    <n v="6313.18"/>
    <n v="2286.7800000000002"/>
    <n v="809.55"/>
    <n v="251.47"/>
    <n v="835.79"/>
    <n v="54608.29"/>
    <n v="0"/>
    <x v="3"/>
    <n v="132.08000000000001"/>
    <x v="1"/>
    <s v="Paid"/>
    <s v="High"/>
    <s v="A. Tan"/>
    <s v="Asia"/>
    <x v="10"/>
  </r>
  <r>
    <x v="498"/>
    <s v="BK50499"/>
    <d v="2025-08-14T00:00:00"/>
    <d v="2025-08-17T00:00:00"/>
    <d v="2025-09-03T00:00:00"/>
    <x v="2"/>
    <s v="Electronics"/>
    <s v="South Korea"/>
    <s v="Jebel Ali"/>
    <s v="Nhava Sheva"/>
    <x v="2"/>
    <x v="3"/>
    <s v="20FT"/>
    <n v="4"/>
    <s v="Electronics"/>
    <n v="137037.07999999999"/>
    <n v="27092.2"/>
    <n v="9066.43"/>
    <n v="1656.16"/>
    <n v="1370.37"/>
    <n v="558.13"/>
    <n v="2441.62"/>
    <n v="94852.17"/>
    <n v="36"/>
    <x v="2"/>
    <n v="225.77"/>
    <x v="0"/>
    <s v="Pending"/>
    <s v="Standard"/>
    <s v="L. Chen"/>
    <s v="Asia"/>
    <x v="4"/>
  </r>
  <r>
    <x v="499"/>
    <s v="BK50500"/>
    <d v="2025-02-02T00:00:00"/>
    <d v="2025-02-06T00:00:00"/>
    <d v="2025-03-02T00:00:00"/>
    <x v="4"/>
    <s v="Manufacturing"/>
    <s v="Germany"/>
    <s v="Jebel Ali"/>
    <s v="Nhava Sheva"/>
    <x v="2"/>
    <x v="5"/>
    <s v="40FT"/>
    <n v="2"/>
    <s v="Electronics"/>
    <n v="87837.36"/>
    <n v="24956.51"/>
    <n v="4295.78"/>
    <n v="2058.5500000000002"/>
    <n v="878.37"/>
    <n v="606.85"/>
    <n v="1784.36"/>
    <n v="53256.94"/>
    <n v="8"/>
    <x v="4"/>
    <n v="207.97"/>
    <x v="0"/>
    <s v="Paid"/>
    <s v="High"/>
    <s v="M. Ahmed"/>
    <s v="North America"/>
    <x v="9"/>
  </r>
  <r>
    <x v="500"/>
    <s v="BK50501"/>
    <d v="2025-01-26T00:00:00"/>
    <d v="2025-01-30T00:00:00"/>
    <d v="2025-02-24T00:00:00"/>
    <x v="6"/>
    <s v="Pharma"/>
    <s v="USA"/>
    <s v="Colombo"/>
    <s v="Jebel Ali"/>
    <x v="1"/>
    <x v="5"/>
    <s v="Reefer"/>
    <n v="1"/>
    <s v="Electronics"/>
    <n v="34061.33"/>
    <n v="9154.14"/>
    <n v="1383.29"/>
    <n v="723.85"/>
    <n v="340.61"/>
    <n v="276.45999999999998"/>
    <n v="368.02"/>
    <n v="21814.959999999999"/>
    <n v="0"/>
    <x v="3"/>
    <n v="76.28"/>
    <x v="1"/>
    <s v="Paid"/>
    <s v="High"/>
    <s v="A. Tan"/>
    <s v="Europe"/>
    <x v="11"/>
  </r>
  <r>
    <x v="501"/>
    <s v="BK50502"/>
    <d v="2025-09-29T00:00:00"/>
    <d v="2025-10-02T00:00:00"/>
    <d v="2025-10-23T00:00:00"/>
    <x v="0"/>
    <s v="Retail"/>
    <s v="India"/>
    <s v="Jebel Ali"/>
    <s v="New York"/>
    <x v="1"/>
    <x v="4"/>
    <s v="40FT"/>
    <n v="2"/>
    <s v="Textiles"/>
    <n v="59441.57"/>
    <n v="14060.56"/>
    <n v="3298.42"/>
    <n v="1633.17"/>
    <n v="594.41999999999996"/>
    <n v="143.38"/>
    <n v="2018.44"/>
    <n v="37693.18"/>
    <n v="8"/>
    <x v="5"/>
    <n v="117.17"/>
    <x v="0"/>
    <s v="Paid"/>
    <s v="Critical"/>
    <s v="L. Chen"/>
    <s v="Asia"/>
    <x v="3"/>
  </r>
  <r>
    <x v="502"/>
    <s v="BK50503"/>
    <d v="2025-08-29T00:00:00"/>
    <d v="2025-09-01T00:00:00"/>
    <d v="2025-09-28T00:00:00"/>
    <x v="11"/>
    <s v="Automotive"/>
    <s v="Japan"/>
    <s v="Singapore"/>
    <s v="Jebel Ali"/>
    <x v="1"/>
    <x v="3"/>
    <s v="40FT"/>
    <n v="2"/>
    <s v="Auto Parts"/>
    <n v="87579.01"/>
    <n v="14309.75"/>
    <n v="5177.3100000000004"/>
    <n v="2577.4899999999998"/>
    <n v="875.79"/>
    <n v="168.03"/>
    <n v="1395.89"/>
    <n v="63074.75"/>
    <n v="24"/>
    <x v="5"/>
    <n v="119.25"/>
    <x v="0"/>
    <s v="Pending"/>
    <s v="Critical"/>
    <s v="L. Chen"/>
    <s v="North America"/>
    <x v="4"/>
  </r>
  <r>
    <x v="503"/>
    <s v="BK50504"/>
    <d v="2025-02-09T00:00:00"/>
    <d v="2025-02-13T00:00:00"/>
    <d v="2025-03-09T00:00:00"/>
    <x v="11"/>
    <s v="Automotive"/>
    <s v="Japan"/>
    <s v="Shanghai"/>
    <s v="Shanghai"/>
    <x v="1"/>
    <x v="2"/>
    <s v="20FT"/>
    <n v="1"/>
    <s v="Chemicals"/>
    <n v="41907.74"/>
    <n v="10323.35"/>
    <n v="2886.49"/>
    <n v="1077"/>
    <n v="419.08"/>
    <n v="336.51"/>
    <n v="658.42"/>
    <n v="26206.89"/>
    <n v="36"/>
    <x v="0"/>
    <n v="86.03"/>
    <x v="0"/>
    <s v="Paid"/>
    <s v="High"/>
    <s v="L. Chen"/>
    <s v="Asia"/>
    <x v="9"/>
  </r>
  <r>
    <x v="504"/>
    <s v="BK50505"/>
    <d v="2025-03-18T00:00:00"/>
    <d v="2025-03-21T00:00:00"/>
    <d v="2025-04-06T00:00:00"/>
    <x v="9"/>
    <s v="Engineering"/>
    <s v="Germany"/>
    <s v="Jebel Ali"/>
    <s v="Nhava Sheva"/>
    <x v="2"/>
    <x v="1"/>
    <s v="40FT"/>
    <n v="2"/>
    <s v="Textiles"/>
    <n v="37949.19"/>
    <n v="10068.73"/>
    <n v="2988.9"/>
    <n v="1095.05"/>
    <n v="379.49"/>
    <n v="705.77"/>
    <n v="2336.91"/>
    <n v="20374.34"/>
    <n v="36"/>
    <x v="1"/>
    <n v="83.91"/>
    <x v="0"/>
    <s v="Pending"/>
    <s v="Critical"/>
    <s v="L. Chen"/>
    <s v="Europe"/>
    <x v="5"/>
  </r>
  <r>
    <x v="505"/>
    <s v="BK50506"/>
    <d v="2025-08-07T00:00:00"/>
    <d v="2025-08-11T00:00:00"/>
    <d v="2025-08-25T00:00:00"/>
    <x v="11"/>
    <s v="Automotive"/>
    <s v="Japan"/>
    <s v="Shanghai"/>
    <s v="Singapore"/>
    <x v="1"/>
    <x v="1"/>
    <s v="20FT"/>
    <n v="2"/>
    <s v="Food"/>
    <n v="35961.760000000002"/>
    <n v="6530.28"/>
    <n v="1842.34"/>
    <n v="479.42"/>
    <n v="359.62"/>
    <n v="489.46"/>
    <n v="2446.52"/>
    <n v="23814.12"/>
    <n v="0"/>
    <x v="3"/>
    <n v="54.42"/>
    <x v="1"/>
    <s v="Paid"/>
    <s v="Critical"/>
    <s v="M. Ahmed"/>
    <s v="North America"/>
    <x v="4"/>
  </r>
  <r>
    <x v="506"/>
    <s v="BK50507"/>
    <d v="2025-02-15T00:00:00"/>
    <d v="2025-02-16T00:00:00"/>
    <d v="2025-02-27T00:00:00"/>
    <x v="3"/>
    <s v="Electronics"/>
    <s v="South Korea"/>
    <s v="Colombo"/>
    <s v="Singapore"/>
    <x v="4"/>
    <x v="0"/>
    <s v="Reefer"/>
    <n v="4"/>
    <s v="Food"/>
    <n v="113678.73"/>
    <n v="28681.06"/>
    <n v="6771.26"/>
    <n v="2026.86"/>
    <n v="1136.79"/>
    <n v="271.17"/>
    <n v="693.26"/>
    <n v="74098.33"/>
    <n v="24"/>
    <x v="4"/>
    <n v="239.01"/>
    <x v="0"/>
    <s v="Paid"/>
    <s v="Critical"/>
    <s v="J. Smith"/>
    <s v="Middle East"/>
    <x v="9"/>
  </r>
  <r>
    <x v="507"/>
    <s v="BK50508"/>
    <d v="2025-09-04T00:00:00"/>
    <d v="2025-09-07T00:00:00"/>
    <d v="2025-10-04T00:00:00"/>
    <x v="4"/>
    <s v="Manufacturing"/>
    <s v="Germany"/>
    <s v="Singapore"/>
    <s v="Rotterdam"/>
    <x v="3"/>
    <x v="0"/>
    <s v="40FT"/>
    <n v="2"/>
    <s v="Auto Parts"/>
    <n v="39687.519999999997"/>
    <n v="10502.55"/>
    <n v="2823.15"/>
    <n v="696.59"/>
    <n v="396.88"/>
    <n v="410.42"/>
    <n v="1816.04"/>
    <n v="23041.89"/>
    <n v="24"/>
    <x v="2"/>
    <n v="87.52"/>
    <x v="0"/>
    <s v="Pending"/>
    <s v="High"/>
    <s v="J. Smith"/>
    <s v="Asia"/>
    <x v="3"/>
  </r>
  <r>
    <x v="508"/>
    <s v="BK50509"/>
    <d v="2025-01-17T00:00:00"/>
    <d v="2025-01-19T00:00:00"/>
    <d v="2025-02-13T00:00:00"/>
    <x v="1"/>
    <s v="FMCG"/>
    <s v="UK"/>
    <s v="Busan"/>
    <s v="Los Angeles"/>
    <x v="0"/>
    <x v="1"/>
    <s v="Reefer"/>
    <n v="2"/>
    <s v="Auto Parts"/>
    <n v="23166.080000000002"/>
    <n v="4245.45"/>
    <n v="1537.53"/>
    <n v="575.41999999999996"/>
    <n v="231.66"/>
    <n v="162.56"/>
    <n v="574.64"/>
    <n v="15838.82"/>
    <n v="0"/>
    <x v="3"/>
    <n v="35.380000000000003"/>
    <x v="1"/>
    <s v="Paid"/>
    <s v="Critical"/>
    <s v="J. Smith"/>
    <s v="North America"/>
    <x v="11"/>
  </r>
  <r>
    <x v="509"/>
    <s v="BK50510"/>
    <d v="2025-09-08T00:00:00"/>
    <d v="2025-09-09T00:00:00"/>
    <d v="2025-09-21T00:00:00"/>
    <x v="1"/>
    <s v="FMCG"/>
    <s v="UK"/>
    <s v="Colombo"/>
    <s v="Singapore"/>
    <x v="4"/>
    <x v="4"/>
    <s v="High Cube"/>
    <n v="2"/>
    <s v="Electronics"/>
    <n v="22257.73"/>
    <n v="4818.8100000000004"/>
    <n v="1095.17"/>
    <n v="584.89"/>
    <n v="222.58"/>
    <n v="542.19000000000005"/>
    <n v="1020.64"/>
    <n v="13973.45"/>
    <n v="24"/>
    <x v="2"/>
    <n v="40.159999999999997"/>
    <x v="0"/>
    <s v="Paid"/>
    <s v="Critical"/>
    <s v="M. Ahmed"/>
    <s v="Middle East"/>
    <x v="3"/>
  </r>
  <r>
    <x v="510"/>
    <s v="BK50511"/>
    <d v="2025-04-15T00:00:00"/>
    <d v="2025-04-18T00:00:00"/>
    <d v="2025-05-03T00:00:00"/>
    <x v="8"/>
    <s v="Retail"/>
    <s v="Sweden"/>
    <s v="Jebel Ali"/>
    <s v="Nhava Sheva"/>
    <x v="2"/>
    <x v="4"/>
    <s v="Reefer"/>
    <n v="4"/>
    <s v="Food"/>
    <n v="142635.6"/>
    <n v="30530.48"/>
    <n v="7586.08"/>
    <n v="3484.74"/>
    <n v="1426.36"/>
    <n v="413.45"/>
    <n v="1408.63"/>
    <n v="97785.86"/>
    <n v="0"/>
    <x v="3"/>
    <n v="254.42"/>
    <x v="1"/>
    <s v="Pending"/>
    <s v="Critical"/>
    <s v="L. Chen"/>
    <s v="Europe"/>
    <x v="10"/>
  </r>
  <r>
    <x v="511"/>
    <s v="BK50512"/>
    <d v="2025-05-22T00:00:00"/>
    <d v="2025-05-24T00:00:00"/>
    <d v="2025-06-20T00:00:00"/>
    <x v="1"/>
    <s v="FMCG"/>
    <s v="UK"/>
    <s v="Shanghai"/>
    <s v="Rotterdam"/>
    <x v="3"/>
    <x v="0"/>
    <s v="40FT"/>
    <n v="1"/>
    <s v="Electronics"/>
    <n v="23631.03"/>
    <n v="6567.62"/>
    <n v="1603.16"/>
    <n v="333.37"/>
    <n v="236.31"/>
    <n v="374.09"/>
    <n v="1037.1199999999999"/>
    <n v="13479.36"/>
    <n v="48"/>
    <x v="5"/>
    <n v="54.73"/>
    <x v="0"/>
    <s v="Paid"/>
    <s v="Standard"/>
    <s v="R. Mehta"/>
    <s v="North America"/>
    <x v="6"/>
  </r>
  <r>
    <x v="512"/>
    <s v="BK50513"/>
    <d v="2025-10-14T00:00:00"/>
    <d v="2025-10-18T00:00:00"/>
    <d v="2025-11-11T00:00:00"/>
    <x v="4"/>
    <s v="Manufacturing"/>
    <s v="Germany"/>
    <s v="Shanghai"/>
    <s v="New York"/>
    <x v="1"/>
    <x v="6"/>
    <s v="20FT"/>
    <n v="4"/>
    <s v="Food"/>
    <n v="70568.649999999994"/>
    <n v="19216.560000000001"/>
    <n v="5469.7"/>
    <n v="1359.53"/>
    <n v="705.69"/>
    <n v="754.29"/>
    <n v="785.75"/>
    <n v="42277.13"/>
    <n v="4"/>
    <x v="0"/>
    <n v="160.13999999999999"/>
    <x v="0"/>
    <s v="Paid"/>
    <s v="Critical"/>
    <s v="A. Tan"/>
    <s v="Asia"/>
    <x v="7"/>
  </r>
  <r>
    <x v="513"/>
    <s v="BK50514"/>
    <d v="2025-01-01T00:00:00"/>
    <d v="2025-01-02T00:00:00"/>
    <d v="2025-01-17T00:00:00"/>
    <x v="8"/>
    <s v="Retail"/>
    <s v="Sweden"/>
    <s v="Shanghai"/>
    <s v="Rotterdam"/>
    <x v="3"/>
    <x v="3"/>
    <s v="40FT"/>
    <n v="4"/>
    <s v="Chemicals"/>
    <n v="31772.01"/>
    <n v="8054.73"/>
    <n v="2437.0300000000002"/>
    <n v="923.71"/>
    <n v="317.72000000000003"/>
    <n v="861.49"/>
    <n v="425.06"/>
    <n v="18752.27"/>
    <n v="0"/>
    <x v="3"/>
    <n v="67.12"/>
    <x v="1"/>
    <s v="Paid"/>
    <s v="Standard"/>
    <s v="A. Tan"/>
    <s v="Asia"/>
    <x v="11"/>
  </r>
  <r>
    <x v="514"/>
    <s v="BK50515"/>
    <d v="2025-05-28T00:00:00"/>
    <d v="2025-06-01T00:00:00"/>
    <d v="2025-06-21T00:00:00"/>
    <x v="9"/>
    <s v="Engineering"/>
    <s v="Germany"/>
    <s v="Singapore"/>
    <s v="Rotterdam"/>
    <x v="3"/>
    <x v="3"/>
    <s v="High Cube"/>
    <n v="2"/>
    <s v="Chemicals"/>
    <n v="30794.560000000001"/>
    <n v="6877.57"/>
    <n v="2120.31"/>
    <n v="402.43"/>
    <n v="307.95"/>
    <n v="702.43"/>
    <n v="1241.8900000000001"/>
    <n v="19141.98"/>
    <n v="0"/>
    <x v="3"/>
    <n v="57.31"/>
    <x v="1"/>
    <s v="Paid"/>
    <s v="Standard"/>
    <s v="R. Mehta"/>
    <s v="Europe"/>
    <x v="6"/>
  </r>
  <r>
    <x v="515"/>
    <s v="BK50516"/>
    <d v="2025-08-07T00:00:00"/>
    <d v="2025-08-09T00:00:00"/>
    <d v="2025-08-31T00:00:00"/>
    <x v="1"/>
    <s v="FMCG"/>
    <s v="UK"/>
    <s v="Nhava Sheva"/>
    <s v="Los Angeles"/>
    <x v="1"/>
    <x v="7"/>
    <s v="40FT"/>
    <n v="2"/>
    <s v="Machinery"/>
    <n v="63112.56"/>
    <n v="18808.169999999998"/>
    <n v="3745.5"/>
    <n v="643.12"/>
    <n v="631.13"/>
    <n v="751.14"/>
    <n v="2456.59"/>
    <n v="36076.910000000003"/>
    <n v="36"/>
    <x v="1"/>
    <n v="156.72999999999999"/>
    <x v="0"/>
    <s v="Pending"/>
    <s v="High"/>
    <s v="M. Ahmed"/>
    <s v="North America"/>
    <x v="4"/>
  </r>
  <r>
    <x v="516"/>
    <s v="BK50517"/>
    <d v="2025-11-07T00:00:00"/>
    <d v="2025-11-09T00:00:00"/>
    <d v="2025-11-20T00:00:00"/>
    <x v="9"/>
    <s v="Engineering"/>
    <s v="Germany"/>
    <s v="Shanghai"/>
    <s v="Busan"/>
    <x v="1"/>
    <x v="2"/>
    <s v="High Cube"/>
    <n v="2"/>
    <s v="Auto Parts"/>
    <n v="48964.33"/>
    <n v="11073.08"/>
    <n v="3817.21"/>
    <n v="1449.04"/>
    <n v="489.64"/>
    <n v="828.01"/>
    <n v="1229.96"/>
    <n v="30077.39"/>
    <n v="0"/>
    <x v="3"/>
    <n v="92.28"/>
    <x v="1"/>
    <s v="Pending"/>
    <s v="Standard"/>
    <s v="R. Mehta"/>
    <s v="Asia"/>
    <x v="8"/>
  </r>
  <r>
    <x v="517"/>
    <s v="BK50518"/>
    <d v="2025-05-02T00:00:00"/>
    <d v="2025-05-05T00:00:00"/>
    <d v="2025-05-15T00:00:00"/>
    <x v="11"/>
    <s v="Automotive"/>
    <s v="Japan"/>
    <s v="Jebel Ali"/>
    <s v="Nhava Sheva"/>
    <x v="2"/>
    <x v="7"/>
    <s v="Reefer"/>
    <n v="2"/>
    <s v="Textiles"/>
    <n v="70251.240000000005"/>
    <n v="19319.97"/>
    <n v="3920.6"/>
    <n v="1894.22"/>
    <n v="702.51"/>
    <n v="343.05"/>
    <n v="2323.12"/>
    <n v="41747.769999999997"/>
    <n v="12"/>
    <x v="0"/>
    <n v="161"/>
    <x v="0"/>
    <s v="Pending"/>
    <s v="Critical"/>
    <s v="J. Smith"/>
    <s v="Middle East"/>
    <x v="6"/>
  </r>
  <r>
    <x v="518"/>
    <s v="BK50519"/>
    <d v="2025-01-07T00:00:00"/>
    <d v="2025-01-09T00:00:00"/>
    <d v="2025-02-01T00:00:00"/>
    <x v="6"/>
    <s v="Pharma"/>
    <s v="USA"/>
    <s v="Hamburg"/>
    <s v="New York"/>
    <x v="1"/>
    <x v="6"/>
    <s v="Reefer"/>
    <n v="2"/>
    <s v="Textiles"/>
    <n v="33445.06"/>
    <n v="8264.7099999999991"/>
    <n v="2642.37"/>
    <n v="494.33"/>
    <n v="334.45"/>
    <n v="144.72999999999999"/>
    <n v="1061.52"/>
    <n v="20502.95"/>
    <n v="0"/>
    <x v="3"/>
    <n v="68.87"/>
    <x v="1"/>
    <s v="Paid"/>
    <s v="High"/>
    <s v="L. Chen"/>
    <s v="Europe"/>
    <x v="11"/>
  </r>
  <r>
    <x v="519"/>
    <s v="BK50520"/>
    <d v="2025-07-18T00:00:00"/>
    <d v="2025-07-22T00:00:00"/>
    <d v="2025-08-05T00:00:00"/>
    <x v="11"/>
    <s v="Automotive"/>
    <s v="Japan"/>
    <s v="Rotterdam"/>
    <s v="Shanghai"/>
    <x v="1"/>
    <x v="2"/>
    <s v="Reefer"/>
    <n v="1"/>
    <s v="Auto Parts"/>
    <n v="12864.98"/>
    <n v="3690.24"/>
    <n v="784.14"/>
    <n v="308.04000000000002"/>
    <n v="128.65"/>
    <n v="873.13"/>
    <n v="1654.8"/>
    <n v="5425.98"/>
    <n v="12"/>
    <x v="4"/>
    <n v="30.75"/>
    <x v="0"/>
    <s v="Pending"/>
    <s v="High"/>
    <s v="M. Ahmed"/>
    <s v="North America"/>
    <x v="1"/>
  </r>
  <r>
    <x v="520"/>
    <s v="BK50521"/>
    <d v="2025-06-09T00:00:00"/>
    <d v="2025-06-10T00:00:00"/>
    <d v="2025-07-01T00:00:00"/>
    <x v="10"/>
    <s v="E-commerce"/>
    <s v="USA"/>
    <s v="Singapore"/>
    <s v="Rotterdam"/>
    <x v="3"/>
    <x v="6"/>
    <s v="40FT"/>
    <n v="2"/>
    <s v="Machinery"/>
    <n v="74729.350000000006"/>
    <n v="19441.740000000002"/>
    <n v="3041.56"/>
    <n v="1173.4100000000001"/>
    <n v="747.29"/>
    <n v="549.14"/>
    <n v="2379.6999999999998"/>
    <n v="47396.51"/>
    <n v="0"/>
    <x v="3"/>
    <n v="162.01"/>
    <x v="1"/>
    <s v="Pending"/>
    <s v="High"/>
    <s v="J. Smith"/>
    <s v="Middle East"/>
    <x v="0"/>
  </r>
  <r>
    <x v="521"/>
    <s v="BK50522"/>
    <d v="2025-06-04T00:00:00"/>
    <d v="2025-06-07T00:00:00"/>
    <d v="2025-06-19T00:00:00"/>
    <x v="9"/>
    <s v="Engineering"/>
    <s v="Germany"/>
    <s v="Colombo"/>
    <s v="Singapore"/>
    <x v="4"/>
    <x v="3"/>
    <s v="Reefer"/>
    <n v="1"/>
    <s v="Auto Parts"/>
    <n v="13014.53"/>
    <n v="2355.88"/>
    <n v="857.06"/>
    <n v="388.34"/>
    <n v="130.15"/>
    <n v="403.17"/>
    <n v="1404.73"/>
    <n v="7475.2"/>
    <n v="12"/>
    <x v="5"/>
    <n v="19.63"/>
    <x v="0"/>
    <s v="Paid"/>
    <s v="Standard"/>
    <s v="M. Ahmed"/>
    <s v="Europe"/>
    <x v="0"/>
  </r>
  <r>
    <x v="522"/>
    <s v="BK50523"/>
    <d v="2025-08-14T00:00:00"/>
    <d v="2025-08-15T00:00:00"/>
    <d v="2025-09-11T00:00:00"/>
    <x v="11"/>
    <s v="Automotive"/>
    <s v="Japan"/>
    <s v="Shanghai"/>
    <s v="Rotterdam"/>
    <x v="3"/>
    <x v="5"/>
    <s v="20FT"/>
    <n v="2"/>
    <s v="Food"/>
    <n v="57974.07"/>
    <n v="15560.01"/>
    <n v="3242.59"/>
    <n v="1061.57"/>
    <n v="579.74"/>
    <n v="486.39"/>
    <n v="623.54"/>
    <n v="36420.230000000003"/>
    <n v="0"/>
    <x v="3"/>
    <n v="129.66999999999999"/>
    <x v="1"/>
    <s v="Paid"/>
    <s v="High"/>
    <s v="A. Tan"/>
    <s v="Asia"/>
    <x v="4"/>
  </r>
  <r>
    <x v="523"/>
    <s v="BK50524"/>
    <d v="2025-12-14T00:00:00"/>
    <d v="2025-12-18T00:00:00"/>
    <d v="2026-01-07T00:00:00"/>
    <x v="8"/>
    <s v="Retail"/>
    <s v="Sweden"/>
    <s v="Shanghai"/>
    <s v="Rotterdam"/>
    <x v="3"/>
    <x v="3"/>
    <s v="40FT"/>
    <n v="4"/>
    <s v="Textiles"/>
    <n v="30792.02"/>
    <n v="8709.16"/>
    <n v="2410.02"/>
    <n v="643.34"/>
    <n v="307.92"/>
    <n v="173.46"/>
    <n v="426.06"/>
    <n v="18122.060000000001"/>
    <n v="0"/>
    <x v="3"/>
    <n v="72.58"/>
    <x v="1"/>
    <s v="Paid"/>
    <s v="Standard"/>
    <s v="M. Ahmed"/>
    <s v="Europe"/>
    <x v="2"/>
  </r>
  <r>
    <x v="524"/>
    <s v="BK50525"/>
    <d v="2025-04-24T00:00:00"/>
    <d v="2025-04-27T00:00:00"/>
    <d v="2025-05-20T00:00:00"/>
    <x v="2"/>
    <s v="Electronics"/>
    <s v="South Korea"/>
    <s v="Busan"/>
    <s v="Jebel Ali"/>
    <x v="1"/>
    <x v="2"/>
    <s v="High Cube"/>
    <n v="4"/>
    <s v="Auto Parts"/>
    <n v="61337.61"/>
    <n v="18001.64"/>
    <n v="3629.26"/>
    <n v="1616.36"/>
    <n v="613.38"/>
    <n v="173.61"/>
    <n v="314.86"/>
    <n v="36988.5"/>
    <n v="0"/>
    <x v="3"/>
    <n v="150.01"/>
    <x v="1"/>
    <s v="Paid"/>
    <s v="High"/>
    <s v="A. Tan"/>
    <s v="Asia"/>
    <x v="10"/>
  </r>
  <r>
    <x v="525"/>
    <s v="BK50526"/>
    <d v="2025-07-20T00:00:00"/>
    <d v="2025-07-23T00:00:00"/>
    <d v="2025-08-04T00:00:00"/>
    <x v="4"/>
    <s v="Manufacturing"/>
    <s v="Germany"/>
    <s v="Jebel Ali"/>
    <s v="Nhava Sheva"/>
    <x v="2"/>
    <x v="1"/>
    <s v="Reefer"/>
    <n v="1"/>
    <s v="Textiles"/>
    <n v="9479.27"/>
    <n v="1621.38"/>
    <n v="669.69"/>
    <n v="144.91999999999999"/>
    <n v="94.79"/>
    <n v="773.14"/>
    <n v="609.86"/>
    <n v="5565.49"/>
    <n v="12"/>
    <x v="1"/>
    <n v="13.51"/>
    <x v="0"/>
    <s v="Pending"/>
    <s v="Critical"/>
    <s v="M. Ahmed"/>
    <s v="Asia"/>
    <x v="1"/>
  </r>
  <r>
    <x v="526"/>
    <s v="BK50527"/>
    <d v="2025-04-18T00:00:00"/>
    <d v="2025-04-21T00:00:00"/>
    <d v="2025-05-17T00:00:00"/>
    <x v="10"/>
    <s v="E-commerce"/>
    <s v="USA"/>
    <s v="Colombo"/>
    <s v="Hamburg"/>
    <x v="1"/>
    <x v="6"/>
    <s v="Reefer"/>
    <n v="2"/>
    <s v="Machinery"/>
    <n v="21528.81"/>
    <n v="3579.86"/>
    <n v="1377.99"/>
    <n v="618.04999999999995"/>
    <n v="215.29"/>
    <n v="820.96"/>
    <n v="646.62"/>
    <n v="14270.04"/>
    <n v="36"/>
    <x v="2"/>
    <n v="29.83"/>
    <x v="0"/>
    <s v="Pending"/>
    <s v="High"/>
    <s v="L. Chen"/>
    <s v="North America"/>
    <x v="10"/>
  </r>
  <r>
    <x v="527"/>
    <s v="BK50528"/>
    <d v="2025-05-07T00:00:00"/>
    <d v="2025-05-08T00:00:00"/>
    <d v="2025-06-02T00:00:00"/>
    <x v="8"/>
    <s v="Retail"/>
    <s v="Sweden"/>
    <s v="Shanghai"/>
    <s v="Rotterdam"/>
    <x v="3"/>
    <x v="5"/>
    <s v="20FT"/>
    <n v="4"/>
    <s v="Auto Parts"/>
    <n v="70671.149999999994"/>
    <n v="17754.43"/>
    <n v="3104.68"/>
    <n v="1591.15"/>
    <n v="706.71"/>
    <n v="548.32000000000005"/>
    <n v="1093.1400000000001"/>
    <n v="45872.72"/>
    <n v="0"/>
    <x v="3"/>
    <n v="147.94999999999999"/>
    <x v="1"/>
    <s v="Paid"/>
    <s v="Critical"/>
    <s v="A. Tan"/>
    <s v="Middle East"/>
    <x v="6"/>
  </r>
  <r>
    <x v="528"/>
    <s v="BK50529"/>
    <d v="2025-04-04T00:00:00"/>
    <d v="2025-04-07T00:00:00"/>
    <d v="2025-04-18T00:00:00"/>
    <x v="6"/>
    <s v="Pharma"/>
    <s v="USA"/>
    <s v="Colombo"/>
    <s v="Singapore"/>
    <x v="4"/>
    <x v="3"/>
    <s v="High Cube"/>
    <n v="2"/>
    <s v="Food"/>
    <n v="55439.69"/>
    <n v="15392.22"/>
    <n v="2577.94"/>
    <n v="592.59"/>
    <n v="554.4"/>
    <n v="856.72"/>
    <n v="2154.61"/>
    <n v="33311.21"/>
    <n v="0"/>
    <x v="3"/>
    <n v="128.27000000000001"/>
    <x v="1"/>
    <s v="Pending"/>
    <s v="Critical"/>
    <s v="J. Smith"/>
    <s v="Middle East"/>
    <x v="10"/>
  </r>
  <r>
    <x v="529"/>
    <s v="BK50530"/>
    <d v="2025-09-13T00:00:00"/>
    <d v="2025-09-15T00:00:00"/>
    <d v="2025-10-04T00:00:00"/>
    <x v="11"/>
    <s v="Automotive"/>
    <s v="Japan"/>
    <s v="Busan"/>
    <s v="Los Angeles"/>
    <x v="0"/>
    <x v="2"/>
    <s v="40FT"/>
    <n v="4"/>
    <s v="Auto Parts"/>
    <n v="35185.839999999997"/>
    <n v="9593.7800000000007"/>
    <n v="2339.08"/>
    <n v="442.8"/>
    <n v="351.86"/>
    <n v="390.4"/>
    <n v="1779.37"/>
    <n v="20288.55"/>
    <n v="48"/>
    <x v="0"/>
    <n v="79.95"/>
    <x v="0"/>
    <s v="Pending"/>
    <s v="Standard"/>
    <s v="J. Smith"/>
    <s v="Asia"/>
    <x v="3"/>
  </r>
  <r>
    <x v="530"/>
    <s v="BK50531"/>
    <d v="2025-05-05T00:00:00"/>
    <d v="2025-05-06T00:00:00"/>
    <d v="2025-05-21T00:00:00"/>
    <x v="7"/>
    <s v="Retail"/>
    <s v="Germany"/>
    <s v="New York"/>
    <s v="New York"/>
    <x v="1"/>
    <x v="6"/>
    <s v="20FT"/>
    <n v="4"/>
    <s v="Auto Parts"/>
    <n v="71115.47"/>
    <n v="11535.25"/>
    <n v="3693.04"/>
    <n v="784.81"/>
    <n v="711.15"/>
    <n v="301.54000000000002"/>
    <n v="787.24"/>
    <n v="53302.44"/>
    <n v="0"/>
    <x v="3"/>
    <n v="96.13"/>
    <x v="1"/>
    <s v="Paid"/>
    <s v="Critical"/>
    <s v="R. Mehta"/>
    <s v="Middle East"/>
    <x v="6"/>
  </r>
  <r>
    <x v="531"/>
    <s v="BK50532"/>
    <d v="2025-07-05T00:00:00"/>
    <d v="2025-07-06T00:00:00"/>
    <d v="2025-07-18T00:00:00"/>
    <x v="5"/>
    <s v="Food"/>
    <s v="Switzerland"/>
    <s v="Jebel Ali"/>
    <s v="Nhava Sheva"/>
    <x v="2"/>
    <x v="3"/>
    <s v="20FT"/>
    <n v="2"/>
    <s v="Machinery"/>
    <n v="43873.17"/>
    <n v="12019"/>
    <n v="3133.61"/>
    <n v="1077.6099999999999"/>
    <n v="438.73"/>
    <n v="368.05"/>
    <n v="720.8"/>
    <n v="26115.37"/>
    <n v="24"/>
    <x v="4"/>
    <n v="100.16"/>
    <x v="0"/>
    <s v="Paid"/>
    <s v="High"/>
    <s v="L. Chen"/>
    <s v="Middle East"/>
    <x v="1"/>
  </r>
  <r>
    <x v="532"/>
    <s v="BK50533"/>
    <d v="2025-01-25T00:00:00"/>
    <d v="2025-01-28T00:00:00"/>
    <d v="2025-02-20T00:00:00"/>
    <x v="9"/>
    <s v="Engineering"/>
    <s v="Germany"/>
    <s v="Shanghai"/>
    <s v="Rotterdam"/>
    <x v="3"/>
    <x v="4"/>
    <s v="High Cube"/>
    <n v="2"/>
    <s v="Machinery"/>
    <n v="70497.63"/>
    <n v="15918.07"/>
    <n v="5083.54"/>
    <n v="1251.03"/>
    <n v="704.98"/>
    <n v="502.47"/>
    <n v="1985.67"/>
    <n v="45051.87"/>
    <n v="12"/>
    <x v="1"/>
    <n v="132.65"/>
    <x v="0"/>
    <s v="Pending"/>
    <s v="High"/>
    <s v="A. Tan"/>
    <s v="Europe"/>
    <x v="11"/>
  </r>
  <r>
    <x v="533"/>
    <s v="BK50534"/>
    <d v="2025-02-17T00:00:00"/>
    <d v="2025-02-21T00:00:00"/>
    <d v="2025-03-19T00:00:00"/>
    <x v="7"/>
    <s v="Retail"/>
    <s v="Germany"/>
    <s v="Los Angeles"/>
    <s v="New York"/>
    <x v="1"/>
    <x v="4"/>
    <s v="High Cube"/>
    <n v="2"/>
    <s v="Machinery"/>
    <n v="15735.15"/>
    <n v="3106.13"/>
    <n v="1157.24"/>
    <n v="214.34"/>
    <n v="157.35"/>
    <n v="613.65"/>
    <n v="1669.47"/>
    <n v="8816.9699999999993"/>
    <n v="0"/>
    <x v="3"/>
    <n v="25.88"/>
    <x v="1"/>
    <s v="Pending"/>
    <s v="Critical"/>
    <s v="A. Tan"/>
    <s v="Middle East"/>
    <x v="9"/>
  </r>
  <r>
    <x v="534"/>
    <s v="BK50535"/>
    <d v="2025-05-31T00:00:00"/>
    <d v="2025-06-02T00:00:00"/>
    <d v="2025-06-13T00:00:00"/>
    <x v="7"/>
    <s v="Retail"/>
    <s v="Germany"/>
    <s v="Rotterdam"/>
    <s v="Busan"/>
    <x v="1"/>
    <x v="7"/>
    <s v="High Cube"/>
    <n v="1"/>
    <s v="Auto Parts"/>
    <n v="32430.73"/>
    <n v="8290.61"/>
    <n v="1407.99"/>
    <n v="432.86"/>
    <n v="324.31"/>
    <n v="464.58"/>
    <n v="665.19"/>
    <n v="20845.189999999999"/>
    <n v="0"/>
    <x v="3"/>
    <n v="69.09"/>
    <x v="1"/>
    <s v="Paid"/>
    <s v="High"/>
    <s v="A. Tan"/>
    <s v="Asia"/>
    <x v="6"/>
  </r>
  <r>
    <x v="535"/>
    <s v="BK50536"/>
    <d v="2025-07-15T00:00:00"/>
    <d v="2025-07-16T00:00:00"/>
    <d v="2025-07-30T00:00:00"/>
    <x v="4"/>
    <s v="Manufacturing"/>
    <s v="Germany"/>
    <s v="Shanghai"/>
    <s v="Rotterdam"/>
    <x v="1"/>
    <x v="6"/>
    <s v="Reefer"/>
    <n v="4"/>
    <s v="Machinery"/>
    <n v="86816.52"/>
    <n v="21818.880000000001"/>
    <n v="3615.75"/>
    <n v="1558.06"/>
    <n v="868.17"/>
    <n v="252.34"/>
    <n v="2192.31"/>
    <n v="56511.01"/>
    <n v="0"/>
    <x v="3"/>
    <n v="181.82"/>
    <x v="1"/>
    <s v="Pending"/>
    <s v="Standard"/>
    <s v="R. Mehta"/>
    <s v="North America"/>
    <x v="1"/>
  </r>
  <r>
    <x v="536"/>
    <s v="BK50537"/>
    <d v="2025-08-11T00:00:00"/>
    <d v="2025-08-12T00:00:00"/>
    <d v="2025-08-23T00:00:00"/>
    <x v="6"/>
    <s v="Pharma"/>
    <s v="USA"/>
    <s v="Colombo"/>
    <s v="Singapore"/>
    <x v="4"/>
    <x v="4"/>
    <s v="20FT"/>
    <n v="4"/>
    <s v="Electronics"/>
    <n v="165395.25"/>
    <n v="36892.06"/>
    <n v="8234.19"/>
    <n v="3737.85"/>
    <n v="1653.95"/>
    <n v="682.98"/>
    <n v="606.73"/>
    <n v="113587.49"/>
    <n v="4"/>
    <x v="1"/>
    <n v="307.43"/>
    <x v="0"/>
    <s v="Paid"/>
    <s v="Critical"/>
    <s v="A. Tan"/>
    <s v="Middle East"/>
    <x v="4"/>
  </r>
  <r>
    <x v="537"/>
    <s v="BK50538"/>
    <d v="2025-02-27T00:00:00"/>
    <d v="2025-02-28T00:00:00"/>
    <d v="2025-03-23T00:00:00"/>
    <x v="3"/>
    <s v="Electronics"/>
    <s v="South Korea"/>
    <s v="New York"/>
    <s v="Los Angeles"/>
    <x v="1"/>
    <x v="3"/>
    <s v="40FT"/>
    <n v="2"/>
    <s v="Furniture"/>
    <n v="14240.03"/>
    <n v="2579.5"/>
    <n v="859.3"/>
    <n v="222.1"/>
    <n v="142.4"/>
    <n v="262"/>
    <n v="2016.32"/>
    <n v="8158.41"/>
    <n v="12"/>
    <x v="0"/>
    <n v="21.5"/>
    <x v="0"/>
    <s v="Pending"/>
    <s v="Standard"/>
    <s v="R. Mehta"/>
    <s v="North America"/>
    <x v="9"/>
  </r>
  <r>
    <x v="538"/>
    <s v="BK50539"/>
    <d v="2025-10-25T00:00:00"/>
    <d v="2025-10-26T00:00:00"/>
    <d v="2025-11-20T00:00:00"/>
    <x v="8"/>
    <s v="Retail"/>
    <s v="Sweden"/>
    <s v="Jebel Ali"/>
    <s v="Nhava Sheva"/>
    <x v="2"/>
    <x v="1"/>
    <s v="40FT"/>
    <n v="4"/>
    <s v="Auto Parts"/>
    <n v="84506.99"/>
    <n v="21382.03"/>
    <n v="5501.23"/>
    <n v="1093.19"/>
    <n v="845.07"/>
    <n v="533.91"/>
    <n v="371.72"/>
    <n v="54779.839999999997"/>
    <n v="36"/>
    <x v="2"/>
    <n v="178.18"/>
    <x v="0"/>
    <s v="Pending"/>
    <s v="Critical"/>
    <s v="R. Mehta"/>
    <s v="North America"/>
    <x v="7"/>
  </r>
  <r>
    <x v="539"/>
    <s v="BK50540"/>
    <d v="2025-10-22T00:00:00"/>
    <d v="2025-10-24T00:00:00"/>
    <d v="2025-11-06T00:00:00"/>
    <x v="1"/>
    <s v="FMCG"/>
    <s v="UK"/>
    <s v="Busan"/>
    <s v="Los Angeles"/>
    <x v="0"/>
    <x v="7"/>
    <s v="High Cube"/>
    <n v="1"/>
    <s v="Auto Parts"/>
    <n v="29588.86"/>
    <n v="7410.44"/>
    <n v="2300.4899999999998"/>
    <n v="513.01"/>
    <n v="295.89"/>
    <n v="812.83"/>
    <n v="1790.47"/>
    <n v="16465.73"/>
    <n v="12"/>
    <x v="5"/>
    <n v="61.75"/>
    <x v="0"/>
    <s v="Paid"/>
    <s v="Standard"/>
    <s v="R. Mehta"/>
    <s v="Asia"/>
    <x v="7"/>
  </r>
  <r>
    <x v="540"/>
    <s v="BK50541"/>
    <d v="2025-09-07T00:00:00"/>
    <d v="2025-09-09T00:00:00"/>
    <d v="2025-09-23T00:00:00"/>
    <x v="0"/>
    <s v="Retail"/>
    <s v="India"/>
    <s v="Busan"/>
    <s v="Los Angeles"/>
    <x v="0"/>
    <x v="5"/>
    <s v="High Cube"/>
    <n v="4"/>
    <s v="Furniture"/>
    <n v="88722.71"/>
    <n v="19810.919999999998"/>
    <n v="6719.19"/>
    <n v="2049.9899999999998"/>
    <n v="887.23"/>
    <n v="561.41"/>
    <n v="630.85"/>
    <n v="58063.12"/>
    <n v="0"/>
    <x v="3"/>
    <n v="165.09"/>
    <x v="1"/>
    <s v="Pending"/>
    <s v="High"/>
    <s v="M. Ahmed"/>
    <s v="Asia"/>
    <x v="3"/>
  </r>
  <r>
    <x v="541"/>
    <s v="BK50542"/>
    <d v="2025-06-30T00:00:00"/>
    <d v="2025-07-03T00:00:00"/>
    <d v="2025-07-19T00:00:00"/>
    <x v="10"/>
    <s v="E-commerce"/>
    <s v="USA"/>
    <s v="Jebel Ali"/>
    <s v="Rotterdam"/>
    <x v="1"/>
    <x v="5"/>
    <s v="20FT"/>
    <n v="1"/>
    <s v="Auto Parts"/>
    <n v="36037.47"/>
    <n v="9467.73"/>
    <n v="1532.76"/>
    <n v="611.19000000000005"/>
    <n v="360.37"/>
    <n v="600.51"/>
    <n v="2304.9499999999998"/>
    <n v="21159.96"/>
    <n v="12"/>
    <x v="0"/>
    <n v="78.900000000000006"/>
    <x v="0"/>
    <s v="Paid"/>
    <s v="High"/>
    <s v="J. Smith"/>
    <s v="Asia"/>
    <x v="0"/>
  </r>
  <r>
    <x v="542"/>
    <s v="BK50543"/>
    <d v="2025-06-26T00:00:00"/>
    <d v="2025-06-30T00:00:00"/>
    <d v="2025-07-11T00:00:00"/>
    <x v="5"/>
    <s v="Food"/>
    <s v="Switzerland"/>
    <s v="Shanghai"/>
    <s v="Rotterdam"/>
    <x v="3"/>
    <x v="6"/>
    <s v="Reefer"/>
    <n v="4"/>
    <s v="Food"/>
    <n v="72547.89"/>
    <n v="14440.62"/>
    <n v="3035.33"/>
    <n v="1639.77"/>
    <n v="725.48"/>
    <n v="158.28"/>
    <n v="2372.87"/>
    <n v="50175.54"/>
    <n v="0"/>
    <x v="3"/>
    <n v="120.34"/>
    <x v="1"/>
    <s v="Paid"/>
    <s v="Critical"/>
    <s v="R. Mehta"/>
    <s v="Europe"/>
    <x v="0"/>
  </r>
  <r>
    <x v="543"/>
    <s v="BK50544"/>
    <d v="2025-05-09T00:00:00"/>
    <d v="2025-05-11T00:00:00"/>
    <d v="2025-06-01T00:00:00"/>
    <x v="10"/>
    <s v="E-commerce"/>
    <s v="USA"/>
    <s v="Shanghai"/>
    <s v="Rotterdam"/>
    <x v="3"/>
    <x v="2"/>
    <s v="Reefer"/>
    <n v="2"/>
    <s v="Food"/>
    <n v="64360.94"/>
    <n v="15893.22"/>
    <n v="3552.86"/>
    <n v="646.03"/>
    <n v="643.61"/>
    <n v="139.08000000000001"/>
    <n v="1785.92"/>
    <n v="41700.22"/>
    <n v="48"/>
    <x v="1"/>
    <n v="132.44"/>
    <x v="0"/>
    <s v="Pending"/>
    <s v="High"/>
    <s v="L. Chen"/>
    <s v="Europe"/>
    <x v="6"/>
  </r>
  <r>
    <x v="544"/>
    <s v="BK50545"/>
    <d v="2025-05-16T00:00:00"/>
    <d v="2025-05-20T00:00:00"/>
    <d v="2025-06-14T00:00:00"/>
    <x v="2"/>
    <s v="Electronics"/>
    <s v="South Korea"/>
    <s v="Busan"/>
    <s v="New York"/>
    <x v="1"/>
    <x v="0"/>
    <s v="High Cube"/>
    <n v="4"/>
    <s v="Food"/>
    <n v="31771.93"/>
    <n v="8355.7999999999993"/>
    <n v="1299.1099999999999"/>
    <n v="499.11"/>
    <n v="317.72000000000003"/>
    <n v="742.63"/>
    <n v="1456.41"/>
    <n v="19101.150000000001"/>
    <n v="24"/>
    <x v="0"/>
    <n v="69.63"/>
    <x v="0"/>
    <s v="Paid"/>
    <s v="High"/>
    <s v="L. Chen"/>
    <s v="Middle East"/>
    <x v="6"/>
  </r>
  <r>
    <x v="545"/>
    <s v="BK50546"/>
    <d v="2025-01-11T00:00:00"/>
    <d v="2025-01-14T00:00:00"/>
    <d v="2025-01-27T00:00:00"/>
    <x v="7"/>
    <s v="Retail"/>
    <s v="Germany"/>
    <s v="Shanghai"/>
    <s v="Singapore"/>
    <x v="1"/>
    <x v="6"/>
    <s v="Reefer"/>
    <n v="4"/>
    <s v="Machinery"/>
    <n v="31282.06"/>
    <n v="8474.48"/>
    <n v="2219.6"/>
    <n v="390.07"/>
    <n v="312.82"/>
    <n v="828.68"/>
    <n v="1672.76"/>
    <n v="17383.650000000001"/>
    <n v="0"/>
    <x v="3"/>
    <n v="70.62"/>
    <x v="1"/>
    <s v="Pending"/>
    <s v="Critical"/>
    <s v="R. Mehta"/>
    <s v="North America"/>
    <x v="11"/>
  </r>
  <r>
    <x v="546"/>
    <s v="BK50547"/>
    <d v="2025-09-19T00:00:00"/>
    <d v="2025-09-21T00:00:00"/>
    <d v="2025-10-19T00:00:00"/>
    <x v="10"/>
    <s v="E-commerce"/>
    <s v="USA"/>
    <s v="Busan"/>
    <s v="Los Angeles"/>
    <x v="0"/>
    <x v="0"/>
    <s v="Reefer"/>
    <n v="4"/>
    <s v="Furniture"/>
    <n v="54458.35"/>
    <n v="11571.29"/>
    <n v="3388.19"/>
    <n v="669.61"/>
    <n v="544.58000000000004"/>
    <n v="148.38"/>
    <n v="320.42"/>
    <n v="37815.879999999997"/>
    <n v="36"/>
    <x v="2"/>
    <n v="96.43"/>
    <x v="0"/>
    <s v="Pending"/>
    <s v="Standard"/>
    <s v="J. Smith"/>
    <s v="Middle East"/>
    <x v="3"/>
  </r>
  <r>
    <x v="547"/>
    <s v="BK50548"/>
    <d v="2025-12-18T00:00:00"/>
    <d v="2025-12-20T00:00:00"/>
    <d v="2026-01-10T00:00:00"/>
    <x v="6"/>
    <s v="Pharma"/>
    <s v="USA"/>
    <s v="Colombo"/>
    <s v="Hamburg"/>
    <x v="1"/>
    <x v="5"/>
    <s v="High Cube"/>
    <n v="1"/>
    <s v="Textiles"/>
    <n v="22306.080000000002"/>
    <n v="4340.8100000000004"/>
    <n v="998.44"/>
    <n v="290.45999999999998"/>
    <n v="223.06"/>
    <n v="387.91"/>
    <n v="1590.31"/>
    <n v="14475.09"/>
    <n v="36"/>
    <x v="0"/>
    <n v="36.17"/>
    <x v="0"/>
    <s v="Paid"/>
    <s v="Standard"/>
    <s v="J. Smith"/>
    <s v="Middle East"/>
    <x v="2"/>
  </r>
  <r>
    <x v="548"/>
    <s v="BK50549"/>
    <d v="2025-02-13T00:00:00"/>
    <d v="2025-02-16T00:00:00"/>
    <d v="2025-03-01T00:00:00"/>
    <x v="10"/>
    <s v="E-commerce"/>
    <s v="USA"/>
    <s v="Jebel Ali"/>
    <s v="Nhava Sheva"/>
    <x v="2"/>
    <x v="5"/>
    <s v="High Cube"/>
    <n v="1"/>
    <s v="Electronics"/>
    <n v="17940.36"/>
    <n v="3185.61"/>
    <n v="1223.19"/>
    <n v="509.31"/>
    <n v="179.4"/>
    <n v="456.44"/>
    <n v="1945.35"/>
    <n v="10441.06"/>
    <n v="0"/>
    <x v="3"/>
    <n v="26.55"/>
    <x v="1"/>
    <s v="Paid"/>
    <s v="Critical"/>
    <s v="R. Mehta"/>
    <s v="North America"/>
    <x v="9"/>
  </r>
  <r>
    <x v="549"/>
    <s v="BK50550"/>
    <d v="2025-11-11T00:00:00"/>
    <d v="2025-11-14T00:00:00"/>
    <d v="2025-12-11T00:00:00"/>
    <x v="8"/>
    <s v="Retail"/>
    <s v="Sweden"/>
    <s v="Jebel Ali"/>
    <s v="Nhava Sheva"/>
    <x v="2"/>
    <x v="6"/>
    <s v="High Cube"/>
    <n v="2"/>
    <s v="Food"/>
    <n v="46040.43"/>
    <n v="9935.1200000000008"/>
    <n v="2660.16"/>
    <n v="1164.4100000000001"/>
    <n v="460.4"/>
    <n v="709.89"/>
    <n v="2178.7600000000002"/>
    <n v="28931.69"/>
    <n v="8"/>
    <x v="0"/>
    <n v="82.79"/>
    <x v="0"/>
    <s v="Pending"/>
    <s v="Critical"/>
    <s v="M. Ahmed"/>
    <s v="North America"/>
    <x v="8"/>
  </r>
  <r>
    <x v="550"/>
    <s v="BK50551"/>
    <d v="2025-10-25T00:00:00"/>
    <d v="2025-10-29T00:00:00"/>
    <d v="2025-11-23T00:00:00"/>
    <x v="7"/>
    <s v="Retail"/>
    <s v="Germany"/>
    <s v="Shanghai"/>
    <s v="Rotterdam"/>
    <x v="3"/>
    <x v="3"/>
    <s v="40FT"/>
    <n v="4"/>
    <s v="Machinery"/>
    <n v="113157.9"/>
    <n v="29142.35"/>
    <n v="5035.18"/>
    <n v="3048.41"/>
    <n v="1131.58"/>
    <n v="451.72"/>
    <n v="2115.1999999999998"/>
    <n v="72233.460000000006"/>
    <n v="0"/>
    <x v="3"/>
    <n v="242.85"/>
    <x v="1"/>
    <s v="Paid"/>
    <s v="Critical"/>
    <s v="J. Smith"/>
    <s v="Asia"/>
    <x v="7"/>
  </r>
  <r>
    <x v="551"/>
    <s v="BK50552"/>
    <d v="2025-12-26T00:00:00"/>
    <d v="2025-12-27T00:00:00"/>
    <d v="2026-01-22T00:00:00"/>
    <x v="8"/>
    <s v="Retail"/>
    <s v="Sweden"/>
    <s v="Nhava Sheva"/>
    <s v="New York"/>
    <x v="1"/>
    <x v="0"/>
    <s v="40FT"/>
    <n v="2"/>
    <s v="Chemicals"/>
    <n v="70553.78"/>
    <n v="20639.52"/>
    <n v="4763.5200000000004"/>
    <n v="2090.65"/>
    <n v="705.54"/>
    <n v="492.28"/>
    <n v="1229.8399999999999"/>
    <n v="40632.43"/>
    <n v="0"/>
    <x v="3"/>
    <n v="172"/>
    <x v="1"/>
    <s v="Pending"/>
    <s v="Critical"/>
    <s v="M. Ahmed"/>
    <s v="Middle East"/>
    <x v="2"/>
  </r>
  <r>
    <x v="552"/>
    <s v="BK50553"/>
    <d v="2025-07-19T00:00:00"/>
    <d v="2025-07-22T00:00:00"/>
    <d v="2025-08-06T00:00:00"/>
    <x v="4"/>
    <s v="Manufacturing"/>
    <s v="Germany"/>
    <s v="Busan"/>
    <s v="Los Angeles"/>
    <x v="0"/>
    <x v="3"/>
    <s v="20FT"/>
    <n v="4"/>
    <s v="Food"/>
    <n v="149798.43"/>
    <n v="42816.28"/>
    <n v="8251.43"/>
    <n v="3580.32"/>
    <n v="1497.98"/>
    <n v="350.03"/>
    <n v="1344.45"/>
    <n v="91957.94"/>
    <n v="4"/>
    <x v="2"/>
    <n v="356.8"/>
    <x v="0"/>
    <s v="Pending"/>
    <s v="Critical"/>
    <s v="M. Ahmed"/>
    <s v="Asia"/>
    <x v="1"/>
  </r>
  <r>
    <x v="553"/>
    <s v="BK50554"/>
    <d v="2025-07-14T00:00:00"/>
    <d v="2025-07-16T00:00:00"/>
    <d v="2025-08-13T00:00:00"/>
    <x v="7"/>
    <s v="Retail"/>
    <s v="Germany"/>
    <s v="Colombo"/>
    <s v="Singapore"/>
    <x v="4"/>
    <x v="1"/>
    <s v="40FT"/>
    <n v="2"/>
    <s v="Electronics"/>
    <n v="48019.97"/>
    <n v="13922.87"/>
    <n v="2267"/>
    <n v="481.36"/>
    <n v="480.2"/>
    <n v="375.19"/>
    <n v="1375.53"/>
    <n v="29117.82"/>
    <n v="0"/>
    <x v="3"/>
    <n v="116.02"/>
    <x v="1"/>
    <s v="Paid"/>
    <s v="Critical"/>
    <s v="L. Chen"/>
    <s v="Europe"/>
    <x v="1"/>
  </r>
  <r>
    <x v="554"/>
    <s v="BK50555"/>
    <d v="2025-03-29T00:00:00"/>
    <d v="2025-03-31T00:00:00"/>
    <d v="2025-04-24T00:00:00"/>
    <x v="6"/>
    <s v="Pharma"/>
    <s v="USA"/>
    <s v="Singapore"/>
    <s v="Rotterdam"/>
    <x v="3"/>
    <x v="7"/>
    <s v="40FT"/>
    <n v="2"/>
    <s v="Electronics"/>
    <n v="13532.37"/>
    <n v="3052.81"/>
    <n v="823.01"/>
    <n v="195.34"/>
    <n v="135.32"/>
    <n v="481.2"/>
    <n v="2010.86"/>
    <n v="6833.83"/>
    <n v="0"/>
    <x v="3"/>
    <n v="25.44"/>
    <x v="1"/>
    <s v="Paid"/>
    <s v="Critical"/>
    <s v="A. Tan"/>
    <s v="Middle East"/>
    <x v="5"/>
  </r>
  <r>
    <x v="555"/>
    <s v="BK50556"/>
    <d v="2025-09-10T00:00:00"/>
    <d v="2025-09-13T00:00:00"/>
    <d v="2025-10-06T00:00:00"/>
    <x v="11"/>
    <s v="Automotive"/>
    <s v="Japan"/>
    <s v="Shanghai"/>
    <s v="Rotterdam"/>
    <x v="3"/>
    <x v="7"/>
    <s v="20FT"/>
    <n v="4"/>
    <s v="Chemicals"/>
    <n v="32631.97"/>
    <n v="8185.73"/>
    <n v="1921.69"/>
    <n v="704.49"/>
    <n v="326.32"/>
    <n v="705.91"/>
    <n v="1281.57"/>
    <n v="19506.259999999998"/>
    <n v="36"/>
    <x v="1"/>
    <n v="68.209999999999994"/>
    <x v="0"/>
    <s v="Paid"/>
    <s v="High"/>
    <s v="J. Smith"/>
    <s v="North America"/>
    <x v="3"/>
  </r>
  <r>
    <x v="556"/>
    <s v="BK50557"/>
    <d v="2025-11-26T00:00:00"/>
    <d v="2025-11-27T00:00:00"/>
    <d v="2025-12-23T00:00:00"/>
    <x v="3"/>
    <s v="Electronics"/>
    <s v="South Korea"/>
    <s v="Singapore"/>
    <s v="Rotterdam"/>
    <x v="3"/>
    <x v="4"/>
    <s v="High Cube"/>
    <n v="1"/>
    <s v="Furniture"/>
    <n v="31367.5"/>
    <n v="8362.8700000000008"/>
    <n v="2370.7600000000002"/>
    <n v="564.96"/>
    <n v="313.68"/>
    <n v="889.82"/>
    <n v="1236.4100000000001"/>
    <n v="17629"/>
    <n v="12"/>
    <x v="5"/>
    <n v="69.69"/>
    <x v="0"/>
    <s v="Paid"/>
    <s v="Critical"/>
    <s v="A. Tan"/>
    <s v="Asia"/>
    <x v="8"/>
  </r>
  <r>
    <x v="557"/>
    <s v="BK50558"/>
    <d v="2025-05-03T00:00:00"/>
    <d v="2025-05-06T00:00:00"/>
    <d v="2025-06-03T00:00:00"/>
    <x v="3"/>
    <s v="Electronics"/>
    <s v="South Korea"/>
    <s v="Shanghai"/>
    <s v="Rotterdam"/>
    <x v="3"/>
    <x v="3"/>
    <s v="High Cube"/>
    <n v="2"/>
    <s v="Machinery"/>
    <n v="27807.54"/>
    <n v="7490.58"/>
    <n v="1337.68"/>
    <n v="403.09"/>
    <n v="278.08"/>
    <n v="883.35"/>
    <n v="1222.23"/>
    <n v="16192.53"/>
    <n v="12"/>
    <x v="5"/>
    <n v="62.42"/>
    <x v="0"/>
    <s v="Paid"/>
    <s v="Critical"/>
    <s v="J. Smith"/>
    <s v="Europe"/>
    <x v="6"/>
  </r>
  <r>
    <x v="558"/>
    <s v="BK50559"/>
    <d v="2025-05-22T00:00:00"/>
    <d v="2025-05-24T00:00:00"/>
    <d v="2025-06-05T00:00:00"/>
    <x v="9"/>
    <s v="Engineering"/>
    <s v="Germany"/>
    <s v="Busan"/>
    <s v="Los Angeles"/>
    <x v="0"/>
    <x v="5"/>
    <s v="High Cube"/>
    <n v="4"/>
    <s v="Textiles"/>
    <n v="171513.69"/>
    <n v="42523.31"/>
    <n v="9497.44"/>
    <n v="4254.88"/>
    <n v="1715.14"/>
    <n v="865.77"/>
    <n v="1594.66"/>
    <n v="111062.49"/>
    <n v="8"/>
    <x v="4"/>
    <n v="354.36"/>
    <x v="0"/>
    <s v="Paid"/>
    <s v="Standard"/>
    <s v="J. Smith"/>
    <s v="Europe"/>
    <x v="6"/>
  </r>
  <r>
    <x v="559"/>
    <s v="BK50560"/>
    <d v="2025-11-23T00:00:00"/>
    <d v="2025-11-26T00:00:00"/>
    <d v="2025-12-18T00:00:00"/>
    <x v="6"/>
    <s v="Pharma"/>
    <s v="USA"/>
    <s v="Shanghai"/>
    <s v="Singapore"/>
    <x v="1"/>
    <x v="1"/>
    <s v="40FT"/>
    <n v="2"/>
    <s v="Electronics"/>
    <n v="53574.33"/>
    <n v="11937.17"/>
    <n v="3391.5"/>
    <n v="1094.27"/>
    <n v="535.74"/>
    <n v="231.18"/>
    <n v="375.25"/>
    <n v="36009.22"/>
    <n v="4"/>
    <x v="5"/>
    <n v="99.48"/>
    <x v="0"/>
    <s v="Pending"/>
    <s v="High"/>
    <s v="L. Chen"/>
    <s v="Middle East"/>
    <x v="8"/>
  </r>
  <r>
    <x v="560"/>
    <s v="BK50561"/>
    <d v="2025-04-15T00:00:00"/>
    <d v="2025-04-18T00:00:00"/>
    <d v="2025-04-30T00:00:00"/>
    <x v="2"/>
    <s v="Electronics"/>
    <s v="South Korea"/>
    <s v="Singapore"/>
    <s v="Rotterdam"/>
    <x v="3"/>
    <x v="3"/>
    <s v="20FT"/>
    <n v="1"/>
    <s v="Textiles"/>
    <n v="29940.25"/>
    <n v="6362.72"/>
    <n v="2307.3200000000002"/>
    <n v="665.38"/>
    <n v="299.39999999999998"/>
    <n v="551.85"/>
    <n v="814.86"/>
    <n v="18938.72"/>
    <n v="24"/>
    <x v="0"/>
    <n v="53.02"/>
    <x v="0"/>
    <s v="Paid"/>
    <s v="Critical"/>
    <s v="A. Tan"/>
    <s v="Middle East"/>
    <x v="10"/>
  </r>
  <r>
    <x v="561"/>
    <s v="BK50562"/>
    <d v="2025-09-04T00:00:00"/>
    <d v="2025-09-05T00:00:00"/>
    <d v="2025-09-23T00:00:00"/>
    <x v="5"/>
    <s v="Food"/>
    <s v="Switzerland"/>
    <s v="Singapore"/>
    <s v="Los Angeles"/>
    <x v="1"/>
    <x v="7"/>
    <s v="Reefer"/>
    <n v="2"/>
    <s v="Chemicals"/>
    <n v="67048.41"/>
    <n v="16525.900000000001"/>
    <n v="3877.31"/>
    <n v="1050.58"/>
    <n v="670.48"/>
    <n v="828.01"/>
    <n v="1952.37"/>
    <n v="42143.76"/>
    <n v="0"/>
    <x v="3"/>
    <n v="137.72"/>
    <x v="1"/>
    <s v="Paid"/>
    <s v="Standard"/>
    <s v="R. Mehta"/>
    <s v="Middle East"/>
    <x v="3"/>
  </r>
  <r>
    <x v="562"/>
    <s v="BK50563"/>
    <d v="2025-09-19T00:00:00"/>
    <d v="2025-09-22T00:00:00"/>
    <d v="2025-10-14T00:00:00"/>
    <x v="1"/>
    <s v="FMCG"/>
    <s v="UK"/>
    <s v="Colombo"/>
    <s v="New York"/>
    <x v="1"/>
    <x v="5"/>
    <s v="Reefer"/>
    <n v="2"/>
    <s v="Machinery"/>
    <n v="20014.189999999999"/>
    <n v="4576.26"/>
    <n v="1134.32"/>
    <n v="238.4"/>
    <n v="200.14"/>
    <n v="121.82"/>
    <n v="1838.51"/>
    <n v="11904.74"/>
    <n v="48"/>
    <x v="2"/>
    <n v="38.14"/>
    <x v="0"/>
    <s v="Pending"/>
    <s v="Standard"/>
    <s v="L. Chen"/>
    <s v="Middle East"/>
    <x v="3"/>
  </r>
  <r>
    <x v="563"/>
    <s v="BK50564"/>
    <d v="2025-01-11T00:00:00"/>
    <d v="2025-01-14T00:00:00"/>
    <d v="2025-02-10T00:00:00"/>
    <x v="2"/>
    <s v="Electronics"/>
    <s v="South Korea"/>
    <s v="Singapore"/>
    <s v="Rotterdam"/>
    <x v="3"/>
    <x v="5"/>
    <s v="20FT"/>
    <n v="2"/>
    <s v="Auto Parts"/>
    <n v="51473.86"/>
    <n v="14626.67"/>
    <n v="3050.72"/>
    <n v="943.19"/>
    <n v="514.74"/>
    <n v="854.65"/>
    <n v="2172.2800000000002"/>
    <n v="29311.61"/>
    <n v="0"/>
    <x v="3"/>
    <n v="121.89"/>
    <x v="1"/>
    <s v="Paid"/>
    <s v="Critical"/>
    <s v="R. Mehta"/>
    <s v="Middle East"/>
    <x v="11"/>
  </r>
  <r>
    <x v="564"/>
    <s v="BK50565"/>
    <d v="2025-08-24T00:00:00"/>
    <d v="2025-08-25T00:00:00"/>
    <d v="2025-09-18T00:00:00"/>
    <x v="9"/>
    <s v="Engineering"/>
    <s v="Germany"/>
    <s v="Singapore"/>
    <s v="Busan"/>
    <x v="1"/>
    <x v="6"/>
    <s v="20FT"/>
    <n v="2"/>
    <s v="Auto Parts"/>
    <n v="22257.08"/>
    <n v="3995.17"/>
    <n v="1456.54"/>
    <n v="604.78"/>
    <n v="222.57"/>
    <n v="625.95000000000005"/>
    <n v="556.5"/>
    <n v="14795.57"/>
    <n v="8"/>
    <x v="2"/>
    <n v="33.29"/>
    <x v="0"/>
    <s v="Pending"/>
    <s v="Standard"/>
    <s v="L. Chen"/>
    <s v="Europe"/>
    <x v="4"/>
  </r>
  <r>
    <x v="565"/>
    <s v="BK50566"/>
    <d v="2025-03-28T00:00:00"/>
    <d v="2025-03-30T00:00:00"/>
    <d v="2025-04-11T00:00:00"/>
    <x v="0"/>
    <s v="Retail"/>
    <s v="India"/>
    <s v="Shanghai"/>
    <s v="Rotterdam"/>
    <x v="3"/>
    <x v="1"/>
    <s v="Reefer"/>
    <n v="1"/>
    <s v="Machinery"/>
    <n v="28626.83"/>
    <n v="4678.7700000000004"/>
    <n v="1355.56"/>
    <n v="456.76"/>
    <n v="286.27"/>
    <n v="803.14"/>
    <n v="2454.31"/>
    <n v="18592.02"/>
    <n v="36"/>
    <x v="1"/>
    <n v="38.99"/>
    <x v="0"/>
    <s v="Paid"/>
    <s v="Critical"/>
    <s v="M. Ahmed"/>
    <s v="Middle East"/>
    <x v="5"/>
  </r>
  <r>
    <x v="566"/>
    <s v="BK50567"/>
    <d v="2025-09-13T00:00:00"/>
    <d v="2025-09-17T00:00:00"/>
    <d v="2025-10-12T00:00:00"/>
    <x v="7"/>
    <s v="Retail"/>
    <s v="Germany"/>
    <s v="Los Angeles"/>
    <s v="Busan"/>
    <x v="1"/>
    <x v="2"/>
    <s v="Reefer"/>
    <n v="1"/>
    <s v="Auto Parts"/>
    <n v="32148.84"/>
    <n v="5212.12"/>
    <n v="1802.8"/>
    <n v="591.07000000000005"/>
    <n v="321.49"/>
    <n v="609.66999999999996"/>
    <n v="2484.38"/>
    <n v="21127.31"/>
    <n v="8"/>
    <x v="5"/>
    <n v="43.43"/>
    <x v="0"/>
    <s v="Pending"/>
    <s v="High"/>
    <s v="A. Tan"/>
    <s v="Asia"/>
    <x v="3"/>
  </r>
  <r>
    <x v="567"/>
    <s v="BK50568"/>
    <d v="2025-10-26T00:00:00"/>
    <d v="2025-10-28T00:00:00"/>
    <d v="2025-11-26T00:00:00"/>
    <x v="8"/>
    <s v="Retail"/>
    <s v="Sweden"/>
    <s v="Busan"/>
    <s v="Los Angeles"/>
    <x v="0"/>
    <x v="1"/>
    <s v="20FT"/>
    <n v="2"/>
    <s v="Textiles"/>
    <n v="72991.33"/>
    <n v="14763.57"/>
    <n v="5404.34"/>
    <n v="811.46"/>
    <n v="729.91"/>
    <n v="258.76"/>
    <n v="1554.93"/>
    <n v="49468.36"/>
    <n v="48"/>
    <x v="1"/>
    <n v="123.03"/>
    <x v="0"/>
    <s v="Paid"/>
    <s v="High"/>
    <s v="J. Smith"/>
    <s v="Europe"/>
    <x v="7"/>
  </r>
  <r>
    <x v="568"/>
    <s v="BK50569"/>
    <d v="2025-03-01T00:00:00"/>
    <d v="2025-03-02T00:00:00"/>
    <d v="2025-03-16T00:00:00"/>
    <x v="7"/>
    <s v="Retail"/>
    <s v="Germany"/>
    <s v="Colombo"/>
    <s v="Singapore"/>
    <x v="4"/>
    <x v="3"/>
    <s v="40FT"/>
    <n v="2"/>
    <s v="Food"/>
    <n v="12347.49"/>
    <n v="2317.04"/>
    <n v="896.33"/>
    <n v="267.44"/>
    <n v="123.47"/>
    <n v="757.53"/>
    <n v="1164.08"/>
    <n v="6821.6"/>
    <n v="24"/>
    <x v="4"/>
    <n v="19.309999999999999"/>
    <x v="0"/>
    <s v="Pending"/>
    <s v="High"/>
    <s v="M. Ahmed"/>
    <s v="Middle East"/>
    <x v="5"/>
  </r>
  <r>
    <x v="569"/>
    <s v="BK50570"/>
    <d v="2025-01-26T00:00:00"/>
    <d v="2025-01-28T00:00:00"/>
    <d v="2025-02-11T00:00:00"/>
    <x v="6"/>
    <s v="Pharma"/>
    <s v="USA"/>
    <s v="Singapore"/>
    <s v="Rotterdam"/>
    <x v="3"/>
    <x v="3"/>
    <s v="20FT"/>
    <n v="1"/>
    <s v="Food"/>
    <n v="23516.73"/>
    <n v="6036.28"/>
    <n v="1175.01"/>
    <n v="382.58"/>
    <n v="235.17"/>
    <n v="373.25"/>
    <n v="2137.46"/>
    <n v="13176.98"/>
    <n v="0"/>
    <x v="3"/>
    <n v="50.3"/>
    <x v="1"/>
    <s v="Paid"/>
    <s v="Critical"/>
    <s v="J. Smith"/>
    <s v="Asia"/>
    <x v="11"/>
  </r>
  <r>
    <x v="570"/>
    <s v="BK50571"/>
    <d v="2025-04-25T00:00:00"/>
    <d v="2025-04-28T00:00:00"/>
    <d v="2025-05-18T00:00:00"/>
    <x v="7"/>
    <s v="Retail"/>
    <s v="Germany"/>
    <s v="Shanghai"/>
    <s v="Rotterdam"/>
    <x v="3"/>
    <x v="4"/>
    <s v="Reefer"/>
    <n v="2"/>
    <s v="Food"/>
    <n v="54545.760000000002"/>
    <n v="13048.58"/>
    <n v="2731.69"/>
    <n v="653.79"/>
    <n v="545.46"/>
    <n v="666.69"/>
    <n v="1356.21"/>
    <n v="35543.339999999997"/>
    <n v="0"/>
    <x v="3"/>
    <n v="108.74"/>
    <x v="1"/>
    <s v="Pending"/>
    <s v="Standard"/>
    <s v="L. Chen"/>
    <s v="Middle East"/>
    <x v="10"/>
  </r>
  <r>
    <x v="571"/>
    <s v="BK50572"/>
    <d v="2025-07-22T00:00:00"/>
    <d v="2025-07-23T00:00:00"/>
    <d v="2025-08-03T00:00:00"/>
    <x v="9"/>
    <s v="Engineering"/>
    <s v="Germany"/>
    <s v="Busan"/>
    <s v="Nhava Sheva"/>
    <x v="1"/>
    <x v="7"/>
    <s v="High Cube"/>
    <n v="2"/>
    <s v="Auto Parts"/>
    <n v="61289.63"/>
    <n v="16820.349999999999"/>
    <n v="4612.3599999999997"/>
    <n v="993"/>
    <n v="612.9"/>
    <n v="126.81"/>
    <n v="1355.16"/>
    <n v="36769.050000000003"/>
    <n v="12"/>
    <x v="5"/>
    <n v="140.16999999999999"/>
    <x v="0"/>
    <s v="Paid"/>
    <s v="Standard"/>
    <s v="L. Chen"/>
    <s v="Asia"/>
    <x v="1"/>
  </r>
  <r>
    <x v="572"/>
    <s v="BK50573"/>
    <d v="2025-04-10T00:00:00"/>
    <d v="2025-04-13T00:00:00"/>
    <d v="2025-05-08T00:00:00"/>
    <x v="11"/>
    <s v="Automotive"/>
    <s v="Japan"/>
    <s v="Colombo"/>
    <s v="New York"/>
    <x v="1"/>
    <x v="6"/>
    <s v="Reefer"/>
    <n v="1"/>
    <s v="Auto Parts"/>
    <n v="20818.48"/>
    <n v="5562.69"/>
    <n v="967.04"/>
    <n v="602.04999999999995"/>
    <n v="208.18"/>
    <n v="300.36"/>
    <n v="2335.4899999999998"/>
    <n v="10842.67"/>
    <n v="8"/>
    <x v="2"/>
    <n v="46.36"/>
    <x v="0"/>
    <s v="Pending"/>
    <s v="Standard"/>
    <s v="M. Ahmed"/>
    <s v="North America"/>
    <x v="10"/>
  </r>
  <r>
    <x v="573"/>
    <s v="BK50574"/>
    <d v="2025-04-02T00:00:00"/>
    <d v="2025-04-05T00:00:00"/>
    <d v="2025-04-20T00:00:00"/>
    <x v="9"/>
    <s v="Engineering"/>
    <s v="Germany"/>
    <s v="Singapore"/>
    <s v="Rotterdam"/>
    <x v="3"/>
    <x v="7"/>
    <s v="High Cube"/>
    <n v="4"/>
    <s v="Machinery"/>
    <n v="172786.46"/>
    <n v="47824.480000000003"/>
    <n v="10046.82"/>
    <n v="1875.37"/>
    <n v="1727.86"/>
    <n v="853.01"/>
    <n v="1750.59"/>
    <n v="108708.33"/>
    <n v="12"/>
    <x v="2"/>
    <n v="398.54"/>
    <x v="0"/>
    <s v="Pending"/>
    <s v="High"/>
    <s v="M. Ahmed"/>
    <s v="Europe"/>
    <x v="10"/>
  </r>
  <r>
    <x v="574"/>
    <s v="BK50575"/>
    <d v="2025-09-01T00:00:00"/>
    <d v="2025-09-02T00:00:00"/>
    <d v="2025-09-25T00:00:00"/>
    <x v="7"/>
    <s v="Retail"/>
    <s v="Germany"/>
    <s v="Shanghai"/>
    <s v="Rotterdam"/>
    <x v="3"/>
    <x v="6"/>
    <s v="Reefer"/>
    <n v="2"/>
    <s v="Chemicals"/>
    <n v="83834.13"/>
    <n v="18302.45"/>
    <n v="3574.12"/>
    <n v="2512.37"/>
    <n v="838.34"/>
    <n v="159.46"/>
    <n v="2190.14"/>
    <n v="56257.25"/>
    <n v="0"/>
    <x v="3"/>
    <n v="152.52000000000001"/>
    <x v="1"/>
    <s v="Pending"/>
    <s v="Critical"/>
    <s v="J. Smith"/>
    <s v="Middle East"/>
    <x v="3"/>
  </r>
  <r>
    <x v="575"/>
    <s v="BK50576"/>
    <d v="2025-11-08T00:00:00"/>
    <d v="2025-11-09T00:00:00"/>
    <d v="2025-11-30T00:00:00"/>
    <x v="1"/>
    <s v="FMCG"/>
    <s v="UK"/>
    <s v="Singapore"/>
    <s v="New York"/>
    <x v="1"/>
    <x v="3"/>
    <s v="High Cube"/>
    <n v="4"/>
    <s v="Furniture"/>
    <n v="47920.38"/>
    <n v="10956.62"/>
    <n v="2346.84"/>
    <n v="1284.07"/>
    <n v="479.2"/>
    <n v="571.88"/>
    <n v="518.42999999999995"/>
    <n v="31763.34"/>
    <n v="0"/>
    <x v="3"/>
    <n v="91.31"/>
    <x v="1"/>
    <s v="Paid"/>
    <s v="Standard"/>
    <s v="L. Chen"/>
    <s v="Asia"/>
    <x v="8"/>
  </r>
  <r>
    <x v="576"/>
    <s v="BK50577"/>
    <d v="2025-07-24T00:00:00"/>
    <d v="2025-07-26T00:00:00"/>
    <d v="2025-08-17T00:00:00"/>
    <x v="4"/>
    <s v="Manufacturing"/>
    <s v="Germany"/>
    <s v="Colombo"/>
    <s v="Singapore"/>
    <x v="4"/>
    <x v="0"/>
    <s v="40FT"/>
    <n v="1"/>
    <s v="Machinery"/>
    <n v="37354.71"/>
    <n v="6246.01"/>
    <n v="2880.89"/>
    <n v="900.21"/>
    <n v="373.55"/>
    <n v="259.19"/>
    <n v="496.87"/>
    <n v="26197.99"/>
    <n v="24"/>
    <x v="4"/>
    <n v="52.05"/>
    <x v="0"/>
    <s v="Pending"/>
    <s v="Standard"/>
    <s v="R. Mehta"/>
    <s v="Middle East"/>
    <x v="1"/>
  </r>
  <r>
    <x v="577"/>
    <s v="BK50578"/>
    <d v="2025-02-28T00:00:00"/>
    <d v="2025-03-01T00:00:00"/>
    <d v="2025-03-17T00:00:00"/>
    <x v="9"/>
    <s v="Engineering"/>
    <s v="Germany"/>
    <s v="Shanghai"/>
    <s v="Rotterdam"/>
    <x v="3"/>
    <x v="0"/>
    <s v="20FT"/>
    <n v="2"/>
    <s v="Food"/>
    <n v="19449.560000000001"/>
    <n v="5811.7"/>
    <n v="1331.18"/>
    <n v="324.14"/>
    <n v="194.5"/>
    <n v="843.61"/>
    <n v="826.21"/>
    <n v="10118.219999999999"/>
    <n v="4"/>
    <x v="5"/>
    <n v="48.43"/>
    <x v="0"/>
    <s v="Pending"/>
    <s v="High"/>
    <s v="J. Smith"/>
    <s v="Europe"/>
    <x v="9"/>
  </r>
  <r>
    <x v="578"/>
    <s v="BK50579"/>
    <d v="2025-05-14T00:00:00"/>
    <d v="2025-05-15T00:00:00"/>
    <d v="2025-06-05T00:00:00"/>
    <x v="10"/>
    <s v="E-commerce"/>
    <s v="USA"/>
    <s v="Hamburg"/>
    <s v="Singapore"/>
    <x v="1"/>
    <x v="6"/>
    <s v="40FT"/>
    <n v="1"/>
    <s v="Auto Parts"/>
    <n v="12916.82"/>
    <n v="2502.7600000000002"/>
    <n v="910.62"/>
    <n v="331.93"/>
    <n v="129.16999999999999"/>
    <n v="726.51"/>
    <n v="1584.97"/>
    <n v="6730.86"/>
    <n v="0"/>
    <x v="3"/>
    <n v="20.86"/>
    <x v="1"/>
    <s v="Paid"/>
    <s v="Critical"/>
    <s v="A. Tan"/>
    <s v="North America"/>
    <x v="6"/>
  </r>
  <r>
    <x v="579"/>
    <s v="BK50580"/>
    <d v="2025-08-08T00:00:00"/>
    <d v="2025-08-12T00:00:00"/>
    <d v="2025-08-25T00:00:00"/>
    <x v="10"/>
    <s v="E-commerce"/>
    <s v="USA"/>
    <s v="Colombo"/>
    <s v="Singapore"/>
    <x v="4"/>
    <x v="1"/>
    <s v="High Cube"/>
    <n v="4"/>
    <s v="Auto Parts"/>
    <n v="119517.65"/>
    <n v="30654.74"/>
    <n v="9128.15"/>
    <n v="1711.51"/>
    <n v="1195.18"/>
    <n v="213.58"/>
    <n v="1766.18"/>
    <n v="74848.31"/>
    <n v="0"/>
    <x v="3"/>
    <n v="255.46"/>
    <x v="1"/>
    <s v="Pending"/>
    <s v="High"/>
    <s v="J. Smith"/>
    <s v="North America"/>
    <x v="4"/>
  </r>
  <r>
    <x v="580"/>
    <s v="BK50581"/>
    <d v="2025-10-26T00:00:00"/>
    <d v="2025-10-28T00:00:00"/>
    <d v="2025-11-15T00:00:00"/>
    <x v="0"/>
    <s v="Retail"/>
    <s v="India"/>
    <s v="Colombo"/>
    <s v="Rotterdam"/>
    <x v="1"/>
    <x v="3"/>
    <s v="40FT"/>
    <n v="4"/>
    <s v="Electronics"/>
    <n v="84266.2"/>
    <n v="18107.05"/>
    <n v="5175.21"/>
    <n v="1564.84"/>
    <n v="842.66"/>
    <n v="531.21"/>
    <n v="2018.3"/>
    <n v="56026.93"/>
    <n v="0"/>
    <x v="3"/>
    <n v="150.88999999999999"/>
    <x v="1"/>
    <s v="Pending"/>
    <s v="Critical"/>
    <s v="J. Smith"/>
    <s v="Middle East"/>
    <x v="7"/>
  </r>
  <r>
    <x v="581"/>
    <s v="BK50582"/>
    <d v="2025-12-27T00:00:00"/>
    <d v="2025-12-30T00:00:00"/>
    <d v="2026-01-10T00:00:00"/>
    <x v="6"/>
    <s v="Pharma"/>
    <s v="USA"/>
    <s v="Busan"/>
    <s v="Jebel Ali"/>
    <x v="1"/>
    <x v="4"/>
    <s v="40FT"/>
    <n v="2"/>
    <s v="Furniture"/>
    <n v="13115.8"/>
    <n v="2680.41"/>
    <n v="896.13"/>
    <n v="222.27"/>
    <n v="131.16"/>
    <n v="790.26"/>
    <n v="658.65"/>
    <n v="7736.92"/>
    <n v="0"/>
    <x v="3"/>
    <n v="22.34"/>
    <x v="1"/>
    <s v="Pending"/>
    <s v="Standard"/>
    <s v="R. Mehta"/>
    <s v="North America"/>
    <x v="2"/>
  </r>
  <r>
    <x v="582"/>
    <s v="BK50583"/>
    <d v="2025-04-12T00:00:00"/>
    <d v="2025-04-14T00:00:00"/>
    <d v="2025-05-04T00:00:00"/>
    <x v="11"/>
    <s v="Automotive"/>
    <s v="Japan"/>
    <s v="Jebel Ali"/>
    <s v="Rotterdam"/>
    <x v="1"/>
    <x v="6"/>
    <s v="20FT"/>
    <n v="2"/>
    <s v="Textiles"/>
    <n v="68111.759999999995"/>
    <n v="15887.62"/>
    <n v="4228.3100000000004"/>
    <n v="1675.96"/>
    <n v="681.12"/>
    <n v="805.68"/>
    <n v="2013.66"/>
    <n v="42819.41"/>
    <n v="0"/>
    <x v="3"/>
    <n v="132.4"/>
    <x v="1"/>
    <s v="Paid"/>
    <s v="Standard"/>
    <s v="L. Chen"/>
    <s v="Middle East"/>
    <x v="10"/>
  </r>
  <r>
    <x v="583"/>
    <s v="BK50584"/>
    <d v="2025-09-27T00:00:00"/>
    <d v="2025-09-29T00:00:00"/>
    <d v="2025-10-26T00:00:00"/>
    <x v="8"/>
    <s v="Retail"/>
    <s v="Sweden"/>
    <s v="Shanghai"/>
    <s v="New York"/>
    <x v="1"/>
    <x v="5"/>
    <s v="Reefer"/>
    <n v="1"/>
    <s v="Textiles"/>
    <n v="32277.26"/>
    <n v="5835.9"/>
    <n v="1555.88"/>
    <n v="918.41"/>
    <n v="322.77"/>
    <n v="471.36"/>
    <n v="2439.7800000000002"/>
    <n v="20733.16"/>
    <n v="24"/>
    <x v="4"/>
    <n v="48.63"/>
    <x v="0"/>
    <s v="Pending"/>
    <s v="Standard"/>
    <s v="J. Smith"/>
    <s v="North America"/>
    <x v="3"/>
  </r>
  <r>
    <x v="584"/>
    <s v="BK50585"/>
    <d v="2025-08-03T00:00:00"/>
    <d v="2025-08-04T00:00:00"/>
    <d v="2025-08-16T00:00:00"/>
    <x v="7"/>
    <s v="Retail"/>
    <s v="Germany"/>
    <s v="Jebel Ali"/>
    <s v="Nhava Sheva"/>
    <x v="2"/>
    <x v="4"/>
    <s v="40FT"/>
    <n v="2"/>
    <s v="Textiles"/>
    <n v="68936.100000000006"/>
    <n v="12508.27"/>
    <n v="3835.33"/>
    <n v="1593.28"/>
    <n v="689.36"/>
    <n v="582"/>
    <n v="419.78"/>
    <n v="49308.08"/>
    <n v="0"/>
    <x v="3"/>
    <n v="104.24"/>
    <x v="1"/>
    <s v="Paid"/>
    <s v="Standard"/>
    <s v="A. Tan"/>
    <s v="Middle East"/>
    <x v="4"/>
  </r>
  <r>
    <x v="585"/>
    <s v="BK50586"/>
    <d v="2025-07-31T00:00:00"/>
    <d v="2025-08-01T00:00:00"/>
    <d v="2025-08-29T00:00:00"/>
    <x v="7"/>
    <s v="Retail"/>
    <s v="Germany"/>
    <s v="Colombo"/>
    <s v="Singapore"/>
    <x v="4"/>
    <x v="1"/>
    <s v="40FT"/>
    <n v="4"/>
    <s v="Machinery"/>
    <n v="129463.11"/>
    <n v="25512.77"/>
    <n v="5471.08"/>
    <n v="1867.93"/>
    <n v="1294.6300000000001"/>
    <n v="614.91"/>
    <n v="678.72"/>
    <n v="94023.07"/>
    <n v="0"/>
    <x v="3"/>
    <n v="212.61"/>
    <x v="1"/>
    <s v="Pending"/>
    <s v="Critical"/>
    <s v="R. Mehta"/>
    <s v="Middle East"/>
    <x v="1"/>
  </r>
  <r>
    <x v="586"/>
    <s v="BK50587"/>
    <d v="2025-11-07T00:00:00"/>
    <d v="2025-11-10T00:00:00"/>
    <d v="2025-11-25T00:00:00"/>
    <x v="11"/>
    <s v="Automotive"/>
    <s v="Japan"/>
    <s v="Colombo"/>
    <s v="Singapore"/>
    <x v="4"/>
    <x v="3"/>
    <s v="Reefer"/>
    <n v="1"/>
    <s v="Auto Parts"/>
    <n v="28911.79"/>
    <n v="6837.37"/>
    <n v="1622.31"/>
    <n v="814.49"/>
    <n v="289.12"/>
    <n v="166.23"/>
    <n v="2165.2199999999998"/>
    <n v="17017.05"/>
    <n v="0"/>
    <x v="3"/>
    <n v="56.98"/>
    <x v="1"/>
    <s v="Paid"/>
    <s v="Standard"/>
    <s v="M. Ahmed"/>
    <s v="Europe"/>
    <x v="8"/>
  </r>
  <r>
    <x v="587"/>
    <s v="BK50588"/>
    <d v="2025-05-03T00:00:00"/>
    <d v="2025-05-04T00:00:00"/>
    <d v="2025-05-29T00:00:00"/>
    <x v="5"/>
    <s v="Food"/>
    <s v="Switzerland"/>
    <s v="Shanghai"/>
    <s v="Rotterdam"/>
    <x v="3"/>
    <x v="7"/>
    <s v="40FT"/>
    <n v="4"/>
    <s v="Chemicals"/>
    <n v="93961.54"/>
    <n v="18924.55"/>
    <n v="6623.1"/>
    <n v="1788.25"/>
    <n v="939.62"/>
    <n v="700.64"/>
    <n v="1275.28"/>
    <n v="63710.1"/>
    <n v="0"/>
    <x v="3"/>
    <n v="157.69999999999999"/>
    <x v="1"/>
    <s v="Pending"/>
    <s v="Standard"/>
    <s v="M. Ahmed"/>
    <s v="Middle East"/>
    <x v="6"/>
  </r>
  <r>
    <x v="588"/>
    <s v="BK50589"/>
    <d v="2025-11-16T00:00:00"/>
    <d v="2025-11-17T00:00:00"/>
    <d v="2025-12-07T00:00:00"/>
    <x v="10"/>
    <s v="E-commerce"/>
    <s v="USA"/>
    <s v="Busan"/>
    <s v="Los Angeles"/>
    <x v="0"/>
    <x v="4"/>
    <s v="Reefer"/>
    <n v="2"/>
    <s v="Chemicals"/>
    <n v="83060.789999999994"/>
    <n v="18390.12"/>
    <n v="5064.84"/>
    <n v="1481.19"/>
    <n v="830.61"/>
    <n v="675.58"/>
    <n v="1108.67"/>
    <n v="55509.78"/>
    <n v="24"/>
    <x v="5"/>
    <n v="153.25"/>
    <x v="0"/>
    <s v="Pending"/>
    <s v="Critical"/>
    <s v="M. Ahmed"/>
    <s v="North America"/>
    <x v="8"/>
  </r>
  <r>
    <x v="589"/>
    <s v="BK50590"/>
    <d v="2025-04-18T00:00:00"/>
    <d v="2025-04-20T00:00:00"/>
    <d v="2025-05-14T00:00:00"/>
    <x v="10"/>
    <s v="E-commerce"/>
    <s v="USA"/>
    <s v="Busan"/>
    <s v="Los Angeles"/>
    <x v="0"/>
    <x v="2"/>
    <s v="20FT"/>
    <n v="4"/>
    <s v="Food"/>
    <n v="95316.53"/>
    <n v="25410.46"/>
    <n v="7377.24"/>
    <n v="1455.82"/>
    <n v="953.17"/>
    <n v="306.62"/>
    <n v="2466.1799999999998"/>
    <n v="57347.040000000001"/>
    <n v="48"/>
    <x v="1"/>
    <n v="211.75"/>
    <x v="0"/>
    <s v="Paid"/>
    <s v="Standard"/>
    <s v="R. Mehta"/>
    <s v="Asia"/>
    <x v="10"/>
  </r>
  <r>
    <x v="590"/>
    <s v="BK50591"/>
    <d v="2025-06-09T00:00:00"/>
    <d v="2025-06-12T00:00:00"/>
    <d v="2025-07-05T00:00:00"/>
    <x v="2"/>
    <s v="Electronics"/>
    <s v="South Korea"/>
    <s v="Busan"/>
    <s v="Los Angeles"/>
    <x v="0"/>
    <x v="3"/>
    <s v="20FT"/>
    <n v="1"/>
    <s v="Chemicals"/>
    <n v="37570.58"/>
    <n v="6634.06"/>
    <n v="2894.77"/>
    <n v="1019.53"/>
    <n v="375.71"/>
    <n v="786.21"/>
    <n v="1415.98"/>
    <n v="24444.32"/>
    <n v="0"/>
    <x v="3"/>
    <n v="55.28"/>
    <x v="1"/>
    <s v="Pending"/>
    <s v="High"/>
    <s v="M. Ahmed"/>
    <s v="Middle East"/>
    <x v="0"/>
  </r>
  <r>
    <x v="591"/>
    <s v="BK50592"/>
    <d v="2025-10-25T00:00:00"/>
    <d v="2025-10-28T00:00:00"/>
    <d v="2025-11-17T00:00:00"/>
    <x v="2"/>
    <s v="Electronics"/>
    <s v="South Korea"/>
    <s v="Shanghai"/>
    <s v="Rotterdam"/>
    <x v="3"/>
    <x v="3"/>
    <s v="Reefer"/>
    <n v="2"/>
    <s v="Chemicals"/>
    <n v="12685.82"/>
    <n v="2471.71"/>
    <n v="725.86"/>
    <n v="187.58"/>
    <n v="126.86"/>
    <n v="168.6"/>
    <n v="1098.27"/>
    <n v="7906.94"/>
    <n v="0"/>
    <x v="3"/>
    <n v="20.6"/>
    <x v="1"/>
    <s v="Paid"/>
    <s v="Critical"/>
    <s v="L. Chen"/>
    <s v="Asia"/>
    <x v="7"/>
  </r>
  <r>
    <x v="592"/>
    <s v="BK50593"/>
    <d v="2025-03-04T00:00:00"/>
    <d v="2025-03-05T00:00:00"/>
    <d v="2025-03-29T00:00:00"/>
    <x v="7"/>
    <s v="Retail"/>
    <s v="Germany"/>
    <s v="Singapore"/>
    <s v="Rotterdam"/>
    <x v="3"/>
    <x v="1"/>
    <s v="20FT"/>
    <n v="2"/>
    <s v="Textiles"/>
    <n v="42198.67"/>
    <n v="8186.36"/>
    <n v="1805.82"/>
    <n v="1121.1099999999999"/>
    <n v="421.99"/>
    <n v="403.97"/>
    <n v="413.19"/>
    <n v="29846.23"/>
    <n v="0"/>
    <x v="3"/>
    <n v="68.22"/>
    <x v="1"/>
    <s v="Paid"/>
    <s v="High"/>
    <s v="R. Mehta"/>
    <s v="North America"/>
    <x v="5"/>
  </r>
  <r>
    <x v="593"/>
    <s v="BK50594"/>
    <d v="2025-05-10T00:00:00"/>
    <d v="2025-05-11T00:00:00"/>
    <d v="2025-05-29T00:00:00"/>
    <x v="5"/>
    <s v="Food"/>
    <s v="Switzerland"/>
    <s v="Singapore"/>
    <s v="Singapore"/>
    <x v="1"/>
    <x v="6"/>
    <s v="Reefer"/>
    <n v="2"/>
    <s v="Machinery"/>
    <n v="43616.1"/>
    <n v="9579.2099999999991"/>
    <n v="2672.4"/>
    <n v="826.46"/>
    <n v="436.16"/>
    <n v="293.23"/>
    <n v="1711.98"/>
    <n v="28096.66"/>
    <n v="0"/>
    <x v="3"/>
    <n v="79.83"/>
    <x v="1"/>
    <s v="Pending"/>
    <s v="Critical"/>
    <s v="L. Chen"/>
    <s v="Middle East"/>
    <x v="6"/>
  </r>
  <r>
    <x v="594"/>
    <s v="BK50595"/>
    <d v="2025-08-30T00:00:00"/>
    <d v="2025-09-03T00:00:00"/>
    <d v="2025-09-29T00:00:00"/>
    <x v="2"/>
    <s v="Electronics"/>
    <s v="South Korea"/>
    <s v="Singapore"/>
    <s v="Rotterdam"/>
    <x v="3"/>
    <x v="6"/>
    <s v="Reefer"/>
    <n v="1"/>
    <s v="Machinery"/>
    <n v="36946.699999999997"/>
    <n v="8222.4699999999993"/>
    <n v="2229.1799999999998"/>
    <n v="699.71"/>
    <n v="369.47"/>
    <n v="757.65"/>
    <n v="1020.29"/>
    <n v="23647.93"/>
    <n v="36"/>
    <x v="2"/>
    <n v="68.52"/>
    <x v="0"/>
    <s v="Paid"/>
    <s v="Standard"/>
    <s v="L. Chen"/>
    <s v="Asia"/>
    <x v="4"/>
  </r>
  <r>
    <x v="595"/>
    <s v="BK50596"/>
    <d v="2025-01-06T00:00:00"/>
    <d v="2025-01-07T00:00:00"/>
    <d v="2025-01-20T00:00:00"/>
    <x v="9"/>
    <s v="Engineering"/>
    <s v="Germany"/>
    <s v="Busan"/>
    <s v="Los Angeles"/>
    <x v="0"/>
    <x v="7"/>
    <s v="20FT"/>
    <n v="1"/>
    <s v="Food"/>
    <n v="32398.13"/>
    <n v="6022.03"/>
    <n v="1534.92"/>
    <n v="727.2"/>
    <n v="323.98"/>
    <n v="189.08"/>
    <n v="1840.19"/>
    <n v="21760.73"/>
    <n v="0"/>
    <x v="3"/>
    <n v="50.18"/>
    <x v="1"/>
    <s v="Paid"/>
    <s v="High"/>
    <s v="R. Mehta"/>
    <s v="North America"/>
    <x v="11"/>
  </r>
  <r>
    <x v="596"/>
    <s v="BK50597"/>
    <d v="2025-01-20T00:00:00"/>
    <d v="2025-01-21T00:00:00"/>
    <d v="2025-02-09T00:00:00"/>
    <x v="0"/>
    <s v="Retail"/>
    <s v="India"/>
    <s v="Singapore"/>
    <s v="Colombo"/>
    <x v="1"/>
    <x v="2"/>
    <s v="High Cube"/>
    <n v="1"/>
    <s v="Furniture"/>
    <n v="8561.08"/>
    <n v="1632.66"/>
    <n v="607.41"/>
    <n v="169.17"/>
    <n v="85.61"/>
    <n v="652.97"/>
    <n v="2255.9299999999998"/>
    <n v="3157.33"/>
    <n v="8"/>
    <x v="0"/>
    <n v="13.61"/>
    <x v="0"/>
    <s v="Pending"/>
    <s v="High"/>
    <s v="R. Mehta"/>
    <s v="Asia"/>
    <x v="11"/>
  </r>
  <r>
    <x v="597"/>
    <s v="BK50598"/>
    <d v="2025-07-30T00:00:00"/>
    <d v="2025-08-03T00:00:00"/>
    <d v="2025-08-22T00:00:00"/>
    <x v="1"/>
    <s v="FMCG"/>
    <s v="UK"/>
    <s v="Colombo"/>
    <s v="Singapore"/>
    <x v="4"/>
    <x v="7"/>
    <s v="High Cube"/>
    <n v="4"/>
    <s v="Chemicals"/>
    <n v="68099.81"/>
    <n v="13643.72"/>
    <n v="4608.67"/>
    <n v="1724.97"/>
    <n v="681"/>
    <n v="777.63"/>
    <n v="1600.7"/>
    <n v="45063.12"/>
    <n v="48"/>
    <x v="0"/>
    <n v="113.7"/>
    <x v="0"/>
    <s v="Paid"/>
    <s v="Critical"/>
    <s v="M. Ahmed"/>
    <s v="North America"/>
    <x v="1"/>
  </r>
  <r>
    <x v="598"/>
    <s v="BK50599"/>
    <d v="2025-04-06T00:00:00"/>
    <d v="2025-04-08T00:00:00"/>
    <d v="2025-04-19T00:00:00"/>
    <x v="11"/>
    <s v="Automotive"/>
    <s v="Japan"/>
    <s v="Colombo"/>
    <s v="Los Angeles"/>
    <x v="1"/>
    <x v="3"/>
    <s v="40FT"/>
    <n v="2"/>
    <s v="Furniture"/>
    <n v="71301.86"/>
    <n v="17942.36"/>
    <n v="4954.21"/>
    <n v="826.39"/>
    <n v="713.02"/>
    <n v="886.88"/>
    <n v="2424.35"/>
    <n v="43554.65"/>
    <n v="0"/>
    <x v="3"/>
    <n v="149.52000000000001"/>
    <x v="1"/>
    <s v="Pending"/>
    <s v="Standard"/>
    <s v="R. Mehta"/>
    <s v="Europe"/>
    <x v="10"/>
  </r>
  <r>
    <x v="599"/>
    <s v="BK50600"/>
    <d v="2025-11-05T00:00:00"/>
    <d v="2025-11-09T00:00:00"/>
    <d v="2025-11-25T00:00:00"/>
    <x v="7"/>
    <s v="Retail"/>
    <s v="Germany"/>
    <s v="Colombo"/>
    <s v="Singapore"/>
    <x v="4"/>
    <x v="5"/>
    <s v="High Cube"/>
    <n v="2"/>
    <s v="Machinery"/>
    <n v="48871.22"/>
    <n v="10016.09"/>
    <n v="1981.03"/>
    <n v="1435.26"/>
    <n v="488.71"/>
    <n v="364.04"/>
    <n v="433.61"/>
    <n v="34152.480000000003"/>
    <n v="0"/>
    <x v="3"/>
    <n v="83.47"/>
    <x v="1"/>
    <s v="Pending"/>
    <s v="Critical"/>
    <s v="M. Ahmed"/>
    <s v="Middle East"/>
    <x v="8"/>
  </r>
  <r>
    <x v="600"/>
    <s v="BK50601"/>
    <d v="2025-04-28T00:00:00"/>
    <d v="2025-04-29T00:00:00"/>
    <d v="2025-05-12T00:00:00"/>
    <x v="10"/>
    <s v="E-commerce"/>
    <s v="USA"/>
    <s v="Busan"/>
    <s v="Los Angeles"/>
    <x v="0"/>
    <x v="2"/>
    <s v="40FT"/>
    <n v="4"/>
    <s v="Furniture"/>
    <n v="159787.17000000001"/>
    <n v="28006.49"/>
    <n v="12235.98"/>
    <n v="3669.74"/>
    <n v="1597.87"/>
    <n v="333.88"/>
    <n v="2249.33"/>
    <n v="111693.88"/>
    <n v="48"/>
    <x v="2"/>
    <n v="233.39"/>
    <x v="0"/>
    <s v="Paid"/>
    <s v="High"/>
    <s v="L. Chen"/>
    <s v="Europe"/>
    <x v="10"/>
  </r>
  <r>
    <x v="601"/>
    <s v="BK50602"/>
    <d v="2025-06-12T00:00:00"/>
    <d v="2025-06-15T00:00:00"/>
    <d v="2025-07-12T00:00:00"/>
    <x v="7"/>
    <s v="Retail"/>
    <s v="Germany"/>
    <s v="Singapore"/>
    <s v="Rotterdam"/>
    <x v="3"/>
    <x v="0"/>
    <s v="High Cube"/>
    <n v="4"/>
    <s v="Machinery"/>
    <n v="93543.98"/>
    <n v="15902.84"/>
    <n v="4380.58"/>
    <n v="2731.19"/>
    <n v="935.44"/>
    <n v="430.36"/>
    <n v="634.16999999999996"/>
    <n v="68529.399999999994"/>
    <n v="36"/>
    <x v="1"/>
    <n v="132.52000000000001"/>
    <x v="0"/>
    <s v="Paid"/>
    <s v="Critical"/>
    <s v="L. Chen"/>
    <s v="North America"/>
    <x v="0"/>
  </r>
  <r>
    <x v="602"/>
    <s v="BK50603"/>
    <d v="2025-06-29T00:00:00"/>
    <d v="2025-06-30T00:00:00"/>
    <d v="2025-07-12T00:00:00"/>
    <x v="2"/>
    <s v="Electronics"/>
    <s v="South Korea"/>
    <s v="Singapore"/>
    <s v="Rotterdam"/>
    <x v="3"/>
    <x v="4"/>
    <s v="High Cube"/>
    <n v="2"/>
    <s v="Furniture"/>
    <n v="16980.48"/>
    <n v="3208.73"/>
    <n v="884.19"/>
    <n v="241.45"/>
    <n v="169.8"/>
    <n v="395.54"/>
    <n v="1157.96"/>
    <n v="10922.81"/>
    <n v="0"/>
    <x v="3"/>
    <n v="26.74"/>
    <x v="1"/>
    <s v="Paid"/>
    <s v="High"/>
    <s v="R. Mehta"/>
    <s v="North America"/>
    <x v="0"/>
  </r>
  <r>
    <x v="603"/>
    <s v="BK50604"/>
    <d v="2025-07-07T00:00:00"/>
    <d v="2025-07-10T00:00:00"/>
    <d v="2025-08-05T00:00:00"/>
    <x v="6"/>
    <s v="Pharma"/>
    <s v="USA"/>
    <s v="Shanghai"/>
    <s v="Rotterdam"/>
    <x v="3"/>
    <x v="5"/>
    <s v="20FT"/>
    <n v="1"/>
    <s v="Food"/>
    <n v="33637.300000000003"/>
    <n v="6172.58"/>
    <n v="2132.54"/>
    <n v="817.12"/>
    <n v="336.37"/>
    <n v="252.66"/>
    <n v="326.10000000000002"/>
    <n v="23599.93"/>
    <n v="4"/>
    <x v="0"/>
    <n v="51.44"/>
    <x v="0"/>
    <s v="Pending"/>
    <s v="Critical"/>
    <s v="A. Tan"/>
    <s v="North America"/>
    <x v="1"/>
  </r>
  <r>
    <x v="604"/>
    <s v="BK50605"/>
    <d v="2025-02-15T00:00:00"/>
    <d v="2025-02-16T00:00:00"/>
    <d v="2025-03-10T00:00:00"/>
    <x v="9"/>
    <s v="Engineering"/>
    <s v="Germany"/>
    <s v="Busan"/>
    <s v="Los Angeles"/>
    <x v="0"/>
    <x v="7"/>
    <s v="20FT"/>
    <n v="2"/>
    <s v="Machinery"/>
    <n v="45757.599999999999"/>
    <n v="12168.25"/>
    <n v="3160.69"/>
    <n v="1329.59"/>
    <n v="457.58"/>
    <n v="220.86"/>
    <n v="1812.05"/>
    <n v="26608.58"/>
    <n v="0"/>
    <x v="3"/>
    <n v="101.4"/>
    <x v="1"/>
    <s v="Paid"/>
    <s v="Critical"/>
    <s v="J. Smith"/>
    <s v="Europe"/>
    <x v="9"/>
  </r>
  <r>
    <x v="605"/>
    <s v="BK50606"/>
    <d v="2025-06-30T00:00:00"/>
    <d v="2025-07-01T00:00:00"/>
    <d v="2025-07-27T00:00:00"/>
    <x v="4"/>
    <s v="Manufacturing"/>
    <s v="Germany"/>
    <s v="Colombo"/>
    <s v="Singapore"/>
    <x v="4"/>
    <x v="2"/>
    <s v="High Cube"/>
    <n v="4"/>
    <s v="Electronics"/>
    <n v="26042.13"/>
    <n v="5266.96"/>
    <n v="1240.3399999999999"/>
    <n v="725.8"/>
    <n v="260.42"/>
    <n v="229.73"/>
    <n v="1064.3399999999999"/>
    <n v="17254.54"/>
    <n v="24"/>
    <x v="0"/>
    <n v="43.89"/>
    <x v="0"/>
    <s v="Paid"/>
    <s v="High"/>
    <s v="J. Smith"/>
    <s v="Europe"/>
    <x v="0"/>
  </r>
  <r>
    <x v="606"/>
    <s v="BK50607"/>
    <d v="2025-07-11T00:00:00"/>
    <d v="2025-07-13T00:00:00"/>
    <d v="2025-08-05T00:00:00"/>
    <x v="11"/>
    <s v="Automotive"/>
    <s v="Japan"/>
    <s v="Singapore"/>
    <s v="Rotterdam"/>
    <x v="3"/>
    <x v="0"/>
    <s v="40FT"/>
    <n v="2"/>
    <s v="Textiles"/>
    <n v="67240.17"/>
    <n v="19466.23"/>
    <n v="2797.93"/>
    <n v="1123.96"/>
    <n v="672.4"/>
    <n v="373.23"/>
    <n v="909.44"/>
    <n v="41896.980000000003"/>
    <n v="8"/>
    <x v="4"/>
    <n v="162.22"/>
    <x v="0"/>
    <s v="Paid"/>
    <s v="Critical"/>
    <s v="R. Mehta"/>
    <s v="Europe"/>
    <x v="1"/>
  </r>
  <r>
    <x v="607"/>
    <s v="BK50608"/>
    <d v="2025-05-24T00:00:00"/>
    <d v="2025-05-26T00:00:00"/>
    <d v="2025-06-13T00:00:00"/>
    <x v="11"/>
    <s v="Automotive"/>
    <s v="Japan"/>
    <s v="Singapore"/>
    <s v="Rotterdam"/>
    <x v="3"/>
    <x v="6"/>
    <s v="Reefer"/>
    <n v="4"/>
    <s v="Furniture"/>
    <n v="112811.39"/>
    <n v="24823.3"/>
    <n v="7159.2"/>
    <n v="2483.3200000000002"/>
    <n v="1128.1099999999999"/>
    <n v="217.34"/>
    <n v="1924.46"/>
    <n v="75075.66"/>
    <n v="48"/>
    <x v="4"/>
    <n v="206.86"/>
    <x v="0"/>
    <s v="Pending"/>
    <s v="Critical"/>
    <s v="J. Smith"/>
    <s v="Middle East"/>
    <x v="6"/>
  </r>
  <r>
    <x v="608"/>
    <s v="BK50609"/>
    <d v="2025-10-30T00:00:00"/>
    <d v="2025-11-02T00:00:00"/>
    <d v="2025-11-12T00:00:00"/>
    <x v="1"/>
    <s v="FMCG"/>
    <s v="UK"/>
    <s v="Singapore"/>
    <s v="Rotterdam"/>
    <x v="3"/>
    <x v="4"/>
    <s v="40FT"/>
    <n v="2"/>
    <s v="Auto Parts"/>
    <n v="59313.98"/>
    <n v="14964.64"/>
    <n v="2509.17"/>
    <n v="1283.1300000000001"/>
    <n v="593.14"/>
    <n v="798.59"/>
    <n v="517.29"/>
    <n v="38648.019999999997"/>
    <n v="0"/>
    <x v="3"/>
    <n v="124.71"/>
    <x v="1"/>
    <s v="Paid"/>
    <s v="High"/>
    <s v="L. Chen"/>
    <s v="North America"/>
    <x v="7"/>
  </r>
  <r>
    <x v="609"/>
    <s v="BK50610"/>
    <d v="2025-07-15T00:00:00"/>
    <d v="2025-07-19T00:00:00"/>
    <d v="2025-08-14T00:00:00"/>
    <x v="1"/>
    <s v="FMCG"/>
    <s v="UK"/>
    <s v="Busan"/>
    <s v="Los Angeles"/>
    <x v="0"/>
    <x v="6"/>
    <s v="High Cube"/>
    <n v="2"/>
    <s v="Textiles"/>
    <n v="62000.71"/>
    <n v="17260.12"/>
    <n v="2899.12"/>
    <n v="1386.15"/>
    <n v="620.01"/>
    <n v="214.29"/>
    <n v="728.36"/>
    <n v="38892.660000000003"/>
    <n v="12"/>
    <x v="1"/>
    <n v="143.83000000000001"/>
    <x v="0"/>
    <s v="Pending"/>
    <s v="Standard"/>
    <s v="J. Smith"/>
    <s v="Middle East"/>
    <x v="1"/>
  </r>
  <r>
    <x v="610"/>
    <s v="BK50611"/>
    <d v="2025-06-19T00:00:00"/>
    <d v="2025-06-20T00:00:00"/>
    <d v="2025-07-11T00:00:00"/>
    <x v="4"/>
    <s v="Manufacturing"/>
    <s v="Germany"/>
    <s v="Busan"/>
    <s v="New York"/>
    <x v="1"/>
    <x v="4"/>
    <s v="Reefer"/>
    <n v="2"/>
    <s v="Textiles"/>
    <n v="66693.070000000007"/>
    <n v="14983.25"/>
    <n v="4738.59"/>
    <n v="862.99"/>
    <n v="666.93"/>
    <n v="420.44"/>
    <n v="1562.8"/>
    <n v="43458.07"/>
    <n v="8"/>
    <x v="5"/>
    <n v="124.86"/>
    <x v="0"/>
    <s v="Pending"/>
    <s v="Standard"/>
    <s v="A. Tan"/>
    <s v="North America"/>
    <x v="0"/>
  </r>
  <r>
    <x v="611"/>
    <s v="BK50612"/>
    <d v="2025-06-14T00:00:00"/>
    <d v="2025-06-18T00:00:00"/>
    <d v="2025-07-02T00:00:00"/>
    <x v="10"/>
    <s v="E-commerce"/>
    <s v="USA"/>
    <s v="Shanghai"/>
    <s v="Rotterdam"/>
    <x v="3"/>
    <x v="4"/>
    <s v="High Cube"/>
    <n v="4"/>
    <s v="Machinery"/>
    <n v="50619.41"/>
    <n v="13628.65"/>
    <n v="3690.6"/>
    <n v="1488.67"/>
    <n v="506.19"/>
    <n v="328.79"/>
    <n v="576.45000000000005"/>
    <n v="30400.06"/>
    <n v="8"/>
    <x v="0"/>
    <n v="113.57"/>
    <x v="0"/>
    <s v="Paid"/>
    <s v="Critical"/>
    <s v="L. Chen"/>
    <s v="Middle East"/>
    <x v="0"/>
  </r>
  <r>
    <x v="612"/>
    <s v="BK50613"/>
    <d v="2025-04-22T00:00:00"/>
    <d v="2025-04-25T00:00:00"/>
    <d v="2025-05-06T00:00:00"/>
    <x v="9"/>
    <s v="Engineering"/>
    <s v="Germany"/>
    <s v="Colombo"/>
    <s v="Singapore"/>
    <x v="4"/>
    <x v="4"/>
    <s v="20FT"/>
    <n v="4"/>
    <s v="Electronics"/>
    <n v="132421.69"/>
    <n v="29621.07"/>
    <n v="10401.69"/>
    <n v="2411.5100000000002"/>
    <n v="1324.22"/>
    <n v="686.08"/>
    <n v="384.86"/>
    <n v="87592.26"/>
    <n v="0"/>
    <x v="3"/>
    <n v="246.84"/>
    <x v="1"/>
    <s v="Pending"/>
    <s v="High"/>
    <s v="J. Smith"/>
    <s v="Asia"/>
    <x v="10"/>
  </r>
  <r>
    <x v="613"/>
    <s v="BK50614"/>
    <d v="2025-04-13T00:00:00"/>
    <d v="2025-04-17T00:00:00"/>
    <d v="2025-05-12T00:00:00"/>
    <x v="2"/>
    <s v="Electronics"/>
    <s v="South Korea"/>
    <s v="Busan"/>
    <s v="Los Angeles"/>
    <x v="0"/>
    <x v="2"/>
    <s v="20FT"/>
    <n v="4"/>
    <s v="Furniture"/>
    <n v="129009.55"/>
    <n v="30918.37"/>
    <n v="8288.0400000000009"/>
    <n v="1925.46"/>
    <n v="1290.0999999999999"/>
    <n v="272.33"/>
    <n v="311.58"/>
    <n v="86003.67"/>
    <n v="48"/>
    <x v="5"/>
    <n v="257.64999999999998"/>
    <x v="0"/>
    <s v="Paid"/>
    <s v="Critical"/>
    <s v="R. Mehta"/>
    <s v="Middle East"/>
    <x v="10"/>
  </r>
  <r>
    <x v="614"/>
    <s v="BK50615"/>
    <d v="2025-09-03T00:00:00"/>
    <d v="2025-09-05T00:00:00"/>
    <d v="2025-09-21T00:00:00"/>
    <x v="7"/>
    <s v="Retail"/>
    <s v="Germany"/>
    <s v="Jebel Ali"/>
    <s v="Nhava Sheva"/>
    <x v="2"/>
    <x v="2"/>
    <s v="High Cube"/>
    <n v="2"/>
    <s v="Electronics"/>
    <n v="79937.13"/>
    <n v="23387"/>
    <n v="4445.4799999999996"/>
    <n v="1952.94"/>
    <n v="799.37"/>
    <n v="436.22"/>
    <n v="1626.8"/>
    <n v="47289.32"/>
    <n v="0"/>
    <x v="3"/>
    <n v="194.89"/>
    <x v="1"/>
    <s v="Paid"/>
    <s v="Critical"/>
    <s v="L. Chen"/>
    <s v="Middle East"/>
    <x v="3"/>
  </r>
  <r>
    <x v="615"/>
    <s v="BK50616"/>
    <d v="2025-06-21T00:00:00"/>
    <d v="2025-06-24T00:00:00"/>
    <d v="2025-07-13T00:00:00"/>
    <x v="8"/>
    <s v="Retail"/>
    <s v="Sweden"/>
    <s v="Singapore"/>
    <s v="Rotterdam"/>
    <x v="3"/>
    <x v="7"/>
    <s v="20FT"/>
    <n v="4"/>
    <s v="Food"/>
    <n v="102926.17"/>
    <n v="21489.62"/>
    <n v="5406.35"/>
    <n v="1192.24"/>
    <n v="1029.26"/>
    <n v="575.36"/>
    <n v="1370.7"/>
    <n v="71862.64"/>
    <n v="0"/>
    <x v="3"/>
    <n v="179.08"/>
    <x v="1"/>
    <s v="Pending"/>
    <s v="High"/>
    <s v="L. Chen"/>
    <s v="Middle East"/>
    <x v="0"/>
  </r>
  <r>
    <x v="616"/>
    <s v="BK50617"/>
    <d v="2025-06-18T00:00:00"/>
    <d v="2025-06-20T00:00:00"/>
    <d v="2025-07-07T00:00:00"/>
    <x v="9"/>
    <s v="Engineering"/>
    <s v="Germany"/>
    <s v="Busan"/>
    <s v="Los Angeles"/>
    <x v="0"/>
    <x v="3"/>
    <s v="40FT"/>
    <n v="2"/>
    <s v="Chemicals"/>
    <n v="77338.17"/>
    <n v="22718.080000000002"/>
    <n v="4815.12"/>
    <n v="1965.54"/>
    <n v="773.38"/>
    <n v="104.55"/>
    <n v="1779.78"/>
    <n v="45181.72"/>
    <n v="4"/>
    <x v="0"/>
    <n v="189.32"/>
    <x v="0"/>
    <s v="Paid"/>
    <s v="Critical"/>
    <s v="J. Smith"/>
    <s v="Asia"/>
    <x v="0"/>
  </r>
  <r>
    <x v="617"/>
    <s v="BK50618"/>
    <d v="2025-10-03T00:00:00"/>
    <d v="2025-10-04T00:00:00"/>
    <d v="2025-10-27T00:00:00"/>
    <x v="10"/>
    <s v="E-commerce"/>
    <s v="USA"/>
    <s v="Jebel Ali"/>
    <s v="Shanghai"/>
    <x v="1"/>
    <x v="0"/>
    <s v="High Cube"/>
    <n v="2"/>
    <s v="Chemicals"/>
    <n v="32502.82"/>
    <n v="9478.82"/>
    <n v="2491.42"/>
    <n v="707.91"/>
    <n v="325.02999999999997"/>
    <n v="206.17"/>
    <n v="2489.8200000000002"/>
    <n v="16803.650000000001"/>
    <n v="8"/>
    <x v="2"/>
    <n v="78.989999999999995"/>
    <x v="0"/>
    <s v="Paid"/>
    <s v="Critical"/>
    <s v="J. Smith"/>
    <s v="Middle East"/>
    <x v="7"/>
  </r>
  <r>
    <x v="618"/>
    <s v="BK50619"/>
    <d v="2025-07-06T00:00:00"/>
    <d v="2025-07-08T00:00:00"/>
    <d v="2025-07-27T00:00:00"/>
    <x v="11"/>
    <s v="Automotive"/>
    <s v="Japan"/>
    <s v="Shanghai"/>
    <s v="Rotterdam"/>
    <x v="3"/>
    <x v="3"/>
    <s v="High Cube"/>
    <n v="2"/>
    <s v="Auto Parts"/>
    <n v="15859.35"/>
    <n v="3752.72"/>
    <n v="716.46"/>
    <n v="387.92"/>
    <n v="158.59"/>
    <n v="793.74"/>
    <n v="1292.3900000000001"/>
    <n v="8757.5300000000007"/>
    <n v="24"/>
    <x v="1"/>
    <n v="31.27"/>
    <x v="0"/>
    <s v="Paid"/>
    <s v="Critical"/>
    <s v="M. Ahmed"/>
    <s v="Asia"/>
    <x v="1"/>
  </r>
  <r>
    <x v="619"/>
    <s v="BK50620"/>
    <d v="2025-07-21T00:00:00"/>
    <d v="2025-07-23T00:00:00"/>
    <d v="2025-08-18T00:00:00"/>
    <x v="11"/>
    <s v="Automotive"/>
    <s v="Japan"/>
    <s v="Jebel Ali"/>
    <s v="Singapore"/>
    <x v="1"/>
    <x v="3"/>
    <s v="20FT"/>
    <n v="2"/>
    <s v="Chemicals"/>
    <n v="73653.570000000007"/>
    <n v="12371.28"/>
    <n v="4410.33"/>
    <n v="1320.11"/>
    <n v="736.54"/>
    <n v="505.27"/>
    <n v="1766.16"/>
    <n v="52543.88"/>
    <n v="24"/>
    <x v="1"/>
    <n v="103.09"/>
    <x v="0"/>
    <s v="Pending"/>
    <s v="Critical"/>
    <s v="M. Ahmed"/>
    <s v="Middle East"/>
    <x v="1"/>
  </r>
  <r>
    <x v="620"/>
    <s v="BK50621"/>
    <d v="2025-05-17T00:00:00"/>
    <d v="2025-05-18T00:00:00"/>
    <d v="2025-05-31T00:00:00"/>
    <x v="11"/>
    <s v="Automotive"/>
    <s v="Japan"/>
    <s v="Shanghai"/>
    <s v="Rotterdam"/>
    <x v="3"/>
    <x v="6"/>
    <s v="40FT"/>
    <n v="2"/>
    <s v="Electronics"/>
    <n v="34181.25"/>
    <n v="6858.24"/>
    <n v="2708.29"/>
    <n v="718.12"/>
    <n v="341.81"/>
    <n v="559.75"/>
    <n v="1984.48"/>
    <n v="21010.560000000001"/>
    <n v="12"/>
    <x v="1"/>
    <n v="57.15"/>
    <x v="0"/>
    <s v="Paid"/>
    <s v="High"/>
    <s v="J. Smith"/>
    <s v="Asia"/>
    <x v="6"/>
  </r>
  <r>
    <x v="621"/>
    <s v="BK50622"/>
    <d v="2025-04-11T00:00:00"/>
    <d v="2025-04-15T00:00:00"/>
    <d v="2025-05-09T00:00:00"/>
    <x v="8"/>
    <s v="Retail"/>
    <s v="Sweden"/>
    <s v="Colombo"/>
    <s v="Jebel Ali"/>
    <x v="1"/>
    <x v="5"/>
    <s v="High Cube"/>
    <n v="2"/>
    <s v="Auto Parts"/>
    <n v="85453.82"/>
    <n v="16774.259999999998"/>
    <n v="4902.88"/>
    <n v="1183.3"/>
    <n v="854.54"/>
    <n v="196.69"/>
    <n v="1199.4000000000001"/>
    <n v="60342.75"/>
    <n v="36"/>
    <x v="5"/>
    <n v="139.79"/>
    <x v="0"/>
    <s v="Paid"/>
    <s v="Critical"/>
    <s v="L. Chen"/>
    <s v="Europe"/>
    <x v="10"/>
  </r>
  <r>
    <x v="622"/>
    <s v="BK50623"/>
    <d v="2025-06-06T00:00:00"/>
    <d v="2025-06-10T00:00:00"/>
    <d v="2025-06-29T00:00:00"/>
    <x v="7"/>
    <s v="Retail"/>
    <s v="Germany"/>
    <s v="Colombo"/>
    <s v="Singapore"/>
    <x v="4"/>
    <x v="0"/>
    <s v="Reefer"/>
    <n v="1"/>
    <s v="Auto Parts"/>
    <n v="19791.740000000002"/>
    <n v="5227.28"/>
    <n v="1231.3499999999999"/>
    <n v="207.59"/>
    <n v="197.92"/>
    <n v="861.55"/>
    <n v="2026.18"/>
    <n v="10039.870000000001"/>
    <n v="8"/>
    <x v="2"/>
    <n v="43.56"/>
    <x v="0"/>
    <s v="Paid"/>
    <s v="Standard"/>
    <s v="A. Tan"/>
    <s v="North America"/>
    <x v="0"/>
  </r>
  <r>
    <x v="623"/>
    <s v="BK50624"/>
    <d v="2025-05-09T00:00:00"/>
    <d v="2025-05-11T00:00:00"/>
    <d v="2025-05-27T00:00:00"/>
    <x v="8"/>
    <s v="Retail"/>
    <s v="Sweden"/>
    <s v="Jebel Ali"/>
    <s v="Nhava Sheva"/>
    <x v="2"/>
    <x v="2"/>
    <s v="High Cube"/>
    <n v="4"/>
    <s v="Chemicals"/>
    <n v="147516.07"/>
    <n v="29728.76"/>
    <n v="6238.88"/>
    <n v="2375.75"/>
    <n v="1475.16"/>
    <n v="177.19"/>
    <n v="1633.17"/>
    <n v="105887.16"/>
    <n v="0"/>
    <x v="3"/>
    <n v="247.74"/>
    <x v="1"/>
    <s v="Pending"/>
    <s v="Critical"/>
    <s v="J. Smith"/>
    <s v="North America"/>
    <x v="6"/>
  </r>
  <r>
    <x v="624"/>
    <s v="BK50625"/>
    <d v="2025-04-02T00:00:00"/>
    <d v="2025-04-06T00:00:00"/>
    <d v="2025-05-02T00:00:00"/>
    <x v="7"/>
    <s v="Retail"/>
    <s v="Germany"/>
    <s v="Colombo"/>
    <s v="Singapore"/>
    <x v="4"/>
    <x v="3"/>
    <s v="Reefer"/>
    <n v="4"/>
    <s v="Auto Parts"/>
    <n v="76030.720000000001"/>
    <n v="16607.91"/>
    <n v="5584.67"/>
    <n v="1065.71"/>
    <n v="760.31"/>
    <n v="663.37"/>
    <n v="1088.5999999999999"/>
    <n v="50260.15"/>
    <n v="48"/>
    <x v="5"/>
    <n v="138.4"/>
    <x v="0"/>
    <s v="Paid"/>
    <s v="High"/>
    <s v="L. Chen"/>
    <s v="North America"/>
    <x v="10"/>
  </r>
  <r>
    <x v="625"/>
    <s v="BK50626"/>
    <d v="2025-05-24T00:00:00"/>
    <d v="2025-05-25T00:00:00"/>
    <d v="2025-06-19T00:00:00"/>
    <x v="5"/>
    <s v="Food"/>
    <s v="Switzerland"/>
    <s v="Shanghai"/>
    <s v="Colombo"/>
    <x v="1"/>
    <x v="1"/>
    <s v="20FT"/>
    <n v="4"/>
    <s v="Chemicals"/>
    <n v="26571.01"/>
    <n v="4335.04"/>
    <n v="1359.94"/>
    <n v="384.35"/>
    <n v="265.70999999999998"/>
    <n v="863.22"/>
    <n v="551.30999999999995"/>
    <n v="18811.439999999999"/>
    <n v="48"/>
    <x v="2"/>
    <n v="36.130000000000003"/>
    <x v="0"/>
    <s v="Pending"/>
    <s v="Standard"/>
    <s v="L. Chen"/>
    <s v="Asia"/>
    <x v="6"/>
  </r>
  <r>
    <x v="626"/>
    <s v="BK50627"/>
    <d v="2025-10-21T00:00:00"/>
    <d v="2025-10-22T00:00:00"/>
    <d v="2025-11-17T00:00:00"/>
    <x v="4"/>
    <s v="Manufacturing"/>
    <s v="Germany"/>
    <s v="Singapore"/>
    <s v="Rotterdam"/>
    <x v="3"/>
    <x v="6"/>
    <s v="High Cube"/>
    <n v="1"/>
    <s v="Auto Parts"/>
    <n v="44184.58"/>
    <n v="10790.02"/>
    <n v="2798.77"/>
    <n v="496.29"/>
    <n v="441.85"/>
    <n v="581.80999999999995"/>
    <n v="490.83"/>
    <n v="28585.01"/>
    <n v="0"/>
    <x v="3"/>
    <n v="89.92"/>
    <x v="1"/>
    <s v="Paid"/>
    <s v="Standard"/>
    <s v="R. Mehta"/>
    <s v="Europe"/>
    <x v="7"/>
  </r>
  <r>
    <x v="627"/>
    <s v="BK50628"/>
    <d v="2025-10-01T00:00:00"/>
    <d v="2025-10-02T00:00:00"/>
    <d v="2025-10-20T00:00:00"/>
    <x v="10"/>
    <s v="E-commerce"/>
    <s v="USA"/>
    <s v="Shanghai"/>
    <s v="Rotterdam"/>
    <x v="1"/>
    <x v="5"/>
    <s v="20FT"/>
    <n v="1"/>
    <s v="Chemicals"/>
    <n v="33892.379999999997"/>
    <n v="6233.15"/>
    <n v="1643.35"/>
    <n v="599.04999999999995"/>
    <n v="338.92"/>
    <n v="646.17999999999995"/>
    <n v="1756.19"/>
    <n v="22675.54"/>
    <n v="0"/>
    <x v="3"/>
    <n v="51.94"/>
    <x v="1"/>
    <s v="Pending"/>
    <s v="Critical"/>
    <s v="R. Mehta"/>
    <s v="Asia"/>
    <x v="7"/>
  </r>
  <r>
    <x v="628"/>
    <s v="BK50629"/>
    <d v="2025-08-17T00:00:00"/>
    <d v="2025-08-20T00:00:00"/>
    <d v="2025-09-14T00:00:00"/>
    <x v="5"/>
    <s v="Food"/>
    <s v="Switzerland"/>
    <s v="Colombo"/>
    <s v="Singapore"/>
    <x v="4"/>
    <x v="1"/>
    <s v="Reefer"/>
    <n v="1"/>
    <s v="Auto Parts"/>
    <n v="42605.2"/>
    <n v="8416.6299999999992"/>
    <n v="1847.34"/>
    <n v="1266.23"/>
    <n v="426.05"/>
    <n v="460.06"/>
    <n v="1178.01"/>
    <n v="29010.880000000001"/>
    <n v="8"/>
    <x v="1"/>
    <n v="70.14"/>
    <x v="0"/>
    <s v="Pending"/>
    <s v="High"/>
    <s v="A. Tan"/>
    <s v="Asia"/>
    <x v="4"/>
  </r>
  <r>
    <x v="629"/>
    <s v="BK50630"/>
    <d v="2025-12-21T00:00:00"/>
    <d v="2025-12-25T00:00:00"/>
    <d v="2026-01-21T00:00:00"/>
    <x v="9"/>
    <s v="Engineering"/>
    <s v="Germany"/>
    <s v="New York"/>
    <s v="Nhava Sheva"/>
    <x v="1"/>
    <x v="7"/>
    <s v="40FT"/>
    <n v="1"/>
    <s v="Chemicals"/>
    <n v="43766.91"/>
    <n v="12144.6"/>
    <n v="3202.48"/>
    <n v="690.01"/>
    <n v="437.67"/>
    <n v="238.12"/>
    <n v="1367.99"/>
    <n v="25686.04"/>
    <n v="0"/>
    <x v="3"/>
    <n v="101.2"/>
    <x v="1"/>
    <s v="Pending"/>
    <s v="Standard"/>
    <s v="M. Ahmed"/>
    <s v="Middle East"/>
    <x v="2"/>
  </r>
  <r>
    <x v="630"/>
    <s v="BK50631"/>
    <d v="2025-02-28T00:00:00"/>
    <d v="2025-03-02T00:00:00"/>
    <d v="2025-03-14T00:00:00"/>
    <x v="0"/>
    <s v="Retail"/>
    <s v="India"/>
    <s v="Busan"/>
    <s v="Los Angeles"/>
    <x v="0"/>
    <x v="3"/>
    <s v="Reefer"/>
    <n v="1"/>
    <s v="Machinery"/>
    <n v="8648.36"/>
    <n v="2567.02"/>
    <n v="359.72"/>
    <n v="220.11"/>
    <n v="86.48"/>
    <n v="896.43"/>
    <n v="1959.49"/>
    <n v="2559.11"/>
    <n v="0"/>
    <x v="3"/>
    <n v="21.39"/>
    <x v="1"/>
    <s v="Pending"/>
    <s v="High"/>
    <s v="R. Mehta"/>
    <s v="Europe"/>
    <x v="9"/>
  </r>
  <r>
    <x v="631"/>
    <s v="BK50632"/>
    <d v="2025-06-05T00:00:00"/>
    <d v="2025-06-08T00:00:00"/>
    <d v="2025-06-28T00:00:00"/>
    <x v="7"/>
    <s v="Retail"/>
    <s v="Germany"/>
    <s v="Colombo"/>
    <s v="Singapore"/>
    <x v="4"/>
    <x v="1"/>
    <s v="20FT"/>
    <n v="2"/>
    <s v="Machinery"/>
    <n v="43108.39"/>
    <n v="7968.26"/>
    <n v="2131.9499999999998"/>
    <n v="534.12"/>
    <n v="431.08"/>
    <n v="221.13"/>
    <n v="1204.9000000000001"/>
    <n v="30616.95"/>
    <n v="4"/>
    <x v="1"/>
    <n v="66.400000000000006"/>
    <x v="0"/>
    <s v="Paid"/>
    <s v="Critical"/>
    <s v="M. Ahmed"/>
    <s v="Europe"/>
    <x v="0"/>
  </r>
  <r>
    <x v="632"/>
    <s v="BK50633"/>
    <d v="2025-07-25T00:00:00"/>
    <d v="2025-07-27T00:00:00"/>
    <d v="2025-08-22T00:00:00"/>
    <x v="4"/>
    <s v="Manufacturing"/>
    <s v="Germany"/>
    <s v="Singapore"/>
    <s v="Rotterdam"/>
    <x v="3"/>
    <x v="4"/>
    <s v="Reefer"/>
    <n v="4"/>
    <s v="Textiles"/>
    <n v="160706.25"/>
    <n v="31670.46"/>
    <n v="10279.629999999999"/>
    <n v="4376.04"/>
    <n v="1607.06"/>
    <n v="821.74"/>
    <n v="949.66"/>
    <n v="111001.66"/>
    <n v="48"/>
    <x v="5"/>
    <n v="263.92"/>
    <x v="0"/>
    <s v="Pending"/>
    <s v="Standard"/>
    <s v="R. Mehta"/>
    <s v="Asia"/>
    <x v="1"/>
  </r>
  <r>
    <x v="633"/>
    <s v="BK50634"/>
    <d v="2025-07-26T00:00:00"/>
    <d v="2025-07-28T00:00:00"/>
    <d v="2025-08-14T00:00:00"/>
    <x v="5"/>
    <s v="Food"/>
    <s v="Switzerland"/>
    <s v="Shanghai"/>
    <s v="Shanghai"/>
    <x v="1"/>
    <x v="1"/>
    <s v="High Cube"/>
    <n v="2"/>
    <s v="Electronics"/>
    <n v="34553.5"/>
    <n v="8542.73"/>
    <n v="1764.98"/>
    <n v="889.98"/>
    <n v="345.54"/>
    <n v="108.69"/>
    <n v="927.67"/>
    <n v="21973.91"/>
    <n v="0"/>
    <x v="3"/>
    <n v="71.19"/>
    <x v="1"/>
    <s v="Pending"/>
    <s v="High"/>
    <s v="A. Tan"/>
    <s v="Europe"/>
    <x v="1"/>
  </r>
  <r>
    <x v="634"/>
    <s v="BK50635"/>
    <d v="2025-10-16T00:00:00"/>
    <d v="2025-10-20T00:00:00"/>
    <d v="2025-11-01T00:00:00"/>
    <x v="3"/>
    <s v="Electronics"/>
    <s v="South Korea"/>
    <s v="Busan"/>
    <s v="Los Angeles"/>
    <x v="0"/>
    <x v="5"/>
    <s v="High Cube"/>
    <n v="4"/>
    <s v="Electronics"/>
    <n v="125279.39"/>
    <n v="21055.21"/>
    <n v="6620.38"/>
    <n v="1597.53"/>
    <n v="1252.79"/>
    <n v="418.01"/>
    <n v="1171.52"/>
    <n v="93163.95"/>
    <n v="12"/>
    <x v="5"/>
    <n v="175.46"/>
    <x v="0"/>
    <s v="Pending"/>
    <s v="Critical"/>
    <s v="L. Chen"/>
    <s v="Middle East"/>
    <x v="7"/>
  </r>
  <r>
    <x v="635"/>
    <s v="BK50636"/>
    <d v="2025-01-10T00:00:00"/>
    <d v="2025-01-12T00:00:00"/>
    <d v="2025-01-24T00:00:00"/>
    <x v="7"/>
    <s v="Retail"/>
    <s v="Germany"/>
    <s v="Singapore"/>
    <s v="Rotterdam"/>
    <x v="3"/>
    <x v="1"/>
    <s v="20FT"/>
    <n v="2"/>
    <s v="Auto Parts"/>
    <n v="37540.089999999997"/>
    <n v="6314.93"/>
    <n v="1732.05"/>
    <n v="760.66"/>
    <n v="375.4"/>
    <n v="745.03"/>
    <n v="2079.63"/>
    <n v="25532.39"/>
    <n v="24"/>
    <x v="2"/>
    <n v="52.62"/>
    <x v="0"/>
    <s v="Paid"/>
    <s v="High"/>
    <s v="J. Smith"/>
    <s v="Middle East"/>
    <x v="11"/>
  </r>
  <r>
    <x v="636"/>
    <s v="BK50637"/>
    <d v="2025-05-01T00:00:00"/>
    <d v="2025-05-05T00:00:00"/>
    <d v="2025-05-28T00:00:00"/>
    <x v="7"/>
    <s v="Retail"/>
    <s v="Germany"/>
    <s v="Busan"/>
    <s v="Los Angeles"/>
    <x v="0"/>
    <x v="4"/>
    <s v="20FT"/>
    <n v="2"/>
    <s v="Electronics"/>
    <n v="80639.13"/>
    <n v="20755.32"/>
    <n v="4994.09"/>
    <n v="1392.54"/>
    <n v="806.39"/>
    <n v="324.22000000000003"/>
    <n v="1970.27"/>
    <n v="50396.3"/>
    <n v="12"/>
    <x v="2"/>
    <n v="172.96"/>
    <x v="0"/>
    <s v="Paid"/>
    <s v="High"/>
    <s v="L. Chen"/>
    <s v="Europe"/>
    <x v="6"/>
  </r>
  <r>
    <x v="637"/>
    <s v="BK50638"/>
    <d v="2025-02-26T00:00:00"/>
    <d v="2025-02-27T00:00:00"/>
    <d v="2025-03-11T00:00:00"/>
    <x v="9"/>
    <s v="Engineering"/>
    <s v="Germany"/>
    <s v="Nhava Sheva"/>
    <s v="Nhava Sheva"/>
    <x v="1"/>
    <x v="3"/>
    <s v="20FT"/>
    <n v="1"/>
    <s v="Electronics"/>
    <n v="16255.3"/>
    <n v="2858.29"/>
    <n v="1289.54"/>
    <n v="164.61"/>
    <n v="162.55000000000001"/>
    <n v="449.93"/>
    <n v="2362.8000000000002"/>
    <n v="8967.58"/>
    <n v="0"/>
    <x v="3"/>
    <n v="23.82"/>
    <x v="1"/>
    <s v="Pending"/>
    <s v="High"/>
    <s v="A. Tan"/>
    <s v="Europe"/>
    <x v="9"/>
  </r>
  <r>
    <x v="638"/>
    <s v="BK50639"/>
    <d v="2025-02-25T00:00:00"/>
    <d v="2025-02-27T00:00:00"/>
    <d v="2025-03-20T00:00:00"/>
    <x v="5"/>
    <s v="Food"/>
    <s v="Switzerland"/>
    <s v="Los Angeles"/>
    <s v="Jebel Ali"/>
    <x v="1"/>
    <x v="0"/>
    <s v="Reefer"/>
    <n v="4"/>
    <s v="Furniture"/>
    <n v="144414.64000000001"/>
    <n v="33954.26"/>
    <n v="10902.21"/>
    <n v="2386.81"/>
    <n v="1444.15"/>
    <n v="277.66000000000003"/>
    <n v="1884.53"/>
    <n v="93565.02"/>
    <n v="0"/>
    <x v="3"/>
    <n v="282.95"/>
    <x v="1"/>
    <s v="Paid"/>
    <s v="High"/>
    <s v="M. Ahmed"/>
    <s v="Europe"/>
    <x v="9"/>
  </r>
  <r>
    <x v="639"/>
    <s v="BK50640"/>
    <d v="2025-07-26T00:00:00"/>
    <d v="2025-07-29T00:00:00"/>
    <d v="2025-08-19T00:00:00"/>
    <x v="1"/>
    <s v="FMCG"/>
    <s v="UK"/>
    <s v="Jebel Ali"/>
    <s v="Nhava Sheva"/>
    <x v="2"/>
    <x v="6"/>
    <s v="20FT"/>
    <n v="2"/>
    <s v="Machinery"/>
    <n v="46273.46"/>
    <n v="9386.35"/>
    <n v="2556.0500000000002"/>
    <n v="1146.3499999999999"/>
    <n v="462.73"/>
    <n v="516.71"/>
    <n v="2472.4299999999998"/>
    <n v="29732.84"/>
    <n v="48"/>
    <x v="5"/>
    <n v="78.22"/>
    <x v="0"/>
    <s v="Paid"/>
    <s v="Standard"/>
    <s v="R. Mehta"/>
    <s v="Asia"/>
    <x v="1"/>
  </r>
  <r>
    <x v="640"/>
    <s v="BK50641"/>
    <d v="2025-11-18T00:00:00"/>
    <d v="2025-11-19T00:00:00"/>
    <d v="2025-12-16T00:00:00"/>
    <x v="11"/>
    <s v="Automotive"/>
    <s v="Japan"/>
    <s v="Busan"/>
    <s v="Los Angeles"/>
    <x v="0"/>
    <x v="2"/>
    <s v="Reefer"/>
    <n v="1"/>
    <s v="Machinery"/>
    <n v="22926.77"/>
    <n v="5392.04"/>
    <n v="1660.26"/>
    <n v="293.10000000000002"/>
    <n v="229.27"/>
    <n v="415.57"/>
    <n v="2253.9"/>
    <n v="12682.63"/>
    <n v="0"/>
    <x v="3"/>
    <n v="44.93"/>
    <x v="1"/>
    <s v="Paid"/>
    <s v="High"/>
    <s v="L. Chen"/>
    <s v="Asia"/>
    <x v="8"/>
  </r>
  <r>
    <x v="641"/>
    <s v="BK50642"/>
    <d v="2025-12-31T00:00:00"/>
    <d v="2026-01-03T00:00:00"/>
    <d v="2026-01-26T00:00:00"/>
    <x v="8"/>
    <s v="Retail"/>
    <s v="Sweden"/>
    <s v="Busan"/>
    <s v="Los Angeles"/>
    <x v="0"/>
    <x v="7"/>
    <s v="20FT"/>
    <n v="1"/>
    <s v="Food"/>
    <n v="15885.06"/>
    <n v="3212.85"/>
    <n v="1219.92"/>
    <n v="199.18"/>
    <n v="158.85"/>
    <n v="795.02"/>
    <n v="1998.32"/>
    <n v="8300.92"/>
    <n v="0"/>
    <x v="3"/>
    <n v="26.77"/>
    <x v="1"/>
    <s v="Pending"/>
    <s v="High"/>
    <s v="R. Mehta"/>
    <s v="Middle East"/>
    <x v="2"/>
  </r>
  <r>
    <x v="642"/>
    <s v="BK50643"/>
    <d v="2025-02-10T00:00:00"/>
    <d v="2025-02-13T00:00:00"/>
    <d v="2025-03-04T00:00:00"/>
    <x v="10"/>
    <s v="E-commerce"/>
    <s v="USA"/>
    <s v="Busan"/>
    <s v="Los Angeles"/>
    <x v="0"/>
    <x v="0"/>
    <s v="High Cube"/>
    <n v="2"/>
    <s v="Food"/>
    <n v="35797.86"/>
    <n v="6028.73"/>
    <n v="1718.34"/>
    <n v="537.19000000000005"/>
    <n v="357.98"/>
    <n v="411.9"/>
    <n v="2090.73"/>
    <n v="24652.99"/>
    <n v="0"/>
    <x v="3"/>
    <n v="50.24"/>
    <x v="1"/>
    <s v="Paid"/>
    <s v="Standard"/>
    <s v="M. Ahmed"/>
    <s v="Middle East"/>
    <x v="9"/>
  </r>
  <r>
    <x v="643"/>
    <s v="BK50644"/>
    <d v="2025-05-27T00:00:00"/>
    <d v="2025-05-29T00:00:00"/>
    <d v="2025-06-21T00:00:00"/>
    <x v="10"/>
    <s v="E-commerce"/>
    <s v="USA"/>
    <s v="Colombo"/>
    <s v="Singapore"/>
    <x v="4"/>
    <x v="1"/>
    <s v="20FT"/>
    <n v="2"/>
    <s v="Furniture"/>
    <n v="88069.440000000002"/>
    <n v="20188.23"/>
    <n v="5948.32"/>
    <n v="1327.03"/>
    <n v="880.69"/>
    <n v="325.64999999999998"/>
    <n v="1511.14"/>
    <n v="57888.38"/>
    <n v="0"/>
    <x v="3"/>
    <n v="168.24"/>
    <x v="1"/>
    <s v="Paid"/>
    <s v="Standard"/>
    <s v="M. Ahmed"/>
    <s v="North America"/>
    <x v="6"/>
  </r>
  <r>
    <x v="644"/>
    <s v="BK50645"/>
    <d v="2025-06-17T00:00:00"/>
    <d v="2025-06-20T00:00:00"/>
    <d v="2025-07-11T00:00:00"/>
    <x v="11"/>
    <s v="Automotive"/>
    <s v="Japan"/>
    <s v="Los Angeles"/>
    <s v="Hamburg"/>
    <x v="1"/>
    <x v="1"/>
    <s v="20FT"/>
    <n v="2"/>
    <s v="Electronics"/>
    <n v="14007.37"/>
    <n v="2758"/>
    <n v="600.71"/>
    <n v="304.91000000000003"/>
    <n v="140.07"/>
    <n v="143.08000000000001"/>
    <n v="1743.22"/>
    <n v="8317.3799999999992"/>
    <n v="4"/>
    <x v="0"/>
    <n v="22.98"/>
    <x v="0"/>
    <s v="Pending"/>
    <s v="Standard"/>
    <s v="L. Chen"/>
    <s v="North America"/>
    <x v="0"/>
  </r>
  <r>
    <x v="645"/>
    <s v="BK50646"/>
    <d v="2025-07-14T00:00:00"/>
    <d v="2025-07-18T00:00:00"/>
    <d v="2025-08-06T00:00:00"/>
    <x v="1"/>
    <s v="FMCG"/>
    <s v="UK"/>
    <s v="Busan"/>
    <s v="Los Angeles"/>
    <x v="0"/>
    <x v="1"/>
    <s v="Reefer"/>
    <n v="2"/>
    <s v="Auto Parts"/>
    <n v="87813.11"/>
    <n v="17537.14"/>
    <n v="4507.6000000000004"/>
    <n v="1417.87"/>
    <n v="878.13"/>
    <n v="714.61"/>
    <n v="475.54"/>
    <n v="62282.22"/>
    <n v="0"/>
    <x v="3"/>
    <n v="146.13999999999999"/>
    <x v="1"/>
    <s v="Paid"/>
    <s v="Standard"/>
    <s v="R. Mehta"/>
    <s v="Middle East"/>
    <x v="1"/>
  </r>
  <r>
    <x v="646"/>
    <s v="BK50647"/>
    <d v="2025-04-23T00:00:00"/>
    <d v="2025-04-27T00:00:00"/>
    <d v="2025-05-12T00:00:00"/>
    <x v="7"/>
    <s v="Retail"/>
    <s v="Germany"/>
    <s v="Jebel Ali"/>
    <s v="Nhava Sheva"/>
    <x v="2"/>
    <x v="6"/>
    <s v="Reefer"/>
    <n v="4"/>
    <s v="Electronics"/>
    <n v="115489.1"/>
    <n v="28503.34"/>
    <n v="5367.86"/>
    <n v="1519.93"/>
    <n v="1154.8900000000001"/>
    <n v="828.73"/>
    <n v="407.53"/>
    <n v="77706.820000000007"/>
    <n v="48"/>
    <x v="0"/>
    <n v="237.53"/>
    <x v="0"/>
    <s v="Paid"/>
    <s v="High"/>
    <s v="J. Smith"/>
    <s v="Europe"/>
    <x v="10"/>
  </r>
  <r>
    <x v="647"/>
    <s v="BK50648"/>
    <d v="2025-10-10T00:00:00"/>
    <d v="2025-10-11T00:00:00"/>
    <d v="2025-11-06T00:00:00"/>
    <x v="11"/>
    <s v="Automotive"/>
    <s v="Japan"/>
    <s v="Shanghai"/>
    <s v="Jebel Ali"/>
    <x v="1"/>
    <x v="7"/>
    <s v="40FT"/>
    <n v="4"/>
    <s v="Textiles"/>
    <n v="153590.19"/>
    <n v="30482.12"/>
    <n v="9838.39"/>
    <n v="3060.26"/>
    <n v="1535.9"/>
    <n v="158.5"/>
    <n v="881.64"/>
    <n v="107633.38"/>
    <n v="4"/>
    <x v="5"/>
    <n v="254.02"/>
    <x v="0"/>
    <s v="Pending"/>
    <s v="Critical"/>
    <s v="L. Chen"/>
    <s v="Europe"/>
    <x v="7"/>
  </r>
  <r>
    <x v="648"/>
    <s v="BK50649"/>
    <d v="2025-03-01T00:00:00"/>
    <d v="2025-03-05T00:00:00"/>
    <d v="2025-03-18T00:00:00"/>
    <x v="5"/>
    <s v="Food"/>
    <s v="Switzerland"/>
    <s v="Shanghai"/>
    <s v="Shanghai"/>
    <x v="1"/>
    <x v="7"/>
    <s v="20FT"/>
    <n v="1"/>
    <s v="Auto Parts"/>
    <n v="12015.64"/>
    <n v="2447.2199999999998"/>
    <n v="829.46"/>
    <n v="275.87"/>
    <n v="120.16"/>
    <n v="837.53"/>
    <n v="1463.48"/>
    <n v="6041.92"/>
    <n v="0"/>
    <x v="3"/>
    <n v="20.39"/>
    <x v="1"/>
    <s v="Paid"/>
    <s v="Standard"/>
    <s v="M. Ahmed"/>
    <s v="Europe"/>
    <x v="5"/>
  </r>
  <r>
    <x v="649"/>
    <s v="BK50650"/>
    <d v="2025-07-30T00:00:00"/>
    <d v="2025-07-31T00:00:00"/>
    <d v="2025-08-17T00:00:00"/>
    <x v="9"/>
    <s v="Engineering"/>
    <s v="Germany"/>
    <s v="Busan"/>
    <s v="Los Angeles"/>
    <x v="0"/>
    <x v="1"/>
    <s v="20FT"/>
    <n v="1"/>
    <s v="Furniture"/>
    <n v="17936.54"/>
    <n v="3853.75"/>
    <n v="1021.52"/>
    <n v="228.89"/>
    <n v="179.37"/>
    <n v="546.24"/>
    <n v="2176.79"/>
    <n v="9929.98"/>
    <n v="12"/>
    <x v="0"/>
    <n v="32.11"/>
    <x v="0"/>
    <s v="Paid"/>
    <s v="Standard"/>
    <s v="J. Smith"/>
    <s v="Asia"/>
    <x v="1"/>
  </r>
  <r>
    <x v="650"/>
    <s v="BK50651"/>
    <d v="2025-04-14T00:00:00"/>
    <d v="2025-04-15T00:00:00"/>
    <d v="2025-05-12T00:00:00"/>
    <x v="10"/>
    <s v="E-commerce"/>
    <s v="USA"/>
    <s v="Busan"/>
    <s v="Los Angeles"/>
    <x v="0"/>
    <x v="1"/>
    <s v="20FT"/>
    <n v="1"/>
    <s v="Textiles"/>
    <n v="6696.65"/>
    <n v="1556.01"/>
    <n v="499.91"/>
    <n v="200.53"/>
    <n v="66.97"/>
    <n v="421.56"/>
    <n v="364.8"/>
    <n v="3586.87"/>
    <n v="0"/>
    <x v="3"/>
    <n v="12.97"/>
    <x v="1"/>
    <s v="Paid"/>
    <s v="Standard"/>
    <s v="M. Ahmed"/>
    <s v="Europe"/>
    <x v="10"/>
  </r>
  <r>
    <x v="651"/>
    <s v="BK50652"/>
    <d v="2025-05-09T00:00:00"/>
    <d v="2025-05-13T00:00:00"/>
    <d v="2025-06-09T00:00:00"/>
    <x v="0"/>
    <s v="Retail"/>
    <s v="India"/>
    <s v="Busan"/>
    <s v="Los Angeles"/>
    <x v="0"/>
    <x v="5"/>
    <s v="High Cube"/>
    <n v="2"/>
    <s v="Machinery"/>
    <n v="33541.769999999997"/>
    <n v="9047.4500000000007"/>
    <n v="2363.3000000000002"/>
    <n v="900.52"/>
    <n v="335.42"/>
    <n v="622.12"/>
    <n v="1560.69"/>
    <n v="18712.27"/>
    <n v="0"/>
    <x v="3"/>
    <n v="75.400000000000006"/>
    <x v="1"/>
    <s v="Pending"/>
    <s v="High"/>
    <s v="J. Smith"/>
    <s v="Middle East"/>
    <x v="6"/>
  </r>
  <r>
    <x v="652"/>
    <s v="BK50653"/>
    <d v="2025-04-25T00:00:00"/>
    <d v="2025-04-29T00:00:00"/>
    <d v="2025-05-14T00:00:00"/>
    <x v="9"/>
    <s v="Engineering"/>
    <s v="Germany"/>
    <s v="Colombo"/>
    <s v="Singapore"/>
    <x v="4"/>
    <x v="0"/>
    <s v="20FT"/>
    <n v="2"/>
    <s v="Auto Parts"/>
    <n v="54813.15"/>
    <n v="9532.7999999999993"/>
    <n v="3272.94"/>
    <n v="1172.47"/>
    <n v="548.13"/>
    <n v="163.24"/>
    <n v="2333.91"/>
    <n v="37789.660000000003"/>
    <n v="8"/>
    <x v="0"/>
    <n v="79.44"/>
    <x v="0"/>
    <s v="Paid"/>
    <s v="High"/>
    <s v="A. Tan"/>
    <s v="Asia"/>
    <x v="10"/>
  </r>
  <r>
    <x v="653"/>
    <s v="BK50654"/>
    <d v="2025-01-06T00:00:00"/>
    <d v="2025-01-10T00:00:00"/>
    <d v="2025-01-22T00:00:00"/>
    <x v="8"/>
    <s v="Retail"/>
    <s v="Sweden"/>
    <s v="Jebel Ali"/>
    <s v="Nhava Sheva"/>
    <x v="2"/>
    <x v="5"/>
    <s v="Reefer"/>
    <n v="4"/>
    <s v="Furniture"/>
    <n v="111938.22"/>
    <n v="19698.12"/>
    <n v="7838.66"/>
    <n v="1535.53"/>
    <n v="1119.3800000000001"/>
    <n v="770.32"/>
    <n v="2092.4499999999998"/>
    <n v="78883.759999999995"/>
    <n v="12"/>
    <x v="5"/>
    <n v="164.15"/>
    <x v="0"/>
    <s v="Paid"/>
    <s v="High"/>
    <s v="M. Ahmed"/>
    <s v="Middle East"/>
    <x v="11"/>
  </r>
  <r>
    <x v="654"/>
    <s v="BK50655"/>
    <d v="2025-12-15T00:00:00"/>
    <d v="2025-12-19T00:00:00"/>
    <d v="2026-01-06T00:00:00"/>
    <x v="10"/>
    <s v="E-commerce"/>
    <s v="USA"/>
    <s v="Colombo"/>
    <s v="Singapore"/>
    <x v="4"/>
    <x v="0"/>
    <s v="High Cube"/>
    <n v="2"/>
    <s v="Food"/>
    <n v="64005.64"/>
    <n v="18713.2"/>
    <n v="3875.78"/>
    <n v="1045.26"/>
    <n v="640.05999999999995"/>
    <n v="873.17"/>
    <n v="989.22"/>
    <n v="37868.949999999997"/>
    <n v="0"/>
    <x v="3"/>
    <n v="155.94"/>
    <x v="1"/>
    <s v="Pending"/>
    <s v="High"/>
    <s v="J. Smith"/>
    <s v="Asia"/>
    <x v="2"/>
  </r>
  <r>
    <x v="655"/>
    <s v="BK50656"/>
    <d v="2025-09-28T00:00:00"/>
    <d v="2025-09-29T00:00:00"/>
    <d v="2025-10-20T00:00:00"/>
    <x v="10"/>
    <s v="E-commerce"/>
    <s v="USA"/>
    <s v="Busan"/>
    <s v="Los Angeles"/>
    <x v="0"/>
    <x v="2"/>
    <s v="High Cube"/>
    <n v="4"/>
    <s v="Auto Parts"/>
    <n v="65393.84"/>
    <n v="14150.95"/>
    <n v="5174.99"/>
    <n v="1841.56"/>
    <n v="653.94000000000005"/>
    <n v="106.27"/>
    <n v="2015.62"/>
    <n v="41450.51"/>
    <n v="24"/>
    <x v="1"/>
    <n v="117.92"/>
    <x v="0"/>
    <s v="Paid"/>
    <s v="Critical"/>
    <s v="R. Mehta"/>
    <s v="Middle East"/>
    <x v="3"/>
  </r>
  <r>
    <x v="656"/>
    <s v="BK50657"/>
    <d v="2025-05-05T00:00:00"/>
    <d v="2025-05-06T00:00:00"/>
    <d v="2025-05-22T00:00:00"/>
    <x v="9"/>
    <s v="Engineering"/>
    <s v="Germany"/>
    <s v="Singapore"/>
    <s v="Busan"/>
    <x v="1"/>
    <x v="2"/>
    <s v="40FT"/>
    <n v="4"/>
    <s v="Food"/>
    <n v="153734.75"/>
    <n v="40887.54"/>
    <n v="8347.27"/>
    <n v="4457.7"/>
    <n v="1537.35"/>
    <n v="198.63"/>
    <n v="2158.9499999999998"/>
    <n v="96147.31"/>
    <n v="0"/>
    <x v="3"/>
    <n v="340.73"/>
    <x v="1"/>
    <s v="Paid"/>
    <s v="High"/>
    <s v="J. Smith"/>
    <s v="Europe"/>
    <x v="6"/>
  </r>
  <r>
    <x v="657"/>
    <s v="BK50658"/>
    <d v="2025-04-05T00:00:00"/>
    <d v="2025-04-06T00:00:00"/>
    <d v="2025-04-16T00:00:00"/>
    <x v="4"/>
    <s v="Manufacturing"/>
    <s v="Germany"/>
    <s v="Colombo"/>
    <s v="Singapore"/>
    <x v="4"/>
    <x v="1"/>
    <s v="Reefer"/>
    <n v="2"/>
    <s v="Electronics"/>
    <n v="67592.55"/>
    <n v="11316.43"/>
    <n v="3667.16"/>
    <n v="1959"/>
    <n v="675.93"/>
    <n v="548.80999999999995"/>
    <n v="807.33"/>
    <n v="48617.89"/>
    <n v="8"/>
    <x v="0"/>
    <n v="94.3"/>
    <x v="0"/>
    <s v="Pending"/>
    <s v="Standard"/>
    <s v="R. Mehta"/>
    <s v="Asia"/>
    <x v="10"/>
  </r>
  <r>
    <x v="658"/>
    <s v="BK50659"/>
    <d v="2025-11-29T00:00:00"/>
    <d v="2025-12-02T00:00:00"/>
    <d v="2025-12-31T00:00:00"/>
    <x v="11"/>
    <s v="Automotive"/>
    <s v="Japan"/>
    <s v="Singapore"/>
    <s v="Rotterdam"/>
    <x v="3"/>
    <x v="4"/>
    <s v="40FT"/>
    <n v="2"/>
    <s v="Furniture"/>
    <n v="55391.27"/>
    <n v="10145.209999999999"/>
    <n v="3439.04"/>
    <n v="715.5"/>
    <n v="553.91"/>
    <n v="711.46"/>
    <n v="928.56"/>
    <n v="38897.589999999997"/>
    <n v="36"/>
    <x v="4"/>
    <n v="84.54"/>
    <x v="0"/>
    <s v="Pending"/>
    <s v="Critical"/>
    <s v="R. Mehta"/>
    <s v="Europe"/>
    <x v="8"/>
  </r>
  <r>
    <x v="659"/>
    <s v="BK50660"/>
    <d v="2025-02-01T00:00:00"/>
    <d v="2025-02-04T00:00:00"/>
    <d v="2025-02-20T00:00:00"/>
    <x v="2"/>
    <s v="Electronics"/>
    <s v="South Korea"/>
    <s v="New York"/>
    <s v="Singapore"/>
    <x v="1"/>
    <x v="2"/>
    <s v="40FT"/>
    <n v="4"/>
    <s v="Textiles"/>
    <n v="47926.87"/>
    <n v="11974.52"/>
    <n v="2307.86"/>
    <n v="957.21"/>
    <n v="479.27"/>
    <n v="575.91999999999996"/>
    <n v="2485.08"/>
    <n v="29147.01"/>
    <n v="24"/>
    <x v="4"/>
    <n v="99.79"/>
    <x v="0"/>
    <s v="Paid"/>
    <s v="Standard"/>
    <s v="R. Mehta"/>
    <s v="Middle East"/>
    <x v="9"/>
  </r>
  <r>
    <x v="660"/>
    <s v="BK50661"/>
    <d v="2025-01-12T00:00:00"/>
    <d v="2025-01-16T00:00:00"/>
    <d v="2025-02-13T00:00:00"/>
    <x v="11"/>
    <s v="Automotive"/>
    <s v="Japan"/>
    <s v="Jebel Ali"/>
    <s v="Hamburg"/>
    <x v="1"/>
    <x v="5"/>
    <s v="40FT"/>
    <n v="2"/>
    <s v="Machinery"/>
    <n v="58213.62"/>
    <n v="11992.08"/>
    <n v="2447.23"/>
    <n v="1410.61"/>
    <n v="582.14"/>
    <n v="875.39"/>
    <n v="2408.58"/>
    <n v="38497.589999999997"/>
    <n v="24"/>
    <x v="1"/>
    <n v="99.93"/>
    <x v="0"/>
    <s v="Paid"/>
    <s v="High"/>
    <s v="R. Mehta"/>
    <s v="Asia"/>
    <x v="11"/>
  </r>
  <r>
    <x v="661"/>
    <s v="BK50662"/>
    <d v="2025-04-17T00:00:00"/>
    <d v="2025-04-21T00:00:00"/>
    <d v="2025-05-10T00:00:00"/>
    <x v="6"/>
    <s v="Pharma"/>
    <s v="USA"/>
    <s v="Colombo"/>
    <s v="Singapore"/>
    <x v="4"/>
    <x v="0"/>
    <s v="40FT"/>
    <n v="2"/>
    <s v="Auto Parts"/>
    <n v="57087.71"/>
    <n v="14143.33"/>
    <n v="3418.81"/>
    <n v="1535.93"/>
    <n v="570.88"/>
    <n v="385.05"/>
    <n v="1184.98"/>
    <n v="35848.730000000003"/>
    <n v="4"/>
    <x v="4"/>
    <n v="117.86"/>
    <x v="0"/>
    <s v="Paid"/>
    <s v="Standard"/>
    <s v="J. Smith"/>
    <s v="Asia"/>
    <x v="10"/>
  </r>
  <r>
    <x v="662"/>
    <s v="BK50663"/>
    <d v="2025-10-13T00:00:00"/>
    <d v="2025-10-16T00:00:00"/>
    <d v="2025-11-04T00:00:00"/>
    <x v="9"/>
    <s v="Engineering"/>
    <s v="Germany"/>
    <s v="Rotterdam"/>
    <s v="Colombo"/>
    <x v="1"/>
    <x v="7"/>
    <s v="20FT"/>
    <n v="4"/>
    <s v="Auto Parts"/>
    <n v="28770.400000000001"/>
    <n v="4610.47"/>
    <n v="1322.15"/>
    <n v="461.76"/>
    <n v="287.7"/>
    <n v="882.64"/>
    <n v="476.03"/>
    <n v="20729.650000000001"/>
    <n v="4"/>
    <x v="2"/>
    <n v="38.42"/>
    <x v="0"/>
    <s v="Paid"/>
    <s v="High"/>
    <s v="L. Chen"/>
    <s v="North America"/>
    <x v="7"/>
  </r>
  <r>
    <x v="663"/>
    <s v="BK50664"/>
    <d v="2025-04-16T00:00:00"/>
    <d v="2025-04-17T00:00:00"/>
    <d v="2025-05-10T00:00:00"/>
    <x v="2"/>
    <s v="Electronics"/>
    <s v="South Korea"/>
    <s v="Jebel Ali"/>
    <s v="Nhava Sheva"/>
    <x v="2"/>
    <x v="3"/>
    <s v="40FT"/>
    <n v="2"/>
    <s v="Furniture"/>
    <n v="33061.29"/>
    <n v="9646.36"/>
    <n v="1926.29"/>
    <n v="345.93"/>
    <n v="330.61"/>
    <n v="517.64"/>
    <n v="1674.9"/>
    <n v="18619.560000000001"/>
    <n v="0"/>
    <x v="3"/>
    <n v="80.39"/>
    <x v="1"/>
    <s v="Paid"/>
    <s v="Critical"/>
    <s v="L. Chen"/>
    <s v="Europe"/>
    <x v="10"/>
  </r>
  <r>
    <x v="664"/>
    <s v="BK50665"/>
    <d v="2025-02-21T00:00:00"/>
    <d v="2025-02-23T00:00:00"/>
    <d v="2025-03-18T00:00:00"/>
    <x v="3"/>
    <s v="Electronics"/>
    <s v="South Korea"/>
    <s v="Singapore"/>
    <s v="Rotterdam"/>
    <x v="3"/>
    <x v="0"/>
    <s v="High Cube"/>
    <n v="1"/>
    <s v="Textiles"/>
    <n v="15313.31"/>
    <n v="3600.58"/>
    <n v="825.07"/>
    <n v="208.13"/>
    <n v="153.13"/>
    <n v="387.55"/>
    <n v="617.59"/>
    <n v="9521.26"/>
    <n v="4"/>
    <x v="2"/>
    <n v="30"/>
    <x v="0"/>
    <s v="Pending"/>
    <s v="Critical"/>
    <s v="M. Ahmed"/>
    <s v="Asia"/>
    <x v="9"/>
  </r>
  <r>
    <x v="665"/>
    <s v="BK50666"/>
    <d v="2025-02-13T00:00:00"/>
    <d v="2025-02-15T00:00:00"/>
    <d v="2025-03-13T00:00:00"/>
    <x v="2"/>
    <s v="Electronics"/>
    <s v="South Korea"/>
    <s v="Busan"/>
    <s v="Los Angeles"/>
    <x v="0"/>
    <x v="4"/>
    <s v="High Cube"/>
    <n v="2"/>
    <s v="Machinery"/>
    <n v="55477.39"/>
    <n v="15693.65"/>
    <n v="3378.36"/>
    <n v="724.12"/>
    <n v="554.77"/>
    <n v="379.15"/>
    <n v="1783.87"/>
    <n v="32963.47"/>
    <n v="4"/>
    <x v="2"/>
    <n v="130.78"/>
    <x v="0"/>
    <s v="Paid"/>
    <s v="Critical"/>
    <s v="L. Chen"/>
    <s v="Asia"/>
    <x v="9"/>
  </r>
  <r>
    <x v="666"/>
    <s v="BK50667"/>
    <d v="2025-11-19T00:00:00"/>
    <d v="2025-11-23T00:00:00"/>
    <d v="2025-12-04T00:00:00"/>
    <x v="4"/>
    <s v="Manufacturing"/>
    <s v="Germany"/>
    <s v="Busan"/>
    <s v="Los Angeles"/>
    <x v="0"/>
    <x v="2"/>
    <s v="40FT"/>
    <n v="4"/>
    <s v="Electronics"/>
    <n v="112707.96"/>
    <n v="21981.16"/>
    <n v="5956.28"/>
    <n v="3244.14"/>
    <n v="1127.08"/>
    <n v="700.06"/>
    <n v="2231.37"/>
    <n v="77467.87"/>
    <n v="0"/>
    <x v="3"/>
    <n v="183.18"/>
    <x v="1"/>
    <s v="Paid"/>
    <s v="High"/>
    <s v="M. Ahmed"/>
    <s v="Middle East"/>
    <x v="8"/>
  </r>
  <r>
    <x v="667"/>
    <s v="BK50668"/>
    <d v="2025-10-25T00:00:00"/>
    <d v="2025-10-28T00:00:00"/>
    <d v="2025-11-19T00:00:00"/>
    <x v="5"/>
    <s v="Food"/>
    <s v="Switzerland"/>
    <s v="Jebel Ali"/>
    <s v="Jebel Ali"/>
    <x v="1"/>
    <x v="0"/>
    <s v="40FT"/>
    <n v="2"/>
    <s v="Textiles"/>
    <n v="27017.87"/>
    <n v="7047.67"/>
    <n v="1719.13"/>
    <n v="558.5"/>
    <n v="270.18"/>
    <n v="826.42"/>
    <n v="1786.12"/>
    <n v="14809.85"/>
    <n v="0"/>
    <x v="3"/>
    <n v="58.73"/>
    <x v="1"/>
    <s v="Pending"/>
    <s v="High"/>
    <s v="A. Tan"/>
    <s v="Asia"/>
    <x v="7"/>
  </r>
  <r>
    <x v="668"/>
    <s v="BK50669"/>
    <d v="2025-08-07T00:00:00"/>
    <d v="2025-08-10T00:00:00"/>
    <d v="2025-08-24T00:00:00"/>
    <x v="10"/>
    <s v="E-commerce"/>
    <s v="USA"/>
    <s v="Colombo"/>
    <s v="Singapore"/>
    <x v="4"/>
    <x v="7"/>
    <s v="High Cube"/>
    <n v="4"/>
    <s v="Electronics"/>
    <n v="54323.64"/>
    <n v="13840.53"/>
    <n v="2297.46"/>
    <n v="1627.13"/>
    <n v="543.24"/>
    <n v="295.8"/>
    <n v="1884.24"/>
    <n v="33835.24"/>
    <n v="8"/>
    <x v="0"/>
    <n v="115.34"/>
    <x v="0"/>
    <s v="Pending"/>
    <s v="Standard"/>
    <s v="A. Tan"/>
    <s v="North America"/>
    <x v="4"/>
  </r>
  <r>
    <x v="669"/>
    <s v="BK50670"/>
    <d v="2025-01-27T00:00:00"/>
    <d v="2025-01-30T00:00:00"/>
    <d v="2025-02-23T00:00:00"/>
    <x v="5"/>
    <s v="Food"/>
    <s v="Switzerland"/>
    <s v="Singapore"/>
    <s v="Rotterdam"/>
    <x v="3"/>
    <x v="4"/>
    <s v="40FT"/>
    <n v="1"/>
    <s v="Auto Parts"/>
    <n v="36981.24"/>
    <n v="9773.33"/>
    <n v="2049.0700000000002"/>
    <n v="563.36"/>
    <n v="369.81"/>
    <n v="690.55"/>
    <n v="1817.56"/>
    <n v="21717.56"/>
    <n v="0"/>
    <x v="3"/>
    <n v="81.44"/>
    <x v="1"/>
    <s v="Paid"/>
    <s v="Standard"/>
    <s v="J. Smith"/>
    <s v="Europe"/>
    <x v="11"/>
  </r>
  <r>
    <x v="670"/>
    <s v="BK50671"/>
    <d v="2025-06-09T00:00:00"/>
    <d v="2025-06-13T00:00:00"/>
    <d v="2025-07-05T00:00:00"/>
    <x v="10"/>
    <s v="E-commerce"/>
    <s v="USA"/>
    <s v="Jebel Ali"/>
    <s v="Nhava Sheva"/>
    <x v="2"/>
    <x v="1"/>
    <s v="Reefer"/>
    <n v="4"/>
    <s v="Electronics"/>
    <n v="39732.47"/>
    <n v="7686.12"/>
    <n v="2227.3000000000002"/>
    <n v="795.94"/>
    <n v="397.32"/>
    <n v="248.45"/>
    <n v="2439.37"/>
    <n v="25937.97"/>
    <n v="8"/>
    <x v="4"/>
    <n v="64.05"/>
    <x v="0"/>
    <s v="Paid"/>
    <s v="Critical"/>
    <s v="L. Chen"/>
    <s v="Middle East"/>
    <x v="0"/>
  </r>
  <r>
    <x v="671"/>
    <s v="BK50672"/>
    <d v="2025-11-23T00:00:00"/>
    <d v="2025-11-25T00:00:00"/>
    <d v="2025-12-12T00:00:00"/>
    <x v="7"/>
    <s v="Retail"/>
    <s v="Germany"/>
    <s v="Singapore"/>
    <s v="Rotterdam"/>
    <x v="3"/>
    <x v="2"/>
    <s v="40FT"/>
    <n v="2"/>
    <s v="Food"/>
    <n v="16738.95"/>
    <n v="3367.19"/>
    <n v="1030.44"/>
    <n v="287.91000000000003"/>
    <n v="167.39"/>
    <n v="199.11"/>
    <n v="2415.7399999999998"/>
    <n v="9271.17"/>
    <n v="4"/>
    <x v="0"/>
    <n v="28.06"/>
    <x v="0"/>
    <s v="Paid"/>
    <s v="High"/>
    <s v="R. Mehta"/>
    <s v="Europe"/>
    <x v="8"/>
  </r>
  <r>
    <x v="672"/>
    <s v="BK50673"/>
    <d v="2025-06-03T00:00:00"/>
    <d v="2025-06-05T00:00:00"/>
    <d v="2025-06-28T00:00:00"/>
    <x v="7"/>
    <s v="Retail"/>
    <s v="Germany"/>
    <s v="Colombo"/>
    <s v="Hamburg"/>
    <x v="1"/>
    <x v="5"/>
    <s v="High Cube"/>
    <n v="4"/>
    <s v="Auto Parts"/>
    <n v="179807.73"/>
    <n v="48800.86"/>
    <n v="13109.36"/>
    <n v="2282.79"/>
    <n v="1798.08"/>
    <n v="207.03"/>
    <n v="608.72"/>
    <n v="113000.89"/>
    <n v="0"/>
    <x v="3"/>
    <n v="406.67"/>
    <x v="1"/>
    <s v="Paid"/>
    <s v="Critical"/>
    <s v="R. Mehta"/>
    <s v="North America"/>
    <x v="0"/>
  </r>
  <r>
    <x v="673"/>
    <s v="BK50674"/>
    <d v="2025-01-16T00:00:00"/>
    <d v="2025-01-20T00:00:00"/>
    <d v="2025-02-15T00:00:00"/>
    <x v="0"/>
    <s v="Retail"/>
    <s v="India"/>
    <s v="Colombo"/>
    <s v="Rotterdam"/>
    <x v="1"/>
    <x v="2"/>
    <s v="High Cube"/>
    <n v="4"/>
    <s v="Chemicals"/>
    <n v="38008.959999999999"/>
    <n v="6344.28"/>
    <n v="2665.04"/>
    <n v="460.16"/>
    <n v="380.09"/>
    <n v="244.67"/>
    <n v="767.22"/>
    <n v="27147.5"/>
    <n v="0"/>
    <x v="3"/>
    <n v="52.87"/>
    <x v="1"/>
    <s v="Pending"/>
    <s v="Critical"/>
    <s v="R. Mehta"/>
    <s v="Middle East"/>
    <x v="11"/>
  </r>
  <r>
    <x v="674"/>
    <s v="BK50675"/>
    <d v="2025-07-22T00:00:00"/>
    <d v="2025-07-23T00:00:00"/>
    <d v="2025-08-13T00:00:00"/>
    <x v="11"/>
    <s v="Automotive"/>
    <s v="Japan"/>
    <s v="Rotterdam"/>
    <s v="Nhava Sheva"/>
    <x v="1"/>
    <x v="5"/>
    <s v="High Cube"/>
    <n v="1"/>
    <s v="Auto Parts"/>
    <n v="30465.05"/>
    <n v="8606.6"/>
    <n v="1660.11"/>
    <n v="476.6"/>
    <n v="304.64999999999998"/>
    <n v="455.83"/>
    <n v="1750.7"/>
    <n v="17210.560000000001"/>
    <n v="48"/>
    <x v="5"/>
    <n v="71.72"/>
    <x v="0"/>
    <s v="Pending"/>
    <s v="Critical"/>
    <s v="L. Chen"/>
    <s v="Middle East"/>
    <x v="1"/>
  </r>
  <r>
    <x v="675"/>
    <s v="BK50676"/>
    <d v="2025-10-31T00:00:00"/>
    <d v="2025-11-01T00:00:00"/>
    <d v="2025-11-19T00:00:00"/>
    <x v="3"/>
    <s v="Electronics"/>
    <s v="South Korea"/>
    <s v="Jebel Ali"/>
    <s v="Nhava Sheva"/>
    <x v="2"/>
    <x v="7"/>
    <s v="20FT"/>
    <n v="1"/>
    <s v="Food"/>
    <n v="33247.24"/>
    <n v="8738.39"/>
    <n v="2196.79"/>
    <n v="745.43"/>
    <n v="332.47"/>
    <n v="132.5"/>
    <n v="1595.07"/>
    <n v="19506.59"/>
    <n v="0"/>
    <x v="3"/>
    <n v="72.819999999999993"/>
    <x v="1"/>
    <s v="Pending"/>
    <s v="Standard"/>
    <s v="A. Tan"/>
    <s v="Middle East"/>
    <x v="7"/>
  </r>
  <r>
    <x v="676"/>
    <s v="BK50677"/>
    <d v="2025-09-21T00:00:00"/>
    <d v="2025-09-22T00:00:00"/>
    <d v="2025-10-08T00:00:00"/>
    <x v="7"/>
    <s v="Retail"/>
    <s v="Germany"/>
    <s v="Colombo"/>
    <s v="Singapore"/>
    <x v="4"/>
    <x v="4"/>
    <s v="Reefer"/>
    <n v="2"/>
    <s v="Furniture"/>
    <n v="42929.51"/>
    <n v="9915.5300000000007"/>
    <n v="2009.38"/>
    <n v="1114"/>
    <n v="429.3"/>
    <n v="749.38"/>
    <n v="1299.99"/>
    <n v="27411.93"/>
    <n v="24"/>
    <x v="1"/>
    <n v="82.63"/>
    <x v="0"/>
    <s v="Pending"/>
    <s v="Standard"/>
    <s v="A. Tan"/>
    <s v="Middle East"/>
    <x v="3"/>
  </r>
  <r>
    <x v="677"/>
    <s v="BK50678"/>
    <d v="2025-02-03T00:00:00"/>
    <d v="2025-02-07T00:00:00"/>
    <d v="2025-02-19T00:00:00"/>
    <x v="2"/>
    <s v="Electronics"/>
    <s v="South Korea"/>
    <s v="Singapore"/>
    <s v="Rotterdam"/>
    <x v="3"/>
    <x v="1"/>
    <s v="40FT"/>
    <n v="2"/>
    <s v="Chemicals"/>
    <n v="53888.27"/>
    <n v="14946.69"/>
    <n v="3840.66"/>
    <n v="1151.42"/>
    <n v="538.88"/>
    <n v="566.02"/>
    <n v="1528.98"/>
    <n v="31315.62"/>
    <n v="36"/>
    <x v="5"/>
    <n v="124.56"/>
    <x v="0"/>
    <s v="Pending"/>
    <s v="Critical"/>
    <s v="A. Tan"/>
    <s v="Europe"/>
    <x v="9"/>
  </r>
  <r>
    <x v="678"/>
    <s v="BK50679"/>
    <d v="2025-11-25T00:00:00"/>
    <d v="2025-11-28T00:00:00"/>
    <d v="2025-12-22T00:00:00"/>
    <x v="8"/>
    <s v="Retail"/>
    <s v="Sweden"/>
    <s v="Shanghai"/>
    <s v="Rotterdam"/>
    <x v="3"/>
    <x v="4"/>
    <s v="20FT"/>
    <n v="2"/>
    <s v="Electronics"/>
    <n v="43929.87"/>
    <n v="7126.65"/>
    <n v="1835.2"/>
    <n v="1141.68"/>
    <n v="439.3"/>
    <n v="601.45000000000005"/>
    <n v="785.58"/>
    <n v="32000.01"/>
    <n v="4"/>
    <x v="1"/>
    <n v="59.39"/>
    <x v="0"/>
    <s v="Pending"/>
    <s v="Critical"/>
    <s v="M. Ahmed"/>
    <s v="North America"/>
    <x v="8"/>
  </r>
  <r>
    <x v="679"/>
    <s v="BK50680"/>
    <d v="2025-08-19T00:00:00"/>
    <d v="2025-08-23T00:00:00"/>
    <d v="2025-09-08T00:00:00"/>
    <x v="5"/>
    <s v="Food"/>
    <s v="Switzerland"/>
    <s v="Busan"/>
    <s v="Los Angeles"/>
    <x v="0"/>
    <x v="1"/>
    <s v="Reefer"/>
    <n v="4"/>
    <s v="Textiles"/>
    <n v="55051.68"/>
    <n v="11226.43"/>
    <n v="4005.81"/>
    <n v="1025.92"/>
    <n v="550.52"/>
    <n v="726.33"/>
    <n v="1122.8"/>
    <n v="36393.870000000003"/>
    <n v="36"/>
    <x v="2"/>
    <n v="93.55"/>
    <x v="0"/>
    <s v="Pending"/>
    <s v="Critical"/>
    <s v="M. Ahmed"/>
    <s v="Europe"/>
    <x v="4"/>
  </r>
  <r>
    <x v="680"/>
    <s v="BK50681"/>
    <d v="2025-05-27T00:00:00"/>
    <d v="2025-05-31T00:00:00"/>
    <d v="2025-06-26T00:00:00"/>
    <x v="6"/>
    <s v="Pharma"/>
    <s v="USA"/>
    <s v="Shanghai"/>
    <s v="Rotterdam"/>
    <x v="3"/>
    <x v="0"/>
    <s v="High Cube"/>
    <n v="2"/>
    <s v="Chemicals"/>
    <n v="32009.14"/>
    <n v="6142.27"/>
    <n v="1329.37"/>
    <n v="777.42"/>
    <n v="320.08999999999997"/>
    <n v="424.91"/>
    <n v="363.34"/>
    <n v="22651.74"/>
    <n v="0"/>
    <x v="3"/>
    <n v="51.19"/>
    <x v="1"/>
    <s v="Paid"/>
    <s v="Standard"/>
    <s v="J. Smith"/>
    <s v="North America"/>
    <x v="6"/>
  </r>
  <r>
    <x v="681"/>
    <s v="BK50682"/>
    <d v="2025-09-13T00:00:00"/>
    <d v="2025-09-15T00:00:00"/>
    <d v="2025-09-30T00:00:00"/>
    <x v="10"/>
    <s v="E-commerce"/>
    <s v="USA"/>
    <s v="Shanghai"/>
    <s v="Rotterdam"/>
    <x v="3"/>
    <x v="3"/>
    <s v="Reefer"/>
    <n v="4"/>
    <s v="Furniture"/>
    <n v="136203.5"/>
    <n v="38296.14"/>
    <n v="7806.76"/>
    <n v="2256.3200000000002"/>
    <n v="1362.04"/>
    <n v="240.51"/>
    <n v="442.97"/>
    <n v="85798.76"/>
    <n v="0"/>
    <x v="3"/>
    <n v="319.13"/>
    <x v="1"/>
    <s v="Paid"/>
    <s v="High"/>
    <s v="L. Chen"/>
    <s v="North America"/>
    <x v="3"/>
  </r>
  <r>
    <x v="682"/>
    <s v="BK50683"/>
    <d v="2025-09-21T00:00:00"/>
    <d v="2025-09-23T00:00:00"/>
    <d v="2025-10-06T00:00:00"/>
    <x v="5"/>
    <s v="Food"/>
    <s v="Switzerland"/>
    <s v="Singapore"/>
    <s v="Rotterdam"/>
    <x v="3"/>
    <x v="6"/>
    <s v="Reefer"/>
    <n v="1"/>
    <s v="Machinery"/>
    <n v="34053.050000000003"/>
    <n v="6666.03"/>
    <n v="1785.82"/>
    <n v="403.59"/>
    <n v="340.53"/>
    <n v="604.26"/>
    <n v="1331.16"/>
    <n v="22921.66"/>
    <n v="36"/>
    <x v="1"/>
    <n v="55.55"/>
    <x v="0"/>
    <s v="Paid"/>
    <s v="Critical"/>
    <s v="M. Ahmed"/>
    <s v="Middle East"/>
    <x v="3"/>
  </r>
  <r>
    <x v="683"/>
    <s v="BK50684"/>
    <d v="2025-06-15T00:00:00"/>
    <d v="2025-06-17T00:00:00"/>
    <d v="2025-07-09T00:00:00"/>
    <x v="4"/>
    <s v="Manufacturing"/>
    <s v="Germany"/>
    <s v="Shanghai"/>
    <s v="Rotterdam"/>
    <x v="3"/>
    <x v="1"/>
    <s v="40FT"/>
    <n v="4"/>
    <s v="Food"/>
    <n v="80261.320000000007"/>
    <n v="22452.81"/>
    <n v="3595.42"/>
    <n v="2131.08"/>
    <n v="802.61"/>
    <n v="129.71"/>
    <n v="2065.4"/>
    <n v="49084.29"/>
    <n v="0"/>
    <x v="3"/>
    <n v="187.11"/>
    <x v="1"/>
    <s v="Pending"/>
    <s v="Standard"/>
    <s v="J. Smith"/>
    <s v="Asia"/>
    <x v="0"/>
  </r>
  <r>
    <x v="684"/>
    <s v="BK50685"/>
    <d v="2025-10-08T00:00:00"/>
    <d v="2025-10-10T00:00:00"/>
    <d v="2025-10-20T00:00:00"/>
    <x v="9"/>
    <s v="Engineering"/>
    <s v="Germany"/>
    <s v="Colombo"/>
    <s v="Singapore"/>
    <x v="4"/>
    <x v="5"/>
    <s v="20FT"/>
    <n v="2"/>
    <s v="Food"/>
    <n v="21801.23"/>
    <n v="4737.41"/>
    <n v="1499.31"/>
    <n v="515.12"/>
    <n v="218.01"/>
    <n v="792.07"/>
    <n v="537.54999999999995"/>
    <n v="13501.76"/>
    <n v="0"/>
    <x v="3"/>
    <n v="39.479999999999997"/>
    <x v="1"/>
    <s v="Paid"/>
    <s v="Critical"/>
    <s v="M. Ahmed"/>
    <s v="North America"/>
    <x v="7"/>
  </r>
  <r>
    <x v="685"/>
    <s v="BK50686"/>
    <d v="2025-05-21T00:00:00"/>
    <d v="2025-05-22T00:00:00"/>
    <d v="2025-06-13T00:00:00"/>
    <x v="6"/>
    <s v="Pharma"/>
    <s v="USA"/>
    <s v="Busan"/>
    <s v="Los Angeles"/>
    <x v="0"/>
    <x v="6"/>
    <s v="20FT"/>
    <n v="2"/>
    <s v="Food"/>
    <n v="79598.84"/>
    <n v="17046.34"/>
    <n v="4942.8999999999996"/>
    <n v="1909.03"/>
    <n v="795.99"/>
    <n v="422.2"/>
    <n v="1703.03"/>
    <n v="52779.35"/>
    <n v="4"/>
    <x v="0"/>
    <n v="142.05000000000001"/>
    <x v="0"/>
    <s v="Pending"/>
    <s v="Critical"/>
    <s v="L. Chen"/>
    <s v="North America"/>
    <x v="6"/>
  </r>
  <r>
    <x v="686"/>
    <s v="BK50687"/>
    <d v="2025-05-31T00:00:00"/>
    <d v="2025-06-01T00:00:00"/>
    <d v="2025-06-22T00:00:00"/>
    <x v="5"/>
    <s v="Food"/>
    <s v="Switzerland"/>
    <s v="Los Angeles"/>
    <s v="Rotterdam"/>
    <x v="1"/>
    <x v="6"/>
    <s v="Reefer"/>
    <n v="2"/>
    <s v="Textiles"/>
    <n v="27054.05"/>
    <n v="5790.92"/>
    <n v="1783.89"/>
    <n v="571.15"/>
    <n v="270.54000000000002"/>
    <n v="862.33"/>
    <n v="1523.27"/>
    <n v="16251.95"/>
    <n v="0"/>
    <x v="3"/>
    <n v="48.26"/>
    <x v="1"/>
    <s v="Paid"/>
    <s v="High"/>
    <s v="R. Mehta"/>
    <s v="Europe"/>
    <x v="6"/>
  </r>
  <r>
    <x v="687"/>
    <s v="BK50688"/>
    <d v="2025-10-31T00:00:00"/>
    <d v="2025-11-02T00:00:00"/>
    <d v="2025-11-28T00:00:00"/>
    <x v="3"/>
    <s v="Electronics"/>
    <s v="South Korea"/>
    <s v="Singapore"/>
    <s v="Rotterdam"/>
    <x v="3"/>
    <x v="3"/>
    <s v="High Cube"/>
    <n v="4"/>
    <s v="Machinery"/>
    <n v="42084.32"/>
    <n v="11869.12"/>
    <n v="2698.8"/>
    <n v="760.01"/>
    <n v="420.84"/>
    <n v="521.58000000000004"/>
    <n v="2204.6799999999998"/>
    <n v="23609.29"/>
    <n v="48"/>
    <x v="5"/>
    <n v="98.91"/>
    <x v="0"/>
    <s v="Pending"/>
    <s v="Critical"/>
    <s v="J. Smith"/>
    <s v="Middle East"/>
    <x v="7"/>
  </r>
  <r>
    <x v="688"/>
    <s v="BK50689"/>
    <d v="2025-07-23T00:00:00"/>
    <d v="2025-07-27T00:00:00"/>
    <d v="2025-08-20T00:00:00"/>
    <x v="3"/>
    <s v="Electronics"/>
    <s v="South Korea"/>
    <s v="Jebel Ali"/>
    <s v="Nhava Sheva"/>
    <x v="2"/>
    <x v="5"/>
    <s v="40FT"/>
    <n v="2"/>
    <s v="Chemicals"/>
    <n v="56680.14"/>
    <n v="13415.76"/>
    <n v="4277.3100000000004"/>
    <n v="1000.76"/>
    <n v="566.79999999999995"/>
    <n v="601.30999999999995"/>
    <n v="1580.92"/>
    <n v="35237.279999999999"/>
    <n v="8"/>
    <x v="2"/>
    <n v="111.8"/>
    <x v="0"/>
    <s v="Paid"/>
    <s v="Critical"/>
    <s v="J. Smith"/>
    <s v="Europe"/>
    <x v="1"/>
  </r>
  <r>
    <x v="689"/>
    <s v="BK50690"/>
    <d v="2025-04-05T00:00:00"/>
    <d v="2025-04-08T00:00:00"/>
    <d v="2025-05-05T00:00:00"/>
    <x v="9"/>
    <s v="Engineering"/>
    <s v="Germany"/>
    <s v="Shanghai"/>
    <s v="Rotterdam"/>
    <x v="3"/>
    <x v="0"/>
    <s v="High Cube"/>
    <n v="2"/>
    <s v="Textiles"/>
    <n v="12813"/>
    <n v="2411.06"/>
    <n v="950.19"/>
    <n v="220.53"/>
    <n v="128.13"/>
    <n v="281.91000000000003"/>
    <n v="1476.45"/>
    <n v="7344.73"/>
    <n v="0"/>
    <x v="3"/>
    <n v="20.09"/>
    <x v="1"/>
    <s v="Paid"/>
    <s v="Standard"/>
    <s v="L. Chen"/>
    <s v="Asia"/>
    <x v="10"/>
  </r>
  <r>
    <x v="690"/>
    <s v="BK50691"/>
    <d v="2025-08-06T00:00:00"/>
    <d v="2025-08-08T00:00:00"/>
    <d v="2025-09-06T00:00:00"/>
    <x v="9"/>
    <s v="Engineering"/>
    <s v="Germany"/>
    <s v="Busan"/>
    <s v="Los Angeles"/>
    <x v="0"/>
    <x v="1"/>
    <s v="20FT"/>
    <n v="4"/>
    <s v="Furniture"/>
    <n v="125102.5"/>
    <n v="35570.53"/>
    <n v="9592.48"/>
    <n v="1781.83"/>
    <n v="1251.03"/>
    <n v="473.72"/>
    <n v="547.03"/>
    <n v="75885.88"/>
    <n v="48"/>
    <x v="2"/>
    <n v="296.42"/>
    <x v="0"/>
    <s v="Paid"/>
    <s v="High"/>
    <s v="M. Ahmed"/>
    <s v="Middle East"/>
    <x v="4"/>
  </r>
  <r>
    <x v="691"/>
    <s v="BK50692"/>
    <d v="2025-12-11T00:00:00"/>
    <d v="2025-12-13T00:00:00"/>
    <d v="2025-12-29T00:00:00"/>
    <x v="10"/>
    <s v="E-commerce"/>
    <s v="USA"/>
    <s v="Colombo"/>
    <s v="Singapore"/>
    <x v="4"/>
    <x v="6"/>
    <s v="Reefer"/>
    <n v="4"/>
    <s v="Machinery"/>
    <n v="168624.75"/>
    <n v="32783.129999999997"/>
    <n v="8027.06"/>
    <n v="2354.21"/>
    <n v="1686.25"/>
    <n v="115.79"/>
    <n v="1619.17"/>
    <n v="122039.14"/>
    <n v="0"/>
    <x v="3"/>
    <n v="273.19"/>
    <x v="1"/>
    <s v="Pending"/>
    <s v="High"/>
    <s v="R. Mehta"/>
    <s v="Europe"/>
    <x v="2"/>
  </r>
  <r>
    <x v="692"/>
    <s v="BK50693"/>
    <d v="2025-04-28T00:00:00"/>
    <d v="2025-04-29T00:00:00"/>
    <d v="2025-05-15T00:00:00"/>
    <x v="3"/>
    <s v="Electronics"/>
    <s v="South Korea"/>
    <s v="Colombo"/>
    <s v="Singapore"/>
    <x v="4"/>
    <x v="6"/>
    <s v="20FT"/>
    <n v="2"/>
    <s v="Textiles"/>
    <n v="51714.69"/>
    <n v="10269.33"/>
    <n v="4029.92"/>
    <n v="1197.3399999999999"/>
    <n v="517.15"/>
    <n v="546.70000000000005"/>
    <n v="1310.19"/>
    <n v="33844.06"/>
    <n v="12"/>
    <x v="2"/>
    <n v="85.58"/>
    <x v="0"/>
    <s v="Paid"/>
    <s v="Critical"/>
    <s v="R. Mehta"/>
    <s v="North America"/>
    <x v="10"/>
  </r>
  <r>
    <x v="693"/>
    <s v="BK50694"/>
    <d v="2025-11-04T00:00:00"/>
    <d v="2025-11-07T00:00:00"/>
    <d v="2025-12-02T00:00:00"/>
    <x v="10"/>
    <s v="E-commerce"/>
    <s v="USA"/>
    <s v="Jebel Ali"/>
    <s v="Nhava Sheva"/>
    <x v="2"/>
    <x v="4"/>
    <s v="40FT"/>
    <n v="2"/>
    <s v="Machinery"/>
    <n v="55236.51"/>
    <n v="11417.92"/>
    <n v="2310.9699999999998"/>
    <n v="755.43"/>
    <n v="552.37"/>
    <n v="191.18"/>
    <n v="513.95000000000005"/>
    <n v="39494.69"/>
    <n v="48"/>
    <x v="5"/>
    <n v="95.15"/>
    <x v="0"/>
    <s v="Pending"/>
    <s v="Standard"/>
    <s v="M. Ahmed"/>
    <s v="Europe"/>
    <x v="8"/>
  </r>
  <r>
    <x v="694"/>
    <s v="BK50695"/>
    <d v="2025-10-02T00:00:00"/>
    <d v="2025-10-04T00:00:00"/>
    <d v="2025-10-21T00:00:00"/>
    <x v="10"/>
    <s v="E-commerce"/>
    <s v="USA"/>
    <s v="Jebel Ali"/>
    <s v="Nhava Sheva"/>
    <x v="2"/>
    <x v="5"/>
    <s v="High Cube"/>
    <n v="1"/>
    <s v="Machinery"/>
    <n v="32760.79"/>
    <n v="7239.33"/>
    <n v="1930.44"/>
    <n v="592.02"/>
    <n v="327.61"/>
    <n v="475.7"/>
    <n v="1161.58"/>
    <n v="21034.11"/>
    <n v="48"/>
    <x v="1"/>
    <n v="60.33"/>
    <x v="0"/>
    <s v="Pending"/>
    <s v="High"/>
    <s v="A. Tan"/>
    <s v="Middle East"/>
    <x v="7"/>
  </r>
  <r>
    <x v="695"/>
    <s v="BK50696"/>
    <d v="2025-03-03T00:00:00"/>
    <d v="2025-03-05T00:00:00"/>
    <d v="2025-03-15T00:00:00"/>
    <x v="5"/>
    <s v="Food"/>
    <s v="Switzerland"/>
    <s v="Jebel Ali"/>
    <s v="Nhava Sheva"/>
    <x v="2"/>
    <x v="4"/>
    <s v="Reefer"/>
    <n v="2"/>
    <s v="Electronics"/>
    <n v="56399.69"/>
    <n v="14989.8"/>
    <n v="2900.71"/>
    <n v="1350.27"/>
    <n v="564"/>
    <n v="344.49"/>
    <n v="650.1"/>
    <n v="35600.32"/>
    <n v="12"/>
    <x v="4"/>
    <n v="124.91"/>
    <x v="0"/>
    <s v="Pending"/>
    <s v="Critical"/>
    <s v="A. Tan"/>
    <s v="Europe"/>
    <x v="5"/>
  </r>
  <r>
    <x v="696"/>
    <s v="BK50697"/>
    <d v="2025-01-25T00:00:00"/>
    <d v="2025-01-26T00:00:00"/>
    <d v="2025-02-19T00:00:00"/>
    <x v="10"/>
    <s v="E-commerce"/>
    <s v="USA"/>
    <s v="Busan"/>
    <s v="Los Angeles"/>
    <x v="0"/>
    <x v="6"/>
    <s v="20FT"/>
    <n v="2"/>
    <s v="Electronics"/>
    <n v="71998.81"/>
    <n v="14354.73"/>
    <n v="5029.6099999999997"/>
    <n v="946.47"/>
    <n v="719.99"/>
    <n v="266.52"/>
    <n v="2008.14"/>
    <n v="48673.35"/>
    <n v="8"/>
    <x v="1"/>
    <n v="119.62"/>
    <x v="0"/>
    <s v="Pending"/>
    <s v="High"/>
    <s v="R. Mehta"/>
    <s v="Europe"/>
    <x v="11"/>
  </r>
  <r>
    <x v="697"/>
    <s v="BK50698"/>
    <d v="2025-09-20T00:00:00"/>
    <d v="2025-09-22T00:00:00"/>
    <d v="2025-10-08T00:00:00"/>
    <x v="5"/>
    <s v="Food"/>
    <s v="Switzerland"/>
    <s v="Colombo"/>
    <s v="Colombo"/>
    <x v="1"/>
    <x v="7"/>
    <s v="40FT"/>
    <n v="2"/>
    <s v="Textiles"/>
    <n v="33500.519999999997"/>
    <n v="7933"/>
    <n v="2644.3"/>
    <n v="927.8"/>
    <n v="335.01"/>
    <n v="287.92"/>
    <n v="2486.59"/>
    <n v="18885.900000000001"/>
    <n v="36"/>
    <x v="4"/>
    <n v="66.11"/>
    <x v="0"/>
    <s v="Paid"/>
    <s v="Critical"/>
    <s v="M. Ahmed"/>
    <s v="North America"/>
    <x v="3"/>
  </r>
  <r>
    <x v="698"/>
    <s v="BK50699"/>
    <d v="2025-12-06T00:00:00"/>
    <d v="2025-12-07T00:00:00"/>
    <d v="2025-12-27T00:00:00"/>
    <x v="5"/>
    <s v="Food"/>
    <s v="Switzerland"/>
    <s v="Hamburg"/>
    <s v="Jebel Ali"/>
    <x v="1"/>
    <x v="5"/>
    <s v="20FT"/>
    <n v="1"/>
    <s v="Auto Parts"/>
    <n v="39327.370000000003"/>
    <n v="11564.67"/>
    <n v="2536.19"/>
    <n v="513.08000000000004"/>
    <n v="393.27"/>
    <n v="700.7"/>
    <n v="399.08"/>
    <n v="23220.38"/>
    <n v="0"/>
    <x v="3"/>
    <n v="96.37"/>
    <x v="1"/>
    <s v="Paid"/>
    <s v="Standard"/>
    <s v="L. Chen"/>
    <s v="Europe"/>
    <x v="2"/>
  </r>
  <r>
    <x v="699"/>
    <s v="BK50700"/>
    <d v="2025-03-28T00:00:00"/>
    <d v="2025-03-30T00:00:00"/>
    <d v="2025-04-20T00:00:00"/>
    <x v="0"/>
    <s v="Retail"/>
    <s v="India"/>
    <s v="Shanghai"/>
    <s v="Rotterdam"/>
    <x v="3"/>
    <x v="1"/>
    <s v="20FT"/>
    <n v="4"/>
    <s v="Auto Parts"/>
    <n v="84382.79"/>
    <n v="22261.439999999999"/>
    <n v="6595.46"/>
    <n v="1979.74"/>
    <n v="843.83"/>
    <n v="810.96"/>
    <n v="301.36"/>
    <n v="51590"/>
    <n v="48"/>
    <x v="0"/>
    <n v="185.51"/>
    <x v="0"/>
    <s v="Pending"/>
    <s v="High"/>
    <s v="L. Chen"/>
    <s v="Middle East"/>
    <x v="5"/>
  </r>
  <r>
    <x v="700"/>
    <s v="BK50701"/>
    <d v="2025-12-19T00:00:00"/>
    <d v="2025-12-23T00:00:00"/>
    <d v="2026-01-09T00:00:00"/>
    <x v="9"/>
    <s v="Engineering"/>
    <s v="Germany"/>
    <s v="Shanghai"/>
    <s v="Rotterdam"/>
    <x v="3"/>
    <x v="1"/>
    <s v="40FT"/>
    <n v="1"/>
    <s v="Electronics"/>
    <n v="27046.23"/>
    <n v="6373.31"/>
    <n v="1257.77"/>
    <n v="557.16999999999996"/>
    <n v="270.45999999999998"/>
    <n v="636.26"/>
    <n v="1321.79"/>
    <n v="16629.47"/>
    <n v="0"/>
    <x v="3"/>
    <n v="53.11"/>
    <x v="1"/>
    <s v="Paid"/>
    <s v="Standard"/>
    <s v="L. Chen"/>
    <s v="Asia"/>
    <x v="2"/>
  </r>
  <r>
    <x v="701"/>
    <s v="BK50702"/>
    <d v="2025-12-06T00:00:00"/>
    <d v="2025-12-08T00:00:00"/>
    <d v="2025-12-20T00:00:00"/>
    <x v="6"/>
    <s v="Pharma"/>
    <s v="USA"/>
    <s v="Shanghai"/>
    <s v="Busan"/>
    <x v="1"/>
    <x v="1"/>
    <s v="High Cube"/>
    <n v="4"/>
    <s v="Textiles"/>
    <n v="66556.7"/>
    <n v="18479.740000000002"/>
    <n v="2735.49"/>
    <n v="1614.45"/>
    <n v="665.57"/>
    <n v="891.07"/>
    <n v="1379.17"/>
    <n v="40791.21"/>
    <n v="0"/>
    <x v="3"/>
    <n v="154"/>
    <x v="1"/>
    <s v="Paid"/>
    <s v="Critical"/>
    <s v="R. Mehta"/>
    <s v="Asia"/>
    <x v="2"/>
  </r>
  <r>
    <x v="702"/>
    <s v="BK50703"/>
    <d v="2025-11-27T00:00:00"/>
    <d v="2025-11-29T00:00:00"/>
    <d v="2025-12-18T00:00:00"/>
    <x v="0"/>
    <s v="Retail"/>
    <s v="India"/>
    <s v="Jebel Ali"/>
    <s v="Nhava Sheva"/>
    <x v="2"/>
    <x v="4"/>
    <s v="High Cube"/>
    <n v="2"/>
    <s v="Machinery"/>
    <n v="15370.16"/>
    <n v="2936.67"/>
    <n v="706.17"/>
    <n v="222.69"/>
    <n v="153.69999999999999"/>
    <n v="739.29"/>
    <n v="1098.77"/>
    <n v="9512.8700000000008"/>
    <n v="48"/>
    <x v="0"/>
    <n v="24.47"/>
    <x v="0"/>
    <s v="Paid"/>
    <s v="Critical"/>
    <s v="J. Smith"/>
    <s v="Asia"/>
    <x v="8"/>
  </r>
  <r>
    <x v="703"/>
    <s v="BK50704"/>
    <d v="2025-02-02T00:00:00"/>
    <d v="2025-02-03T00:00:00"/>
    <d v="2025-02-28T00:00:00"/>
    <x v="7"/>
    <s v="Retail"/>
    <s v="Germany"/>
    <s v="Shanghai"/>
    <s v="Rotterdam"/>
    <x v="3"/>
    <x v="6"/>
    <s v="40FT"/>
    <n v="1"/>
    <s v="Furniture"/>
    <n v="16282.94"/>
    <n v="4320.59"/>
    <n v="955.47"/>
    <n v="453.48"/>
    <n v="162.83000000000001"/>
    <n v="168.57"/>
    <n v="919.79"/>
    <n v="9302.2099999999991"/>
    <n v="0"/>
    <x v="3"/>
    <n v="36"/>
    <x v="1"/>
    <s v="Paid"/>
    <s v="High"/>
    <s v="L. Chen"/>
    <s v="North America"/>
    <x v="9"/>
  </r>
  <r>
    <x v="704"/>
    <s v="BK50705"/>
    <d v="2025-04-22T00:00:00"/>
    <d v="2025-04-23T00:00:00"/>
    <d v="2025-05-12T00:00:00"/>
    <x v="8"/>
    <s v="Retail"/>
    <s v="Sweden"/>
    <s v="Busan"/>
    <s v="Los Angeles"/>
    <x v="0"/>
    <x v="3"/>
    <s v="40FT"/>
    <n v="2"/>
    <s v="Textiles"/>
    <n v="45054.2"/>
    <n v="11491.95"/>
    <n v="2202.0100000000002"/>
    <n v="1332.17"/>
    <n v="450.54"/>
    <n v="130.47"/>
    <n v="597.58000000000004"/>
    <n v="28849.48"/>
    <n v="12"/>
    <x v="0"/>
    <n v="95.77"/>
    <x v="0"/>
    <s v="Paid"/>
    <s v="Critical"/>
    <s v="A. Tan"/>
    <s v="Middle East"/>
    <x v="10"/>
  </r>
  <r>
    <x v="705"/>
    <s v="BK50706"/>
    <d v="2025-07-27T00:00:00"/>
    <d v="2025-07-28T00:00:00"/>
    <d v="2025-08-19T00:00:00"/>
    <x v="10"/>
    <s v="E-commerce"/>
    <s v="USA"/>
    <s v="Singapore"/>
    <s v="New York"/>
    <x v="1"/>
    <x v="4"/>
    <s v="High Cube"/>
    <n v="2"/>
    <s v="Textiles"/>
    <n v="60963.95"/>
    <n v="14624.88"/>
    <n v="2457.39"/>
    <n v="1523.21"/>
    <n v="609.64"/>
    <n v="109.86"/>
    <n v="1805.27"/>
    <n v="39833.699999999997"/>
    <n v="48"/>
    <x v="2"/>
    <n v="121.87"/>
    <x v="0"/>
    <s v="Pending"/>
    <s v="Critical"/>
    <s v="M. Ahmed"/>
    <s v="Asia"/>
    <x v="1"/>
  </r>
  <r>
    <x v="706"/>
    <s v="BK50707"/>
    <d v="2025-06-14T00:00:00"/>
    <d v="2025-06-16T00:00:00"/>
    <d v="2025-07-02T00:00:00"/>
    <x v="6"/>
    <s v="Pharma"/>
    <s v="USA"/>
    <s v="Singapore"/>
    <s v="Shanghai"/>
    <x v="1"/>
    <x v="3"/>
    <s v="High Cube"/>
    <n v="1"/>
    <s v="Furniture"/>
    <n v="22379.7"/>
    <n v="5441.39"/>
    <n v="1298.8"/>
    <n v="625.1"/>
    <n v="223.8"/>
    <n v="615.46"/>
    <n v="2214.98"/>
    <n v="11960.17"/>
    <n v="12"/>
    <x v="1"/>
    <n v="45.34"/>
    <x v="0"/>
    <s v="Paid"/>
    <s v="High"/>
    <s v="M. Ahmed"/>
    <s v="Europe"/>
    <x v="0"/>
  </r>
  <r>
    <x v="707"/>
    <s v="BK50708"/>
    <d v="2025-03-30T00:00:00"/>
    <d v="2025-04-01T00:00:00"/>
    <d v="2025-04-14T00:00:00"/>
    <x v="0"/>
    <s v="Retail"/>
    <s v="India"/>
    <s v="Hamburg"/>
    <s v="Los Angeles"/>
    <x v="1"/>
    <x v="3"/>
    <s v="Reefer"/>
    <n v="2"/>
    <s v="Electronics"/>
    <n v="31805.03"/>
    <n v="9071.07"/>
    <n v="2104.71"/>
    <n v="532.64"/>
    <n v="318.05"/>
    <n v="610.17999999999995"/>
    <n v="1188.68"/>
    <n v="17979.7"/>
    <n v="24"/>
    <x v="2"/>
    <n v="75.59"/>
    <x v="0"/>
    <s v="Paid"/>
    <s v="Standard"/>
    <s v="A. Tan"/>
    <s v="Europe"/>
    <x v="5"/>
  </r>
  <r>
    <x v="708"/>
    <s v="BK50709"/>
    <d v="2025-06-01T00:00:00"/>
    <d v="2025-06-05T00:00:00"/>
    <d v="2025-07-03T00:00:00"/>
    <x v="9"/>
    <s v="Engineering"/>
    <s v="Germany"/>
    <s v="Singapore"/>
    <s v="Rotterdam"/>
    <x v="3"/>
    <x v="4"/>
    <s v="20FT"/>
    <n v="2"/>
    <s v="Food"/>
    <n v="75921.25"/>
    <n v="19008.060000000001"/>
    <n v="3536.17"/>
    <n v="928.17"/>
    <n v="759.21"/>
    <n v="627.55999999999995"/>
    <n v="2468.4899999999998"/>
    <n v="48593.59"/>
    <n v="0"/>
    <x v="3"/>
    <n v="158.4"/>
    <x v="1"/>
    <s v="Paid"/>
    <s v="High"/>
    <s v="M. Ahmed"/>
    <s v="Middle East"/>
    <x v="0"/>
  </r>
  <r>
    <x v="709"/>
    <s v="BK50710"/>
    <d v="2025-07-10T00:00:00"/>
    <d v="2025-07-12T00:00:00"/>
    <d v="2025-07-25T00:00:00"/>
    <x v="11"/>
    <s v="Automotive"/>
    <s v="Japan"/>
    <s v="Nhava Sheva"/>
    <s v="Nhava Sheva"/>
    <x v="1"/>
    <x v="5"/>
    <s v="Reefer"/>
    <n v="4"/>
    <s v="Food"/>
    <n v="58706.39"/>
    <n v="12541.18"/>
    <n v="4550.91"/>
    <n v="1668.1"/>
    <n v="587.05999999999995"/>
    <n v="794.07"/>
    <n v="561.4"/>
    <n v="38003.67"/>
    <n v="0"/>
    <x v="3"/>
    <n v="104.51"/>
    <x v="1"/>
    <s v="Pending"/>
    <s v="High"/>
    <s v="L. Chen"/>
    <s v="North America"/>
    <x v="1"/>
  </r>
  <r>
    <x v="710"/>
    <s v="BK50711"/>
    <d v="2025-09-15T00:00:00"/>
    <d v="2025-09-18T00:00:00"/>
    <d v="2025-10-11T00:00:00"/>
    <x v="10"/>
    <s v="E-commerce"/>
    <s v="USA"/>
    <s v="Jebel Ali"/>
    <s v="Nhava Sheva"/>
    <x v="2"/>
    <x v="0"/>
    <s v="High Cube"/>
    <n v="2"/>
    <s v="Furniture"/>
    <n v="28197.45"/>
    <n v="6742.64"/>
    <n v="2086.64"/>
    <n v="649.77"/>
    <n v="281.97000000000003"/>
    <n v="348.22"/>
    <n v="1668.84"/>
    <n v="16419.37"/>
    <n v="36"/>
    <x v="0"/>
    <n v="56.19"/>
    <x v="0"/>
    <s v="Paid"/>
    <s v="Critical"/>
    <s v="M. Ahmed"/>
    <s v="Asia"/>
    <x v="3"/>
  </r>
  <r>
    <x v="711"/>
    <s v="BK50712"/>
    <d v="2025-02-10T00:00:00"/>
    <d v="2025-02-11T00:00:00"/>
    <d v="2025-03-07T00:00:00"/>
    <x v="3"/>
    <s v="Electronics"/>
    <s v="South Korea"/>
    <s v="Shanghai"/>
    <s v="Rotterdam"/>
    <x v="3"/>
    <x v="6"/>
    <s v="High Cube"/>
    <n v="2"/>
    <s v="Chemicals"/>
    <n v="40616.410000000003"/>
    <n v="10161.209999999999"/>
    <n v="1707.32"/>
    <n v="931.68"/>
    <n v="406.16"/>
    <n v="538.83000000000004"/>
    <n v="2290.4"/>
    <n v="24580.81"/>
    <n v="4"/>
    <x v="1"/>
    <n v="84.68"/>
    <x v="0"/>
    <s v="Paid"/>
    <s v="High"/>
    <s v="J. Smith"/>
    <s v="North America"/>
    <x v="9"/>
  </r>
  <r>
    <x v="712"/>
    <s v="BK50713"/>
    <d v="2025-12-01T00:00:00"/>
    <d v="2025-12-02T00:00:00"/>
    <d v="2025-12-25T00:00:00"/>
    <x v="11"/>
    <s v="Automotive"/>
    <s v="Japan"/>
    <s v="Jebel Ali"/>
    <s v="Nhava Sheva"/>
    <x v="2"/>
    <x v="4"/>
    <s v="High Cube"/>
    <n v="4"/>
    <s v="Electronics"/>
    <n v="72116.63"/>
    <n v="12222.56"/>
    <n v="5315.38"/>
    <n v="1197.5"/>
    <n v="721.17"/>
    <n v="632.71"/>
    <n v="1589.39"/>
    <n v="50437.919999999998"/>
    <n v="0"/>
    <x v="3"/>
    <n v="101.85"/>
    <x v="1"/>
    <s v="Paid"/>
    <s v="Critical"/>
    <s v="A. Tan"/>
    <s v="Europe"/>
    <x v="2"/>
  </r>
  <r>
    <x v="713"/>
    <s v="BK50714"/>
    <d v="2025-08-05T00:00:00"/>
    <d v="2025-08-09T00:00:00"/>
    <d v="2025-09-06T00:00:00"/>
    <x v="10"/>
    <s v="E-commerce"/>
    <s v="USA"/>
    <s v="Singapore"/>
    <s v="Rotterdam"/>
    <x v="3"/>
    <x v="7"/>
    <s v="20FT"/>
    <n v="4"/>
    <s v="Auto Parts"/>
    <n v="144473.94"/>
    <n v="25543.81"/>
    <n v="9715.7999999999993"/>
    <n v="1934.69"/>
    <n v="1444.74"/>
    <n v="491.01"/>
    <n v="1759.89"/>
    <n v="103584"/>
    <n v="0"/>
    <x v="3"/>
    <n v="212.87"/>
    <x v="1"/>
    <s v="Paid"/>
    <s v="Critical"/>
    <s v="R. Mehta"/>
    <s v="Middle East"/>
    <x v="4"/>
  </r>
  <r>
    <x v="714"/>
    <s v="BK50715"/>
    <d v="2025-10-19T00:00:00"/>
    <d v="2025-10-20T00:00:00"/>
    <d v="2025-11-05T00:00:00"/>
    <x v="4"/>
    <s v="Manufacturing"/>
    <s v="Germany"/>
    <s v="Hamburg"/>
    <s v="Busan"/>
    <x v="1"/>
    <x v="1"/>
    <s v="Reefer"/>
    <n v="2"/>
    <s v="Furniture"/>
    <n v="15285"/>
    <n v="4219.3"/>
    <n v="890.18"/>
    <n v="221.52"/>
    <n v="152.85"/>
    <n v="276.79000000000002"/>
    <n v="768.98"/>
    <n v="8755.3799999999992"/>
    <n v="0"/>
    <x v="3"/>
    <n v="35.159999999999997"/>
    <x v="1"/>
    <s v="Paid"/>
    <s v="Critical"/>
    <s v="L. Chen"/>
    <s v="Middle East"/>
    <x v="7"/>
  </r>
  <r>
    <x v="715"/>
    <s v="BK50716"/>
    <d v="2025-10-10T00:00:00"/>
    <d v="2025-10-12T00:00:00"/>
    <d v="2025-11-06T00:00:00"/>
    <x v="8"/>
    <s v="Retail"/>
    <s v="Sweden"/>
    <s v="Busan"/>
    <s v="Los Angeles"/>
    <x v="0"/>
    <x v="7"/>
    <s v="Reefer"/>
    <n v="4"/>
    <s v="Food"/>
    <n v="110331.43"/>
    <n v="24936.1"/>
    <n v="6740.35"/>
    <n v="3058.67"/>
    <n v="1103.31"/>
    <n v="883.61"/>
    <n v="2101.98"/>
    <n v="71507.41"/>
    <n v="0"/>
    <x v="3"/>
    <n v="207.8"/>
    <x v="1"/>
    <s v="Pending"/>
    <s v="High"/>
    <s v="A. Tan"/>
    <s v="Asia"/>
    <x v="7"/>
  </r>
  <r>
    <x v="716"/>
    <s v="BK50717"/>
    <d v="2025-09-26T00:00:00"/>
    <d v="2025-09-30T00:00:00"/>
    <d v="2025-10-13T00:00:00"/>
    <x v="6"/>
    <s v="Pharma"/>
    <s v="USA"/>
    <s v="Nhava Sheva"/>
    <s v="Los Angeles"/>
    <x v="1"/>
    <x v="1"/>
    <s v="High Cube"/>
    <n v="2"/>
    <s v="Food"/>
    <n v="89056.17"/>
    <n v="23174.080000000002"/>
    <n v="7107.68"/>
    <n v="2544.17"/>
    <n v="890.56"/>
    <n v="719.79"/>
    <n v="1823.95"/>
    <n v="52795.94"/>
    <n v="0"/>
    <x v="3"/>
    <n v="193.12"/>
    <x v="1"/>
    <s v="Pending"/>
    <s v="Standard"/>
    <s v="L. Chen"/>
    <s v="Europe"/>
    <x v="3"/>
  </r>
  <r>
    <x v="717"/>
    <s v="BK50718"/>
    <d v="2025-04-01T00:00:00"/>
    <d v="2025-04-05T00:00:00"/>
    <d v="2025-05-03T00:00:00"/>
    <x v="1"/>
    <s v="FMCG"/>
    <s v="UK"/>
    <s v="Singapore"/>
    <s v="Rotterdam"/>
    <x v="3"/>
    <x v="7"/>
    <s v="Reefer"/>
    <n v="1"/>
    <s v="Electronics"/>
    <n v="30284.18"/>
    <n v="5503.75"/>
    <n v="1906.47"/>
    <n v="735.09"/>
    <n v="302.83999999999997"/>
    <n v="626.11"/>
    <n v="1254.54"/>
    <n v="19955.38"/>
    <n v="0"/>
    <x v="3"/>
    <n v="45.86"/>
    <x v="1"/>
    <s v="Pending"/>
    <s v="Critical"/>
    <s v="J. Smith"/>
    <s v="North America"/>
    <x v="10"/>
  </r>
  <r>
    <x v="718"/>
    <s v="BK50719"/>
    <d v="2025-08-05T00:00:00"/>
    <d v="2025-08-07T00:00:00"/>
    <d v="2025-09-03T00:00:00"/>
    <x v="1"/>
    <s v="FMCG"/>
    <s v="UK"/>
    <s v="Hamburg"/>
    <s v="Jebel Ali"/>
    <x v="1"/>
    <x v="2"/>
    <s v="20FT"/>
    <n v="2"/>
    <s v="Electronics"/>
    <n v="23379.03"/>
    <n v="6401.14"/>
    <n v="984.33"/>
    <n v="317.10000000000002"/>
    <n v="233.79"/>
    <n v="845.61"/>
    <n v="2062.17"/>
    <n v="12534.89"/>
    <n v="8"/>
    <x v="4"/>
    <n v="53.34"/>
    <x v="0"/>
    <s v="Pending"/>
    <s v="Critical"/>
    <s v="R. Mehta"/>
    <s v="Middle East"/>
    <x v="4"/>
  </r>
  <r>
    <x v="719"/>
    <s v="BK50720"/>
    <d v="2025-06-12T00:00:00"/>
    <d v="2025-06-14T00:00:00"/>
    <d v="2025-07-05T00:00:00"/>
    <x v="9"/>
    <s v="Engineering"/>
    <s v="Germany"/>
    <s v="Singapore"/>
    <s v="Rotterdam"/>
    <x v="3"/>
    <x v="0"/>
    <s v="High Cube"/>
    <n v="1"/>
    <s v="Food"/>
    <n v="36601.980000000003"/>
    <n v="9705.68"/>
    <n v="2085.3200000000002"/>
    <n v="685.59"/>
    <n v="366.02"/>
    <n v="616.37"/>
    <n v="2382.39"/>
    <n v="20760.61"/>
    <n v="36"/>
    <x v="0"/>
    <n v="80.88"/>
    <x v="0"/>
    <s v="Paid"/>
    <s v="Standard"/>
    <s v="M. Ahmed"/>
    <s v="North America"/>
    <x v="0"/>
  </r>
  <r>
    <x v="720"/>
    <s v="BK50721"/>
    <d v="2025-08-28T00:00:00"/>
    <d v="2025-08-30T00:00:00"/>
    <d v="2025-09-24T00:00:00"/>
    <x v="11"/>
    <s v="Automotive"/>
    <s v="Japan"/>
    <s v="Busan"/>
    <s v="Busan"/>
    <x v="1"/>
    <x v="6"/>
    <s v="High Cube"/>
    <n v="2"/>
    <s v="Furniture"/>
    <n v="31347.52"/>
    <n v="6440.96"/>
    <n v="1746.82"/>
    <n v="925.15"/>
    <n v="313.48"/>
    <n v="841.33"/>
    <n v="1255.08"/>
    <n v="19824.7"/>
    <n v="48"/>
    <x v="4"/>
    <n v="53.67"/>
    <x v="0"/>
    <s v="Paid"/>
    <s v="Critical"/>
    <s v="A. Tan"/>
    <s v="Asia"/>
    <x v="4"/>
  </r>
  <r>
    <x v="721"/>
    <s v="BK50722"/>
    <d v="2025-09-29T00:00:00"/>
    <d v="2025-09-30T00:00:00"/>
    <d v="2025-10-20T00:00:00"/>
    <x v="0"/>
    <s v="Retail"/>
    <s v="India"/>
    <s v="Colombo"/>
    <s v="Singapore"/>
    <x v="4"/>
    <x v="6"/>
    <s v="High Cube"/>
    <n v="4"/>
    <s v="Auto Parts"/>
    <n v="43397.3"/>
    <n v="7763.74"/>
    <n v="2810.96"/>
    <n v="1124.78"/>
    <n v="433.97"/>
    <n v="121.59"/>
    <n v="781.35"/>
    <n v="30360.91"/>
    <n v="24"/>
    <x v="5"/>
    <n v="64.7"/>
    <x v="0"/>
    <s v="Pending"/>
    <s v="High"/>
    <s v="M. Ahmed"/>
    <s v="Europe"/>
    <x v="3"/>
  </r>
  <r>
    <x v="722"/>
    <s v="BK50723"/>
    <d v="2025-06-07T00:00:00"/>
    <d v="2025-06-09T00:00:00"/>
    <d v="2025-07-03T00:00:00"/>
    <x v="5"/>
    <s v="Food"/>
    <s v="Switzerland"/>
    <s v="Colombo"/>
    <s v="Singapore"/>
    <x v="4"/>
    <x v="1"/>
    <s v="High Cube"/>
    <n v="2"/>
    <s v="Auto Parts"/>
    <n v="78723.820000000007"/>
    <n v="14709.63"/>
    <n v="5745.7"/>
    <n v="1546.22"/>
    <n v="787.24"/>
    <n v="183.35"/>
    <n v="1171.8"/>
    <n v="54579.88"/>
    <n v="0"/>
    <x v="3"/>
    <n v="122.58"/>
    <x v="1"/>
    <s v="Pending"/>
    <s v="Critical"/>
    <s v="L. Chen"/>
    <s v="Middle East"/>
    <x v="0"/>
  </r>
  <r>
    <x v="723"/>
    <s v="BK50724"/>
    <d v="2025-02-17T00:00:00"/>
    <d v="2025-02-21T00:00:00"/>
    <d v="2025-03-08T00:00:00"/>
    <x v="3"/>
    <s v="Electronics"/>
    <s v="South Korea"/>
    <s v="Shanghai"/>
    <s v="Rotterdam"/>
    <x v="3"/>
    <x v="0"/>
    <s v="20FT"/>
    <n v="1"/>
    <s v="Electronics"/>
    <n v="41145.769999999997"/>
    <n v="8964.15"/>
    <n v="1965.07"/>
    <n v="806.59"/>
    <n v="411.46"/>
    <n v="193.46"/>
    <n v="1863.12"/>
    <n v="26941.919999999998"/>
    <n v="48"/>
    <x v="0"/>
    <n v="74.7"/>
    <x v="0"/>
    <s v="Pending"/>
    <s v="High"/>
    <s v="J. Smith"/>
    <s v="Europe"/>
    <x v="9"/>
  </r>
  <r>
    <x v="724"/>
    <s v="BK50725"/>
    <d v="2025-01-03T00:00:00"/>
    <d v="2025-01-04T00:00:00"/>
    <d v="2025-01-25T00:00:00"/>
    <x v="11"/>
    <s v="Automotive"/>
    <s v="Japan"/>
    <s v="Nhava Sheva"/>
    <s v="Colombo"/>
    <x v="1"/>
    <x v="2"/>
    <s v="40FT"/>
    <n v="2"/>
    <s v="Textiles"/>
    <n v="24381.03"/>
    <n v="4792.7299999999996"/>
    <n v="1231.07"/>
    <n v="530.4"/>
    <n v="243.81"/>
    <n v="244.49"/>
    <n v="2081.11"/>
    <n v="15257.42"/>
    <n v="36"/>
    <x v="2"/>
    <n v="39.94"/>
    <x v="0"/>
    <s v="Pending"/>
    <s v="Critical"/>
    <s v="J. Smith"/>
    <s v="Middle East"/>
    <x v="11"/>
  </r>
  <r>
    <x v="725"/>
    <s v="BK50726"/>
    <d v="2025-05-18T00:00:00"/>
    <d v="2025-05-19T00:00:00"/>
    <d v="2025-05-29T00:00:00"/>
    <x v="10"/>
    <s v="E-commerce"/>
    <s v="USA"/>
    <s v="Shanghai"/>
    <s v="Hamburg"/>
    <x v="1"/>
    <x v="5"/>
    <s v="High Cube"/>
    <n v="1"/>
    <s v="Textiles"/>
    <n v="22529.8"/>
    <n v="4430.43"/>
    <n v="1110.96"/>
    <n v="262.66000000000003"/>
    <n v="225.3"/>
    <n v="716.99"/>
    <n v="2333.8200000000002"/>
    <n v="13449.64"/>
    <n v="8"/>
    <x v="4"/>
    <n v="36.92"/>
    <x v="0"/>
    <s v="Pending"/>
    <s v="Standard"/>
    <s v="A. Tan"/>
    <s v="Middle East"/>
    <x v="6"/>
  </r>
  <r>
    <x v="726"/>
    <s v="BK50727"/>
    <d v="2025-02-18T00:00:00"/>
    <d v="2025-02-21T00:00:00"/>
    <d v="2025-03-19T00:00:00"/>
    <x v="11"/>
    <s v="Automotive"/>
    <s v="Japan"/>
    <s v="Shanghai"/>
    <s v="Rotterdam"/>
    <x v="3"/>
    <x v="4"/>
    <s v="20FT"/>
    <n v="4"/>
    <s v="Food"/>
    <n v="105787.9"/>
    <n v="17737.46"/>
    <n v="5822.04"/>
    <n v="1193.9100000000001"/>
    <n v="1057.8800000000001"/>
    <n v="599.16"/>
    <n v="686.06"/>
    <n v="78691.39"/>
    <n v="0"/>
    <x v="3"/>
    <n v="147.81"/>
    <x v="1"/>
    <s v="Paid"/>
    <s v="Critical"/>
    <s v="J. Smith"/>
    <s v="North America"/>
    <x v="9"/>
  </r>
  <r>
    <x v="727"/>
    <s v="BK50728"/>
    <d v="2025-08-17T00:00:00"/>
    <d v="2025-08-21T00:00:00"/>
    <d v="2025-09-11T00:00:00"/>
    <x v="11"/>
    <s v="Automotive"/>
    <s v="Japan"/>
    <s v="Hamburg"/>
    <s v="Hamburg"/>
    <x v="1"/>
    <x v="5"/>
    <s v="20FT"/>
    <n v="2"/>
    <s v="Auto Parts"/>
    <n v="54410.95"/>
    <n v="9833.6200000000008"/>
    <n v="3314.01"/>
    <n v="1056.31"/>
    <n v="544.11"/>
    <n v="294.13"/>
    <n v="878.27"/>
    <n v="38490.5"/>
    <n v="48"/>
    <x v="0"/>
    <n v="81.95"/>
    <x v="0"/>
    <s v="Pending"/>
    <s v="Standard"/>
    <s v="M. Ahmed"/>
    <s v="Asia"/>
    <x v="4"/>
  </r>
  <r>
    <x v="728"/>
    <s v="BK50729"/>
    <d v="2025-05-23T00:00:00"/>
    <d v="2025-05-26T00:00:00"/>
    <d v="2025-06-14T00:00:00"/>
    <x v="7"/>
    <s v="Retail"/>
    <s v="Germany"/>
    <s v="Colombo"/>
    <s v="Singapore"/>
    <x v="4"/>
    <x v="5"/>
    <s v="40FT"/>
    <n v="2"/>
    <s v="Food"/>
    <n v="77918.52"/>
    <n v="18903.05"/>
    <n v="4952.46"/>
    <n v="1522.13"/>
    <n v="779.19"/>
    <n v="266.11"/>
    <n v="1634.74"/>
    <n v="49860.84"/>
    <n v="12"/>
    <x v="1"/>
    <n v="157.53"/>
    <x v="0"/>
    <s v="Paid"/>
    <s v="High"/>
    <s v="L. Chen"/>
    <s v="Asia"/>
    <x v="6"/>
  </r>
  <r>
    <x v="729"/>
    <s v="BK50730"/>
    <d v="2025-09-22T00:00:00"/>
    <d v="2025-09-26T00:00:00"/>
    <d v="2025-10-09T00:00:00"/>
    <x v="6"/>
    <s v="Pharma"/>
    <s v="USA"/>
    <s v="Nhava Sheva"/>
    <s v="Jebel Ali"/>
    <x v="1"/>
    <x v="0"/>
    <s v="High Cube"/>
    <n v="2"/>
    <s v="Textiles"/>
    <n v="55353.75"/>
    <n v="10466.91"/>
    <n v="3195.93"/>
    <n v="600"/>
    <n v="553.54"/>
    <n v="620.36"/>
    <n v="2420.37"/>
    <n v="37496.639999999999"/>
    <n v="36"/>
    <x v="0"/>
    <n v="87.22"/>
    <x v="0"/>
    <s v="Pending"/>
    <s v="Critical"/>
    <s v="L. Chen"/>
    <s v="North America"/>
    <x v="3"/>
  </r>
  <r>
    <x v="730"/>
    <s v="BK50731"/>
    <d v="2025-03-03T00:00:00"/>
    <d v="2025-03-06T00:00:00"/>
    <d v="2025-04-03T00:00:00"/>
    <x v="7"/>
    <s v="Retail"/>
    <s v="Germany"/>
    <s v="Singapore"/>
    <s v="Rotterdam"/>
    <x v="3"/>
    <x v="3"/>
    <s v="Reefer"/>
    <n v="4"/>
    <s v="Electronics"/>
    <n v="149936.16"/>
    <n v="32687.62"/>
    <n v="9054.77"/>
    <n v="4003.93"/>
    <n v="1499.36"/>
    <n v="746.51"/>
    <n v="2256.83"/>
    <n v="99687.14"/>
    <n v="0"/>
    <x v="3"/>
    <n v="272.39999999999998"/>
    <x v="1"/>
    <s v="Paid"/>
    <s v="Standard"/>
    <s v="R. Mehta"/>
    <s v="Middle East"/>
    <x v="5"/>
  </r>
  <r>
    <x v="731"/>
    <s v="BK50732"/>
    <d v="2025-12-21T00:00:00"/>
    <d v="2025-12-23T00:00:00"/>
    <d v="2026-01-14T00:00:00"/>
    <x v="4"/>
    <s v="Manufacturing"/>
    <s v="Germany"/>
    <s v="Jebel Ali"/>
    <s v="Nhava Sheva"/>
    <x v="2"/>
    <x v="5"/>
    <s v="20FT"/>
    <n v="4"/>
    <s v="Food"/>
    <n v="32804.949999999997"/>
    <n v="5894.93"/>
    <n v="1587.3"/>
    <n v="816.24"/>
    <n v="328.05"/>
    <n v="535.02"/>
    <n v="1995.07"/>
    <n v="21648.34"/>
    <n v="8"/>
    <x v="2"/>
    <n v="49.12"/>
    <x v="0"/>
    <s v="Paid"/>
    <s v="High"/>
    <s v="L. Chen"/>
    <s v="Asia"/>
    <x v="2"/>
  </r>
  <r>
    <x v="732"/>
    <s v="BK50733"/>
    <d v="2025-08-06T00:00:00"/>
    <d v="2025-08-10T00:00:00"/>
    <d v="2025-09-04T00:00:00"/>
    <x v="0"/>
    <s v="Retail"/>
    <s v="India"/>
    <s v="Los Angeles"/>
    <s v="Colombo"/>
    <x v="1"/>
    <x v="4"/>
    <s v="20FT"/>
    <n v="4"/>
    <s v="Electronics"/>
    <n v="43574.66"/>
    <n v="8686.7199999999993"/>
    <n v="2069.7199999999998"/>
    <n v="697.51"/>
    <n v="435.75"/>
    <n v="155.24"/>
    <n v="2306.9899999999998"/>
    <n v="29222.73"/>
    <n v="4"/>
    <x v="4"/>
    <n v="72.39"/>
    <x v="0"/>
    <s v="Pending"/>
    <s v="Standard"/>
    <s v="L. Chen"/>
    <s v="North America"/>
    <x v="4"/>
  </r>
  <r>
    <x v="733"/>
    <s v="BK50734"/>
    <d v="2025-03-25T00:00:00"/>
    <d v="2025-03-29T00:00:00"/>
    <d v="2025-04-23T00:00:00"/>
    <x v="9"/>
    <s v="Engineering"/>
    <s v="Germany"/>
    <s v="Nhava Sheva"/>
    <s v="Nhava Sheva"/>
    <x v="1"/>
    <x v="7"/>
    <s v="20FT"/>
    <n v="4"/>
    <s v="Machinery"/>
    <n v="114825.85"/>
    <n v="34160.49"/>
    <n v="7477.02"/>
    <n v="3113.35"/>
    <n v="1148.26"/>
    <n v="245.1"/>
    <n v="2130.9499999999998"/>
    <n v="66550.679999999993"/>
    <n v="4"/>
    <x v="5"/>
    <n v="284.67"/>
    <x v="0"/>
    <s v="Pending"/>
    <s v="Critical"/>
    <s v="L. Chen"/>
    <s v="North America"/>
    <x v="5"/>
  </r>
  <r>
    <x v="734"/>
    <s v="BK50735"/>
    <d v="2025-12-04T00:00:00"/>
    <d v="2025-12-05T00:00:00"/>
    <d v="2025-12-22T00:00:00"/>
    <x v="5"/>
    <s v="Food"/>
    <s v="Switzerland"/>
    <s v="Colombo"/>
    <s v="Singapore"/>
    <x v="4"/>
    <x v="1"/>
    <s v="High Cube"/>
    <n v="2"/>
    <s v="Chemicals"/>
    <n v="26530.37"/>
    <n v="4776.05"/>
    <n v="1746.62"/>
    <n v="383.11"/>
    <n v="265.3"/>
    <n v="767.6"/>
    <n v="2277.36"/>
    <n v="16314.33"/>
    <n v="0"/>
    <x v="3"/>
    <n v="39.799999999999997"/>
    <x v="1"/>
    <s v="Pending"/>
    <s v="Standard"/>
    <s v="A. Tan"/>
    <s v="Europe"/>
    <x v="2"/>
  </r>
  <r>
    <x v="735"/>
    <s v="BK50736"/>
    <d v="2025-05-02T00:00:00"/>
    <d v="2025-05-06T00:00:00"/>
    <d v="2025-06-03T00:00:00"/>
    <x v="3"/>
    <s v="Electronics"/>
    <s v="South Korea"/>
    <s v="Singapore"/>
    <s v="Rotterdam"/>
    <x v="3"/>
    <x v="6"/>
    <s v="Reefer"/>
    <n v="2"/>
    <s v="Chemicals"/>
    <n v="41362.46"/>
    <n v="10677.81"/>
    <n v="2541.34"/>
    <n v="1016.81"/>
    <n v="413.62"/>
    <n v="140.6"/>
    <n v="546.69000000000005"/>
    <n v="26025.59"/>
    <n v="4"/>
    <x v="2"/>
    <n v="88.98"/>
    <x v="0"/>
    <s v="Paid"/>
    <s v="Critical"/>
    <s v="L. Chen"/>
    <s v="Europe"/>
    <x v="6"/>
  </r>
  <r>
    <x v="736"/>
    <s v="BK50737"/>
    <d v="2025-10-30T00:00:00"/>
    <d v="2025-10-31T00:00:00"/>
    <d v="2025-11-14T00:00:00"/>
    <x v="4"/>
    <s v="Manufacturing"/>
    <s v="Germany"/>
    <s v="Jebel Ali"/>
    <s v="Nhava Sheva"/>
    <x v="2"/>
    <x v="3"/>
    <s v="40FT"/>
    <n v="4"/>
    <s v="Electronics"/>
    <n v="40909.07"/>
    <n v="8697.34"/>
    <n v="1996.64"/>
    <n v="866.73"/>
    <n v="409.09"/>
    <n v="834.98"/>
    <n v="1320.8"/>
    <n v="26783.49"/>
    <n v="0"/>
    <x v="3"/>
    <n v="72.48"/>
    <x v="1"/>
    <s v="Pending"/>
    <s v="Critical"/>
    <s v="M. Ahmed"/>
    <s v="North America"/>
    <x v="7"/>
  </r>
  <r>
    <x v="737"/>
    <s v="BK50738"/>
    <d v="2025-11-09T00:00:00"/>
    <d v="2025-11-12T00:00:00"/>
    <d v="2025-11-27T00:00:00"/>
    <x v="1"/>
    <s v="FMCG"/>
    <s v="UK"/>
    <s v="Shanghai"/>
    <s v="Rotterdam"/>
    <x v="3"/>
    <x v="0"/>
    <s v="40FT"/>
    <n v="4"/>
    <s v="Auto Parts"/>
    <n v="65741.03"/>
    <n v="13897.64"/>
    <n v="3778.79"/>
    <n v="684.42"/>
    <n v="657.41"/>
    <n v="785.7"/>
    <n v="1460.02"/>
    <n v="44477.05"/>
    <n v="12"/>
    <x v="4"/>
    <n v="115.81"/>
    <x v="0"/>
    <s v="Pending"/>
    <s v="Standard"/>
    <s v="A. Tan"/>
    <s v="Asia"/>
    <x v="8"/>
  </r>
  <r>
    <x v="738"/>
    <s v="BK50739"/>
    <d v="2025-12-19T00:00:00"/>
    <d v="2025-12-23T00:00:00"/>
    <d v="2026-01-17T00:00:00"/>
    <x v="0"/>
    <s v="Retail"/>
    <s v="India"/>
    <s v="Singapore"/>
    <s v="Rotterdam"/>
    <x v="3"/>
    <x v="5"/>
    <s v="20FT"/>
    <n v="4"/>
    <s v="Textiles"/>
    <n v="77872.45"/>
    <n v="12919.67"/>
    <n v="4360.5600000000004"/>
    <n v="1561.65"/>
    <n v="778.72"/>
    <n v="895.66"/>
    <n v="1761.27"/>
    <n v="55594.92"/>
    <n v="24"/>
    <x v="4"/>
    <n v="107.66"/>
    <x v="0"/>
    <s v="Pending"/>
    <s v="Standard"/>
    <s v="J. Smith"/>
    <s v="Europe"/>
    <x v="2"/>
  </r>
  <r>
    <x v="739"/>
    <s v="BK50740"/>
    <d v="2025-09-07T00:00:00"/>
    <d v="2025-09-10T00:00:00"/>
    <d v="2025-09-21T00:00:00"/>
    <x v="1"/>
    <s v="FMCG"/>
    <s v="UK"/>
    <s v="Jebel Ali"/>
    <s v="Nhava Sheva"/>
    <x v="2"/>
    <x v="4"/>
    <s v="Reefer"/>
    <n v="4"/>
    <s v="Chemicals"/>
    <n v="178225.09"/>
    <n v="32908.769999999997"/>
    <n v="13627.97"/>
    <n v="1871.51"/>
    <n v="1782.25"/>
    <n v="166.32"/>
    <n v="972.16"/>
    <n v="126896.11"/>
    <n v="0"/>
    <x v="3"/>
    <n v="274.24"/>
    <x v="1"/>
    <s v="Paid"/>
    <s v="Critical"/>
    <s v="M. Ahmed"/>
    <s v="North America"/>
    <x v="3"/>
  </r>
  <r>
    <x v="740"/>
    <s v="BK50741"/>
    <d v="2025-08-03T00:00:00"/>
    <d v="2025-08-06T00:00:00"/>
    <d v="2025-08-28T00:00:00"/>
    <x v="2"/>
    <s v="Electronics"/>
    <s v="South Korea"/>
    <s v="New York"/>
    <s v="Busan"/>
    <x v="1"/>
    <x v="5"/>
    <s v="Reefer"/>
    <n v="2"/>
    <s v="Machinery"/>
    <n v="27135.42"/>
    <n v="7159.82"/>
    <n v="1870.45"/>
    <n v="569.79999999999995"/>
    <n v="271.35000000000002"/>
    <n v="814.2"/>
    <n v="1861.08"/>
    <n v="14588.72"/>
    <n v="48"/>
    <x v="0"/>
    <n v="59.67"/>
    <x v="0"/>
    <s v="Paid"/>
    <s v="Standard"/>
    <s v="M. Ahmed"/>
    <s v="Asia"/>
    <x v="4"/>
  </r>
  <r>
    <x v="741"/>
    <s v="BK50742"/>
    <d v="2025-07-20T00:00:00"/>
    <d v="2025-07-22T00:00:00"/>
    <d v="2025-08-11T00:00:00"/>
    <x v="6"/>
    <s v="Pharma"/>
    <s v="USA"/>
    <s v="Jebel Ali"/>
    <s v="Shanghai"/>
    <x v="1"/>
    <x v="0"/>
    <s v="20FT"/>
    <n v="2"/>
    <s v="Textiles"/>
    <n v="33868.589999999997"/>
    <n v="6170.8"/>
    <n v="2677.35"/>
    <n v="399.15"/>
    <n v="338.69"/>
    <n v="674.66"/>
    <n v="1771.34"/>
    <n v="21836.6"/>
    <n v="36"/>
    <x v="4"/>
    <n v="51.42"/>
    <x v="0"/>
    <s v="Paid"/>
    <s v="Standard"/>
    <s v="A. Tan"/>
    <s v="Asia"/>
    <x v="1"/>
  </r>
  <r>
    <x v="742"/>
    <s v="BK50743"/>
    <d v="2025-03-20T00:00:00"/>
    <d v="2025-03-22T00:00:00"/>
    <d v="2025-04-01T00:00:00"/>
    <x v="9"/>
    <s v="Engineering"/>
    <s v="Germany"/>
    <s v="Singapore"/>
    <s v="Rotterdam"/>
    <x v="3"/>
    <x v="0"/>
    <s v="40FT"/>
    <n v="4"/>
    <s v="Machinery"/>
    <n v="96897.41"/>
    <n v="21947.86"/>
    <n v="6569.02"/>
    <n v="1063.31"/>
    <n v="968.97"/>
    <n v="278.24"/>
    <n v="1454.93"/>
    <n v="64615.08"/>
    <n v="4"/>
    <x v="0"/>
    <n v="182.9"/>
    <x v="0"/>
    <s v="Pending"/>
    <s v="Standard"/>
    <s v="L. Chen"/>
    <s v="Europe"/>
    <x v="5"/>
  </r>
  <r>
    <x v="743"/>
    <s v="BK50744"/>
    <d v="2025-11-21T00:00:00"/>
    <d v="2025-11-24T00:00:00"/>
    <d v="2025-12-04T00:00:00"/>
    <x v="3"/>
    <s v="Electronics"/>
    <s v="South Korea"/>
    <s v="Nhava Sheva"/>
    <s v="New York"/>
    <x v="1"/>
    <x v="3"/>
    <s v="20FT"/>
    <n v="1"/>
    <s v="Auto Parts"/>
    <n v="23148.720000000001"/>
    <n v="6833.19"/>
    <n v="1341.31"/>
    <n v="634.09"/>
    <n v="231.49"/>
    <n v="490.29"/>
    <n v="2104.25"/>
    <n v="11514.1"/>
    <n v="12"/>
    <x v="4"/>
    <n v="56.94"/>
    <x v="0"/>
    <s v="Paid"/>
    <s v="Standard"/>
    <s v="A. Tan"/>
    <s v="Middle East"/>
    <x v="8"/>
  </r>
  <r>
    <x v="744"/>
    <s v="BK50745"/>
    <d v="2025-02-03T00:00:00"/>
    <d v="2025-02-04T00:00:00"/>
    <d v="2025-02-24T00:00:00"/>
    <x v="5"/>
    <s v="Food"/>
    <s v="Switzerland"/>
    <s v="Singapore"/>
    <s v="Rotterdam"/>
    <x v="3"/>
    <x v="4"/>
    <s v="Reefer"/>
    <n v="2"/>
    <s v="Machinery"/>
    <n v="55850.3"/>
    <n v="12888.54"/>
    <n v="4251.1400000000003"/>
    <n v="1166.51"/>
    <n v="558.5"/>
    <n v="324.74"/>
    <n v="390.74"/>
    <n v="36270.129999999997"/>
    <n v="0"/>
    <x v="3"/>
    <n v="107.4"/>
    <x v="1"/>
    <s v="Pending"/>
    <s v="Standard"/>
    <s v="M. Ahmed"/>
    <s v="North America"/>
    <x v="9"/>
  </r>
  <r>
    <x v="745"/>
    <s v="BK50746"/>
    <d v="2025-01-24T00:00:00"/>
    <d v="2025-01-28T00:00:00"/>
    <d v="2025-02-15T00:00:00"/>
    <x v="1"/>
    <s v="FMCG"/>
    <s v="UK"/>
    <s v="Busan"/>
    <s v="Los Angeles"/>
    <x v="0"/>
    <x v="5"/>
    <s v="40FT"/>
    <n v="2"/>
    <s v="Textiles"/>
    <n v="66939.02"/>
    <n v="15777.19"/>
    <n v="3326.02"/>
    <n v="1083.76"/>
    <n v="669.39"/>
    <n v="166.85"/>
    <n v="1507.67"/>
    <n v="44408.14"/>
    <n v="0"/>
    <x v="3"/>
    <n v="131.47999999999999"/>
    <x v="1"/>
    <s v="Paid"/>
    <s v="Critical"/>
    <s v="A. Tan"/>
    <s v="Middle East"/>
    <x v="11"/>
  </r>
  <r>
    <x v="746"/>
    <s v="BK50747"/>
    <d v="2025-06-21T00:00:00"/>
    <d v="2025-06-24T00:00:00"/>
    <d v="2025-07-08T00:00:00"/>
    <x v="4"/>
    <s v="Manufacturing"/>
    <s v="Germany"/>
    <s v="Nhava Sheva"/>
    <s v="Nhava Sheva"/>
    <x v="1"/>
    <x v="2"/>
    <s v="40FT"/>
    <n v="4"/>
    <s v="Furniture"/>
    <n v="167817.04"/>
    <n v="38977.589999999997"/>
    <n v="12813.21"/>
    <n v="2086.0700000000002"/>
    <n v="1678.17"/>
    <n v="817.9"/>
    <n v="2246.08"/>
    <n v="109198.02"/>
    <n v="8"/>
    <x v="4"/>
    <n v="324.81"/>
    <x v="0"/>
    <s v="Pending"/>
    <s v="Standard"/>
    <s v="J. Smith"/>
    <s v="Asia"/>
    <x v="0"/>
  </r>
  <r>
    <x v="747"/>
    <s v="BK50748"/>
    <d v="2025-11-02T00:00:00"/>
    <d v="2025-11-04T00:00:00"/>
    <d v="2025-11-30T00:00:00"/>
    <x v="6"/>
    <s v="Pharma"/>
    <s v="USA"/>
    <s v="Colombo"/>
    <s v="Singapore"/>
    <x v="4"/>
    <x v="2"/>
    <s v="40FT"/>
    <n v="2"/>
    <s v="Chemicals"/>
    <n v="46807.45"/>
    <n v="12147.41"/>
    <n v="2302.36"/>
    <n v="840.16"/>
    <n v="468.07"/>
    <n v="651.66999999999996"/>
    <n v="1478.92"/>
    <n v="28918.86"/>
    <n v="12"/>
    <x v="0"/>
    <n v="101.23"/>
    <x v="0"/>
    <s v="Paid"/>
    <s v="Critical"/>
    <s v="J. Smith"/>
    <s v="North America"/>
    <x v="8"/>
  </r>
  <r>
    <x v="748"/>
    <s v="BK50749"/>
    <d v="2025-11-12T00:00:00"/>
    <d v="2025-11-13T00:00:00"/>
    <d v="2025-12-02T00:00:00"/>
    <x v="7"/>
    <s v="Retail"/>
    <s v="Germany"/>
    <s v="Shanghai"/>
    <s v="Rotterdam"/>
    <x v="3"/>
    <x v="7"/>
    <s v="20FT"/>
    <n v="2"/>
    <s v="Furniture"/>
    <n v="42228.63"/>
    <n v="12621.35"/>
    <n v="2153.69"/>
    <n v="1182.3599999999999"/>
    <n v="422.29"/>
    <n v="614.65"/>
    <n v="947.25"/>
    <n v="24287.040000000001"/>
    <n v="12"/>
    <x v="2"/>
    <n v="105.18"/>
    <x v="0"/>
    <s v="Pending"/>
    <s v="Critical"/>
    <s v="L. Chen"/>
    <s v="Asia"/>
    <x v="8"/>
  </r>
  <r>
    <x v="749"/>
    <s v="BK50750"/>
    <d v="2025-03-11T00:00:00"/>
    <d v="2025-03-15T00:00:00"/>
    <d v="2025-04-08T00:00:00"/>
    <x v="8"/>
    <s v="Retail"/>
    <s v="Sweden"/>
    <s v="Colombo"/>
    <s v="Singapore"/>
    <x v="4"/>
    <x v="3"/>
    <s v="40FT"/>
    <n v="2"/>
    <s v="Auto Parts"/>
    <n v="33045.47"/>
    <n v="6700.6"/>
    <n v="2580.29"/>
    <n v="956.89"/>
    <n v="330.45"/>
    <n v="627.88"/>
    <n v="1209.8699999999999"/>
    <n v="20639.490000000002"/>
    <n v="36"/>
    <x v="5"/>
    <n v="55.84"/>
    <x v="0"/>
    <s v="Paid"/>
    <s v="Standard"/>
    <s v="M. Ahmed"/>
    <s v="Europe"/>
    <x v="5"/>
  </r>
  <r>
    <x v="750"/>
    <s v="BK50751"/>
    <d v="2025-08-22T00:00:00"/>
    <d v="2025-08-24T00:00:00"/>
    <d v="2025-09-07T00:00:00"/>
    <x v="11"/>
    <s v="Automotive"/>
    <s v="Japan"/>
    <s v="Jebel Ali"/>
    <s v="Nhava Sheva"/>
    <x v="2"/>
    <x v="2"/>
    <s v="20FT"/>
    <n v="2"/>
    <s v="Chemicals"/>
    <n v="70120.02"/>
    <n v="11961.28"/>
    <n v="2818.03"/>
    <n v="1660.29"/>
    <n v="701.2"/>
    <n v="632.57000000000005"/>
    <n v="1683.8"/>
    <n v="50662.85"/>
    <n v="4"/>
    <x v="1"/>
    <n v="99.68"/>
    <x v="0"/>
    <s v="Paid"/>
    <s v="Critical"/>
    <s v="R. Mehta"/>
    <s v="Europe"/>
    <x v="4"/>
  </r>
  <r>
    <x v="751"/>
    <s v="BK50752"/>
    <d v="2025-07-23T00:00:00"/>
    <d v="2025-07-24T00:00:00"/>
    <d v="2025-08-05T00:00:00"/>
    <x v="11"/>
    <s v="Automotive"/>
    <s v="Japan"/>
    <s v="Shanghai"/>
    <s v="Rotterdam"/>
    <x v="3"/>
    <x v="2"/>
    <s v="High Cube"/>
    <n v="1"/>
    <s v="Textiles"/>
    <n v="11291.6"/>
    <n v="2094.6799999999998"/>
    <n v="457.49"/>
    <n v="206.53"/>
    <n v="112.92"/>
    <n v="182.6"/>
    <n v="2288.61"/>
    <n v="5948.77"/>
    <n v="0"/>
    <x v="3"/>
    <n v="17.46"/>
    <x v="1"/>
    <s v="Paid"/>
    <s v="High"/>
    <s v="J. Smith"/>
    <s v="Middle East"/>
    <x v="1"/>
  </r>
  <r>
    <x v="752"/>
    <s v="BK50753"/>
    <d v="2025-11-14T00:00:00"/>
    <d v="2025-11-18T00:00:00"/>
    <d v="2025-12-07T00:00:00"/>
    <x v="2"/>
    <s v="Electronics"/>
    <s v="South Korea"/>
    <s v="Jebel Ali"/>
    <s v="Nhava Sheva"/>
    <x v="1"/>
    <x v="2"/>
    <s v="20FT"/>
    <n v="1"/>
    <s v="Textiles"/>
    <n v="31445.63"/>
    <n v="5168.79"/>
    <n v="1920.33"/>
    <n v="694.85"/>
    <n v="314.45999999999998"/>
    <n v="152.6"/>
    <n v="1358.82"/>
    <n v="21835.78"/>
    <n v="36"/>
    <x v="5"/>
    <n v="43.07"/>
    <x v="0"/>
    <s v="Pending"/>
    <s v="Critical"/>
    <s v="J. Smith"/>
    <s v="Middle East"/>
    <x v="8"/>
  </r>
  <r>
    <x v="753"/>
    <s v="BK50754"/>
    <d v="2025-02-15T00:00:00"/>
    <d v="2025-02-19T00:00:00"/>
    <d v="2025-03-09T00:00:00"/>
    <x v="2"/>
    <s v="Electronics"/>
    <s v="South Korea"/>
    <s v="Los Angeles"/>
    <s v="Shanghai"/>
    <x v="1"/>
    <x v="5"/>
    <s v="High Cube"/>
    <n v="2"/>
    <s v="Textiles"/>
    <n v="84478.57"/>
    <n v="14241.66"/>
    <n v="4899.41"/>
    <n v="1608.77"/>
    <n v="844.79"/>
    <n v="858.98"/>
    <n v="1161.24"/>
    <n v="60863.72"/>
    <n v="0"/>
    <x v="3"/>
    <n v="118.68"/>
    <x v="1"/>
    <s v="Pending"/>
    <s v="Critical"/>
    <s v="J. Smith"/>
    <s v="Middle East"/>
    <x v="9"/>
  </r>
  <r>
    <x v="754"/>
    <s v="BK50755"/>
    <d v="2025-09-01T00:00:00"/>
    <d v="2025-09-04T00:00:00"/>
    <d v="2025-09-29T00:00:00"/>
    <x v="11"/>
    <s v="Automotive"/>
    <s v="Japan"/>
    <s v="New York"/>
    <s v="Hamburg"/>
    <x v="1"/>
    <x v="7"/>
    <s v="20FT"/>
    <n v="4"/>
    <s v="Textiles"/>
    <n v="24478.54"/>
    <n v="6126.96"/>
    <n v="1687.99"/>
    <n v="319.38"/>
    <n v="244.79"/>
    <n v="626.63"/>
    <n v="1660.38"/>
    <n v="13812.41"/>
    <n v="0"/>
    <x v="3"/>
    <n v="51.06"/>
    <x v="1"/>
    <s v="Pending"/>
    <s v="High"/>
    <s v="L. Chen"/>
    <s v="Middle East"/>
    <x v="3"/>
  </r>
  <r>
    <x v="755"/>
    <s v="BK50756"/>
    <d v="2025-02-12T00:00:00"/>
    <d v="2025-02-15T00:00:00"/>
    <d v="2025-03-12T00:00:00"/>
    <x v="11"/>
    <s v="Automotive"/>
    <s v="Japan"/>
    <s v="New York"/>
    <s v="Busan"/>
    <x v="1"/>
    <x v="7"/>
    <s v="40FT"/>
    <n v="2"/>
    <s v="Textiles"/>
    <n v="79754.429999999993"/>
    <n v="13700.84"/>
    <n v="4296.09"/>
    <n v="2170.66"/>
    <n v="797.54"/>
    <n v="454.35"/>
    <n v="2131.7600000000002"/>
    <n v="56203.19"/>
    <n v="0"/>
    <x v="3"/>
    <n v="114.17"/>
    <x v="1"/>
    <s v="Pending"/>
    <s v="High"/>
    <s v="A. Tan"/>
    <s v="Asia"/>
    <x v="9"/>
  </r>
  <r>
    <x v="756"/>
    <s v="BK50757"/>
    <d v="2025-03-29T00:00:00"/>
    <d v="2025-03-31T00:00:00"/>
    <d v="2025-04-14T00:00:00"/>
    <x v="10"/>
    <s v="E-commerce"/>
    <s v="USA"/>
    <s v="Colombo"/>
    <s v="Singapore"/>
    <x v="4"/>
    <x v="5"/>
    <s v="High Cube"/>
    <n v="2"/>
    <s v="Auto Parts"/>
    <n v="14093"/>
    <n v="2431.1799999999998"/>
    <n v="865.39"/>
    <n v="378.75"/>
    <n v="140.93"/>
    <n v="523.36"/>
    <n v="2372.41"/>
    <n v="7380.98"/>
    <n v="0"/>
    <x v="3"/>
    <n v="20.260000000000002"/>
    <x v="1"/>
    <s v="Pending"/>
    <s v="Critical"/>
    <s v="R. Mehta"/>
    <s v="Middle East"/>
    <x v="5"/>
  </r>
  <r>
    <x v="757"/>
    <s v="BK50758"/>
    <d v="2025-03-29T00:00:00"/>
    <d v="2025-04-02T00:00:00"/>
    <d v="2025-04-23T00:00:00"/>
    <x v="0"/>
    <s v="Retail"/>
    <s v="India"/>
    <s v="Colombo"/>
    <s v="Singapore"/>
    <x v="4"/>
    <x v="5"/>
    <s v="40FT"/>
    <n v="2"/>
    <s v="Electronics"/>
    <n v="28561.45"/>
    <n v="7231.68"/>
    <n v="1284.56"/>
    <n v="837.35"/>
    <n v="285.61"/>
    <n v="346.56"/>
    <n v="1003.9"/>
    <n v="17571.79"/>
    <n v="4"/>
    <x v="1"/>
    <n v="60.26"/>
    <x v="0"/>
    <s v="Pending"/>
    <s v="Critical"/>
    <s v="A. Tan"/>
    <s v="Asia"/>
    <x v="5"/>
  </r>
  <r>
    <x v="758"/>
    <s v="BK50759"/>
    <d v="2025-12-26T00:00:00"/>
    <d v="2025-12-27T00:00:00"/>
    <d v="2026-01-23T00:00:00"/>
    <x v="6"/>
    <s v="Pharma"/>
    <s v="USA"/>
    <s v="Shanghai"/>
    <s v="Rotterdam"/>
    <x v="3"/>
    <x v="6"/>
    <s v="20FT"/>
    <n v="4"/>
    <s v="Textiles"/>
    <n v="126472.71"/>
    <n v="33300.370000000003"/>
    <n v="6893.1"/>
    <n v="1962.43"/>
    <n v="1264.73"/>
    <n v="695"/>
    <n v="606.44000000000005"/>
    <n v="81750.64"/>
    <n v="12"/>
    <x v="1"/>
    <n v="277.5"/>
    <x v="0"/>
    <s v="Pending"/>
    <s v="High"/>
    <s v="R. Mehta"/>
    <s v="Europe"/>
    <x v="2"/>
  </r>
  <r>
    <x v="759"/>
    <s v="BK50760"/>
    <d v="2025-01-05T00:00:00"/>
    <d v="2025-01-07T00:00:00"/>
    <d v="2025-01-17T00:00:00"/>
    <x v="0"/>
    <s v="Retail"/>
    <s v="India"/>
    <s v="Colombo"/>
    <s v="Singapore"/>
    <x v="4"/>
    <x v="7"/>
    <s v="High Cube"/>
    <n v="1"/>
    <s v="Food"/>
    <n v="30557.77"/>
    <n v="6327.7"/>
    <n v="1296.25"/>
    <n v="625.66"/>
    <n v="305.58"/>
    <n v="487.2"/>
    <n v="1697.35"/>
    <n v="19818.03"/>
    <n v="4"/>
    <x v="4"/>
    <n v="52.73"/>
    <x v="0"/>
    <s v="Paid"/>
    <s v="High"/>
    <s v="R. Mehta"/>
    <s v="Europe"/>
    <x v="11"/>
  </r>
  <r>
    <x v="760"/>
    <s v="BK50761"/>
    <d v="2025-12-20T00:00:00"/>
    <d v="2025-12-22T00:00:00"/>
    <d v="2026-01-11T00:00:00"/>
    <x v="2"/>
    <s v="Electronics"/>
    <s v="South Korea"/>
    <s v="Colombo"/>
    <s v="Singapore"/>
    <x v="4"/>
    <x v="5"/>
    <s v="High Cube"/>
    <n v="2"/>
    <s v="Textiles"/>
    <n v="52758.43"/>
    <n v="9634.3799999999992"/>
    <n v="3169.57"/>
    <n v="1137.97"/>
    <n v="527.58000000000004"/>
    <n v="232.72"/>
    <n v="766.68"/>
    <n v="37289.53"/>
    <n v="24"/>
    <x v="0"/>
    <n v="80.290000000000006"/>
    <x v="0"/>
    <s v="Pending"/>
    <s v="Standard"/>
    <s v="L. Chen"/>
    <s v="North America"/>
    <x v="2"/>
  </r>
  <r>
    <x v="761"/>
    <s v="BK50762"/>
    <d v="2025-11-04T00:00:00"/>
    <d v="2025-11-07T00:00:00"/>
    <d v="2025-12-02T00:00:00"/>
    <x v="6"/>
    <s v="Pharma"/>
    <s v="USA"/>
    <s v="Singapore"/>
    <s v="Rotterdam"/>
    <x v="3"/>
    <x v="5"/>
    <s v="20FT"/>
    <n v="4"/>
    <s v="Textiles"/>
    <n v="77920.22"/>
    <n v="17442.98"/>
    <n v="4582.83"/>
    <n v="2248.58"/>
    <n v="779.2"/>
    <n v="791.41"/>
    <n v="2215.6799999999998"/>
    <n v="49859.54"/>
    <n v="0"/>
    <x v="3"/>
    <n v="145.36000000000001"/>
    <x v="1"/>
    <s v="Pending"/>
    <s v="Standard"/>
    <s v="A. Tan"/>
    <s v="Asia"/>
    <x v="8"/>
  </r>
  <r>
    <x v="762"/>
    <s v="BK50763"/>
    <d v="2025-05-13T00:00:00"/>
    <d v="2025-05-15T00:00:00"/>
    <d v="2025-05-30T00:00:00"/>
    <x v="10"/>
    <s v="E-commerce"/>
    <s v="USA"/>
    <s v="Los Angeles"/>
    <s v="Jebel Ali"/>
    <x v="1"/>
    <x v="6"/>
    <s v="20FT"/>
    <n v="2"/>
    <s v="Furniture"/>
    <n v="78460.27"/>
    <n v="12964.49"/>
    <n v="5143.29"/>
    <n v="1946.49"/>
    <n v="784.6"/>
    <n v="328.6"/>
    <n v="759.08"/>
    <n v="56533.72"/>
    <n v="0"/>
    <x v="3"/>
    <n v="108.04"/>
    <x v="1"/>
    <s v="Pending"/>
    <s v="Standard"/>
    <s v="A. Tan"/>
    <s v="Asia"/>
    <x v="6"/>
  </r>
  <r>
    <x v="763"/>
    <s v="BK50764"/>
    <d v="2025-02-23T00:00:00"/>
    <d v="2025-02-26T00:00:00"/>
    <d v="2025-03-10T00:00:00"/>
    <x v="3"/>
    <s v="Electronics"/>
    <s v="South Korea"/>
    <s v="Singapore"/>
    <s v="Rotterdam"/>
    <x v="3"/>
    <x v="2"/>
    <s v="High Cube"/>
    <n v="2"/>
    <s v="Machinery"/>
    <n v="39803.43"/>
    <n v="9807.73"/>
    <n v="2642.97"/>
    <n v="466.19"/>
    <n v="398.03"/>
    <n v="285.26"/>
    <n v="943.19"/>
    <n v="25260.06"/>
    <n v="12"/>
    <x v="4"/>
    <n v="81.73"/>
    <x v="0"/>
    <s v="Pending"/>
    <s v="Critical"/>
    <s v="M. Ahmed"/>
    <s v="Europe"/>
    <x v="9"/>
  </r>
  <r>
    <x v="764"/>
    <s v="BK50765"/>
    <d v="2025-02-07T00:00:00"/>
    <d v="2025-02-08T00:00:00"/>
    <d v="2025-03-04T00:00:00"/>
    <x v="3"/>
    <s v="Electronics"/>
    <s v="South Korea"/>
    <s v="Busan"/>
    <s v="Los Angeles"/>
    <x v="0"/>
    <x v="2"/>
    <s v="Reefer"/>
    <n v="1"/>
    <s v="Chemicals"/>
    <n v="37812.129999999997"/>
    <n v="6864.09"/>
    <n v="2700.69"/>
    <n v="925.03"/>
    <n v="378.12"/>
    <n v="153.38999999999999"/>
    <n v="991.92"/>
    <n v="25798.89"/>
    <n v="0"/>
    <x v="3"/>
    <n v="57.2"/>
    <x v="1"/>
    <s v="Pending"/>
    <s v="Critical"/>
    <s v="M. Ahmed"/>
    <s v="Asia"/>
    <x v="9"/>
  </r>
  <r>
    <x v="765"/>
    <s v="BK50766"/>
    <d v="2025-12-30T00:00:00"/>
    <d v="2025-12-31T00:00:00"/>
    <d v="2026-01-16T00:00:00"/>
    <x v="9"/>
    <s v="Engineering"/>
    <s v="Germany"/>
    <s v="Shanghai"/>
    <s v="Rotterdam"/>
    <x v="3"/>
    <x v="3"/>
    <s v="40FT"/>
    <n v="1"/>
    <s v="Chemicals"/>
    <n v="38286.71"/>
    <n v="10317.9"/>
    <n v="1999.17"/>
    <n v="708.84"/>
    <n v="382.87"/>
    <n v="650.59"/>
    <n v="1428"/>
    <n v="22799.34"/>
    <n v="12"/>
    <x v="4"/>
    <n v="85.98"/>
    <x v="0"/>
    <s v="Paid"/>
    <s v="Standard"/>
    <s v="M. Ahmed"/>
    <s v="North America"/>
    <x v="2"/>
  </r>
  <r>
    <x v="766"/>
    <s v="BK50767"/>
    <d v="2025-11-02T00:00:00"/>
    <d v="2025-11-04T00:00:00"/>
    <d v="2025-11-15T00:00:00"/>
    <x v="4"/>
    <s v="Manufacturing"/>
    <s v="Germany"/>
    <s v="Shanghai"/>
    <s v="Rotterdam"/>
    <x v="3"/>
    <x v="2"/>
    <s v="20FT"/>
    <n v="4"/>
    <s v="Chemicals"/>
    <n v="119600.62"/>
    <n v="33341.269999999997"/>
    <n v="9142.11"/>
    <n v="1976.59"/>
    <n v="1196.01"/>
    <n v="271.95"/>
    <n v="1843.91"/>
    <n v="71828.78"/>
    <n v="36"/>
    <x v="2"/>
    <n v="277.83999999999997"/>
    <x v="0"/>
    <s v="Pending"/>
    <s v="Critical"/>
    <s v="L. Chen"/>
    <s v="Europe"/>
    <x v="8"/>
  </r>
  <r>
    <x v="767"/>
    <s v="BK50768"/>
    <d v="2025-07-27T00:00:00"/>
    <d v="2025-07-29T00:00:00"/>
    <d v="2025-08-25T00:00:00"/>
    <x v="4"/>
    <s v="Manufacturing"/>
    <s v="Germany"/>
    <s v="Busan"/>
    <s v="Los Angeles"/>
    <x v="0"/>
    <x v="2"/>
    <s v="40FT"/>
    <n v="1"/>
    <s v="Food"/>
    <n v="20738.599999999999"/>
    <n v="3983.15"/>
    <n v="903.99"/>
    <n v="386.23"/>
    <n v="207.39"/>
    <n v="698.72"/>
    <n v="724.85"/>
    <n v="13834.27"/>
    <n v="0"/>
    <x v="3"/>
    <n v="33.19"/>
    <x v="1"/>
    <s v="Pending"/>
    <s v="High"/>
    <s v="J. Smith"/>
    <s v="Europe"/>
    <x v="1"/>
  </r>
  <r>
    <x v="768"/>
    <s v="BK50769"/>
    <d v="2025-01-19T00:00:00"/>
    <d v="2025-01-23T00:00:00"/>
    <d v="2025-02-10T00:00:00"/>
    <x v="9"/>
    <s v="Engineering"/>
    <s v="Germany"/>
    <s v="Shanghai"/>
    <s v="New York"/>
    <x v="1"/>
    <x v="4"/>
    <s v="High Cube"/>
    <n v="1"/>
    <s v="Auto Parts"/>
    <n v="21139.23"/>
    <n v="3640.77"/>
    <n v="1521.24"/>
    <n v="281.13"/>
    <n v="211.39"/>
    <n v="141.4"/>
    <n v="2010.04"/>
    <n v="13333.26"/>
    <n v="0"/>
    <x v="3"/>
    <n v="30.34"/>
    <x v="1"/>
    <s v="Pending"/>
    <s v="Standard"/>
    <s v="R. Mehta"/>
    <s v="Asia"/>
    <x v="11"/>
  </r>
  <r>
    <x v="769"/>
    <s v="BK50770"/>
    <d v="2025-11-26T00:00:00"/>
    <d v="2025-11-27T00:00:00"/>
    <d v="2025-12-21T00:00:00"/>
    <x v="8"/>
    <s v="Retail"/>
    <s v="Sweden"/>
    <s v="Singapore"/>
    <s v="Rotterdam"/>
    <x v="1"/>
    <x v="6"/>
    <s v="40FT"/>
    <n v="4"/>
    <s v="Food"/>
    <n v="158724.6"/>
    <n v="39752.31"/>
    <n v="9471.9"/>
    <n v="4679.17"/>
    <n v="1587.25"/>
    <n v="204.01"/>
    <n v="1186.0899999999999"/>
    <n v="101843.87"/>
    <n v="36"/>
    <x v="2"/>
    <n v="331.27"/>
    <x v="0"/>
    <s v="Paid"/>
    <s v="Critical"/>
    <s v="R. Mehta"/>
    <s v="Middle East"/>
    <x v="8"/>
  </r>
  <r>
    <x v="770"/>
    <s v="BK50771"/>
    <d v="2025-11-22T00:00:00"/>
    <d v="2025-11-23T00:00:00"/>
    <d v="2025-12-19T00:00:00"/>
    <x v="7"/>
    <s v="Retail"/>
    <s v="Germany"/>
    <s v="Rotterdam"/>
    <s v="New York"/>
    <x v="1"/>
    <x v="7"/>
    <s v="High Cube"/>
    <n v="1"/>
    <s v="Textiles"/>
    <n v="11061.23"/>
    <n v="1773.82"/>
    <n v="637.74"/>
    <n v="255.12"/>
    <n v="110.61"/>
    <n v="764.08"/>
    <n v="1984.25"/>
    <n v="5535.61"/>
    <n v="0"/>
    <x v="3"/>
    <n v="14.78"/>
    <x v="1"/>
    <s v="Paid"/>
    <s v="Critical"/>
    <s v="M. Ahmed"/>
    <s v="Middle East"/>
    <x v="8"/>
  </r>
  <r>
    <x v="771"/>
    <s v="BK50772"/>
    <d v="2025-11-04T00:00:00"/>
    <d v="2025-11-05T00:00:00"/>
    <d v="2025-12-04T00:00:00"/>
    <x v="7"/>
    <s v="Retail"/>
    <s v="Germany"/>
    <s v="Jebel Ali"/>
    <s v="Nhava Sheva"/>
    <x v="2"/>
    <x v="4"/>
    <s v="High Cube"/>
    <n v="2"/>
    <s v="Machinery"/>
    <n v="29754.01"/>
    <n v="6104.07"/>
    <n v="1300.21"/>
    <n v="512.63"/>
    <n v="297.54000000000002"/>
    <n v="642.95000000000005"/>
    <n v="1500.46"/>
    <n v="19396.150000000001"/>
    <n v="24"/>
    <x v="1"/>
    <n v="50.87"/>
    <x v="0"/>
    <s v="Paid"/>
    <s v="Standard"/>
    <s v="M. Ahmed"/>
    <s v="Middle East"/>
    <x v="8"/>
  </r>
  <r>
    <x v="772"/>
    <s v="BK50773"/>
    <d v="2025-09-20T00:00:00"/>
    <d v="2025-09-21T00:00:00"/>
    <d v="2025-10-12T00:00:00"/>
    <x v="10"/>
    <s v="E-commerce"/>
    <s v="USA"/>
    <s v="Singapore"/>
    <s v="Rotterdam"/>
    <x v="3"/>
    <x v="6"/>
    <s v="High Cube"/>
    <n v="2"/>
    <s v="Furniture"/>
    <n v="52494.79"/>
    <n v="14020.58"/>
    <n v="2131.1"/>
    <n v="1136.4000000000001"/>
    <n v="524.95000000000005"/>
    <n v="780.41"/>
    <n v="2499.37"/>
    <n v="31401.98"/>
    <n v="36"/>
    <x v="1"/>
    <n v="116.84"/>
    <x v="0"/>
    <s v="Pending"/>
    <s v="Standard"/>
    <s v="L. Chen"/>
    <s v="Europe"/>
    <x v="3"/>
  </r>
  <r>
    <x v="773"/>
    <s v="BK50774"/>
    <d v="2025-12-26T00:00:00"/>
    <d v="2025-12-27T00:00:00"/>
    <d v="2026-01-08T00:00:00"/>
    <x v="4"/>
    <s v="Manufacturing"/>
    <s v="Germany"/>
    <s v="Shanghai"/>
    <s v="Rotterdam"/>
    <x v="3"/>
    <x v="6"/>
    <s v="High Cube"/>
    <n v="2"/>
    <s v="Food"/>
    <n v="47049.47"/>
    <n v="13440.69"/>
    <n v="3262.28"/>
    <n v="908.41"/>
    <n v="470.49"/>
    <n v="412.98"/>
    <n v="1847.41"/>
    <n v="26707.21"/>
    <n v="8"/>
    <x v="1"/>
    <n v="112.01"/>
    <x v="0"/>
    <s v="Paid"/>
    <s v="Critical"/>
    <s v="L. Chen"/>
    <s v="Asia"/>
    <x v="2"/>
  </r>
  <r>
    <x v="774"/>
    <s v="BK50775"/>
    <d v="2025-11-26T00:00:00"/>
    <d v="2025-11-29T00:00:00"/>
    <d v="2025-12-18T00:00:00"/>
    <x v="3"/>
    <s v="Electronics"/>
    <s v="South Korea"/>
    <s v="Shanghai"/>
    <s v="Rotterdam"/>
    <x v="3"/>
    <x v="5"/>
    <s v="40FT"/>
    <n v="2"/>
    <s v="Furniture"/>
    <n v="61345.7"/>
    <n v="16763.89"/>
    <n v="2904.06"/>
    <n v="1454"/>
    <n v="613.46"/>
    <n v="400.24"/>
    <n v="2476.0300000000002"/>
    <n v="36734.019999999997"/>
    <n v="0"/>
    <x v="3"/>
    <n v="139.69999999999999"/>
    <x v="1"/>
    <s v="Paid"/>
    <s v="Standard"/>
    <s v="J. Smith"/>
    <s v="Middle East"/>
    <x v="8"/>
  </r>
  <r>
    <x v="775"/>
    <s v="BK50776"/>
    <d v="2025-07-27T00:00:00"/>
    <d v="2025-07-28T00:00:00"/>
    <d v="2025-08-19T00:00:00"/>
    <x v="10"/>
    <s v="E-commerce"/>
    <s v="USA"/>
    <s v="Singapore"/>
    <s v="Rotterdam"/>
    <x v="3"/>
    <x v="2"/>
    <s v="High Cube"/>
    <n v="1"/>
    <s v="Food"/>
    <n v="36132.99"/>
    <n v="9922.5"/>
    <n v="2500.81"/>
    <n v="978.57"/>
    <n v="361.33"/>
    <n v="794.34"/>
    <n v="567.72"/>
    <n v="21007.72"/>
    <n v="8"/>
    <x v="1"/>
    <n v="82.69"/>
    <x v="0"/>
    <s v="Pending"/>
    <s v="Critical"/>
    <s v="M. Ahmed"/>
    <s v="Europe"/>
    <x v="1"/>
  </r>
  <r>
    <x v="776"/>
    <s v="BK50777"/>
    <d v="2025-11-09T00:00:00"/>
    <d v="2025-11-10T00:00:00"/>
    <d v="2025-11-21T00:00:00"/>
    <x v="10"/>
    <s v="E-commerce"/>
    <s v="USA"/>
    <s v="Jebel Ali"/>
    <s v="Nhava Sheva"/>
    <x v="2"/>
    <x v="6"/>
    <s v="High Cube"/>
    <n v="2"/>
    <s v="Chemicals"/>
    <n v="53707.64"/>
    <n v="13148.16"/>
    <n v="3890.66"/>
    <n v="1016.98"/>
    <n v="537.08000000000004"/>
    <n v="441.06"/>
    <n v="1186.6400000000001"/>
    <n v="33487.06"/>
    <n v="12"/>
    <x v="2"/>
    <n v="109.57"/>
    <x v="0"/>
    <s v="Pending"/>
    <s v="Standard"/>
    <s v="R. Mehta"/>
    <s v="Asia"/>
    <x v="8"/>
  </r>
  <r>
    <x v="777"/>
    <s v="BK50778"/>
    <d v="2025-03-11T00:00:00"/>
    <d v="2025-03-12T00:00:00"/>
    <d v="2025-03-24T00:00:00"/>
    <x v="7"/>
    <s v="Retail"/>
    <s v="Germany"/>
    <s v="Busan"/>
    <s v="Rotterdam"/>
    <x v="1"/>
    <x v="7"/>
    <s v="High Cube"/>
    <n v="2"/>
    <s v="Furniture"/>
    <n v="57545.7"/>
    <n v="17010.43"/>
    <n v="4492.92"/>
    <n v="1569.89"/>
    <n v="575.46"/>
    <n v="706.15"/>
    <n v="371.25"/>
    <n v="32819.599999999999"/>
    <n v="0"/>
    <x v="3"/>
    <n v="141.75"/>
    <x v="1"/>
    <s v="Pending"/>
    <s v="Standard"/>
    <s v="M. Ahmed"/>
    <s v="Asia"/>
    <x v="5"/>
  </r>
  <r>
    <x v="778"/>
    <s v="BK50779"/>
    <d v="2025-05-31T00:00:00"/>
    <d v="2025-06-01T00:00:00"/>
    <d v="2025-06-18T00:00:00"/>
    <x v="1"/>
    <s v="FMCG"/>
    <s v="UK"/>
    <s v="Singapore"/>
    <s v="Rotterdam"/>
    <x v="3"/>
    <x v="2"/>
    <s v="20FT"/>
    <n v="2"/>
    <s v="Furniture"/>
    <n v="27347.32"/>
    <n v="6201.58"/>
    <n v="1589.78"/>
    <n v="449.07"/>
    <n v="273.47000000000003"/>
    <n v="426.77"/>
    <n v="2336.02"/>
    <n v="16070.63"/>
    <n v="12"/>
    <x v="1"/>
    <n v="51.68"/>
    <x v="0"/>
    <s v="Paid"/>
    <s v="Standard"/>
    <s v="R. Mehta"/>
    <s v="Middle East"/>
    <x v="6"/>
  </r>
  <r>
    <x v="779"/>
    <s v="BK50780"/>
    <d v="2025-09-12T00:00:00"/>
    <d v="2025-09-15T00:00:00"/>
    <d v="2025-09-25T00:00:00"/>
    <x v="10"/>
    <s v="E-commerce"/>
    <s v="USA"/>
    <s v="Jebel Ali"/>
    <s v="Nhava Sheva"/>
    <x v="2"/>
    <x v="5"/>
    <s v="High Cube"/>
    <n v="2"/>
    <s v="Food"/>
    <n v="61785.7"/>
    <n v="16600.46"/>
    <n v="3087.69"/>
    <n v="681.23"/>
    <n v="617.86"/>
    <n v="702.64"/>
    <n v="2386.6"/>
    <n v="37709.22"/>
    <n v="12"/>
    <x v="1"/>
    <n v="138.34"/>
    <x v="0"/>
    <s v="Pending"/>
    <s v="High"/>
    <s v="M. Ahmed"/>
    <s v="Middle East"/>
    <x v="3"/>
  </r>
  <r>
    <x v="780"/>
    <s v="BK50781"/>
    <d v="2025-05-02T00:00:00"/>
    <d v="2025-05-04T00:00:00"/>
    <d v="2025-05-19T00:00:00"/>
    <x v="6"/>
    <s v="Pharma"/>
    <s v="USA"/>
    <s v="Jebel Ali"/>
    <s v="Nhava Sheva"/>
    <x v="2"/>
    <x v="7"/>
    <s v="20FT"/>
    <n v="2"/>
    <s v="Chemicals"/>
    <n v="77204.95"/>
    <n v="21619.59"/>
    <n v="4070.59"/>
    <n v="1344.02"/>
    <n v="772.05"/>
    <n v="612.01"/>
    <n v="1254.8"/>
    <n v="47531.89"/>
    <n v="12"/>
    <x v="4"/>
    <n v="180.16"/>
    <x v="0"/>
    <s v="Paid"/>
    <s v="Critical"/>
    <s v="L. Chen"/>
    <s v="North America"/>
    <x v="6"/>
  </r>
  <r>
    <x v="781"/>
    <s v="BK50782"/>
    <d v="2025-03-05T00:00:00"/>
    <d v="2025-03-06T00:00:00"/>
    <d v="2025-03-28T00:00:00"/>
    <x v="6"/>
    <s v="Pharma"/>
    <s v="USA"/>
    <s v="Busan"/>
    <s v="Los Angeles"/>
    <x v="0"/>
    <x v="0"/>
    <s v="20FT"/>
    <n v="1"/>
    <s v="Furniture"/>
    <n v="13181.05"/>
    <n v="3712.59"/>
    <n v="708.16"/>
    <n v="339.9"/>
    <n v="131.81"/>
    <n v="847.44"/>
    <n v="1429.36"/>
    <n v="6011.79"/>
    <n v="48"/>
    <x v="2"/>
    <n v="30.94"/>
    <x v="0"/>
    <s v="Pending"/>
    <s v="Critical"/>
    <s v="J. Smith"/>
    <s v="Middle East"/>
    <x v="5"/>
  </r>
  <r>
    <x v="782"/>
    <s v="BK50783"/>
    <d v="2025-08-09T00:00:00"/>
    <d v="2025-08-12T00:00:00"/>
    <d v="2025-09-08T00:00:00"/>
    <x v="4"/>
    <s v="Manufacturing"/>
    <s v="Germany"/>
    <s v="Colombo"/>
    <s v="Singapore"/>
    <x v="4"/>
    <x v="6"/>
    <s v="20FT"/>
    <n v="2"/>
    <s v="Electronics"/>
    <n v="42039.17"/>
    <n v="11024.39"/>
    <n v="2642.36"/>
    <n v="1139.6199999999999"/>
    <n v="420.39"/>
    <n v="373.16"/>
    <n v="334.88"/>
    <n v="26104.37"/>
    <n v="48"/>
    <x v="2"/>
    <n v="91.87"/>
    <x v="0"/>
    <s v="Paid"/>
    <s v="Critical"/>
    <s v="M. Ahmed"/>
    <s v="Europe"/>
    <x v="4"/>
  </r>
  <r>
    <x v="783"/>
    <s v="BK50784"/>
    <d v="2025-07-22T00:00:00"/>
    <d v="2025-07-26T00:00:00"/>
    <d v="2025-08-14T00:00:00"/>
    <x v="5"/>
    <s v="Food"/>
    <s v="Switzerland"/>
    <s v="Rotterdam"/>
    <s v="Shanghai"/>
    <x v="1"/>
    <x v="2"/>
    <s v="Reefer"/>
    <n v="4"/>
    <s v="Chemicals"/>
    <n v="134158.44"/>
    <n v="22934.44"/>
    <n v="5926.52"/>
    <n v="3845.71"/>
    <n v="1341.58"/>
    <n v="689.11"/>
    <n v="1756.34"/>
    <n v="97664.74"/>
    <n v="0"/>
    <x v="3"/>
    <n v="191.12"/>
    <x v="1"/>
    <s v="Pending"/>
    <s v="High"/>
    <s v="R. Mehta"/>
    <s v="Middle East"/>
    <x v="1"/>
  </r>
  <r>
    <x v="784"/>
    <s v="BK50785"/>
    <d v="2025-03-05T00:00:00"/>
    <d v="2025-03-09T00:00:00"/>
    <d v="2025-04-06T00:00:00"/>
    <x v="9"/>
    <s v="Engineering"/>
    <s v="Germany"/>
    <s v="Colombo"/>
    <s v="Singapore"/>
    <x v="4"/>
    <x v="7"/>
    <s v="High Cube"/>
    <n v="2"/>
    <s v="Electronics"/>
    <n v="76576.05"/>
    <n v="15870.21"/>
    <n v="3629.17"/>
    <n v="1614.71"/>
    <n v="765.76"/>
    <n v="122.76"/>
    <n v="1105.73"/>
    <n v="53467.71"/>
    <n v="0"/>
    <x v="3"/>
    <n v="132.25"/>
    <x v="1"/>
    <s v="Pending"/>
    <s v="High"/>
    <s v="M. Ahmed"/>
    <s v="Asia"/>
    <x v="5"/>
  </r>
  <r>
    <x v="785"/>
    <s v="BK50786"/>
    <d v="2025-07-07T00:00:00"/>
    <d v="2025-07-09T00:00:00"/>
    <d v="2025-08-04T00:00:00"/>
    <x v="9"/>
    <s v="Engineering"/>
    <s v="Germany"/>
    <s v="Singapore"/>
    <s v="Rotterdam"/>
    <x v="3"/>
    <x v="3"/>
    <s v="20FT"/>
    <n v="2"/>
    <s v="Chemicals"/>
    <n v="43401.86"/>
    <n v="12093.55"/>
    <n v="1916.74"/>
    <n v="1105.31"/>
    <n v="434.02"/>
    <n v="434.58"/>
    <n v="2474.37"/>
    <n v="24943.29"/>
    <n v="24"/>
    <x v="0"/>
    <n v="100.78"/>
    <x v="0"/>
    <s v="Paid"/>
    <s v="Standard"/>
    <s v="L. Chen"/>
    <s v="North America"/>
    <x v="1"/>
  </r>
  <r>
    <x v="786"/>
    <s v="BK50787"/>
    <d v="2025-02-22T00:00:00"/>
    <d v="2025-02-25T00:00:00"/>
    <d v="2025-03-12T00:00:00"/>
    <x v="7"/>
    <s v="Retail"/>
    <s v="Germany"/>
    <s v="Singapore"/>
    <s v="Rotterdam"/>
    <x v="3"/>
    <x v="6"/>
    <s v="40FT"/>
    <n v="2"/>
    <s v="Furniture"/>
    <n v="26087.22"/>
    <n v="7444.45"/>
    <n v="1805.99"/>
    <n v="469.66"/>
    <n v="260.87"/>
    <n v="286.08999999999997"/>
    <n v="1168.32"/>
    <n v="14651.84"/>
    <n v="0"/>
    <x v="3"/>
    <n v="62.04"/>
    <x v="1"/>
    <s v="Pending"/>
    <s v="Standard"/>
    <s v="J. Smith"/>
    <s v="Asia"/>
    <x v="9"/>
  </r>
  <r>
    <x v="787"/>
    <s v="BK50788"/>
    <d v="2025-08-30T00:00:00"/>
    <d v="2025-09-03T00:00:00"/>
    <d v="2025-09-13T00:00:00"/>
    <x v="1"/>
    <s v="FMCG"/>
    <s v="UK"/>
    <s v="Jebel Ali"/>
    <s v="Singapore"/>
    <x v="1"/>
    <x v="7"/>
    <s v="40FT"/>
    <n v="2"/>
    <s v="Chemicals"/>
    <n v="55921.89"/>
    <n v="9385.2000000000007"/>
    <n v="3721.4"/>
    <n v="928.57"/>
    <n v="559.22"/>
    <n v="675.78"/>
    <n v="914.58"/>
    <n v="39737.14"/>
    <n v="0"/>
    <x v="3"/>
    <n v="78.209999999999994"/>
    <x v="1"/>
    <s v="Paid"/>
    <s v="High"/>
    <s v="L. Chen"/>
    <s v="North America"/>
    <x v="4"/>
  </r>
  <r>
    <x v="788"/>
    <s v="BK50789"/>
    <d v="2025-04-26T00:00:00"/>
    <d v="2025-04-27T00:00:00"/>
    <d v="2025-05-25T00:00:00"/>
    <x v="7"/>
    <s v="Retail"/>
    <s v="Germany"/>
    <s v="Colombo"/>
    <s v="Singapore"/>
    <x v="4"/>
    <x v="2"/>
    <s v="Reefer"/>
    <n v="2"/>
    <s v="Chemicals"/>
    <n v="18388.07"/>
    <n v="4867.59"/>
    <n v="768.17"/>
    <n v="342.81"/>
    <n v="183.88"/>
    <n v="555.15"/>
    <n v="2151.9299999999998"/>
    <n v="9518.5400000000009"/>
    <n v="4"/>
    <x v="5"/>
    <n v="40.56"/>
    <x v="0"/>
    <s v="Paid"/>
    <s v="High"/>
    <s v="R. Mehta"/>
    <s v="Europe"/>
    <x v="10"/>
  </r>
  <r>
    <x v="789"/>
    <s v="BK50790"/>
    <d v="2025-12-17T00:00:00"/>
    <d v="2025-12-20T00:00:00"/>
    <d v="2026-01-15T00:00:00"/>
    <x v="11"/>
    <s v="Automotive"/>
    <s v="Japan"/>
    <s v="Singapore"/>
    <s v="Hamburg"/>
    <x v="1"/>
    <x v="7"/>
    <s v="Reefer"/>
    <n v="1"/>
    <s v="Auto Parts"/>
    <n v="31209.62"/>
    <n v="6496.76"/>
    <n v="1525.34"/>
    <n v="584.07000000000005"/>
    <n v="312.10000000000002"/>
    <n v="498.79"/>
    <n v="1868"/>
    <n v="19924.560000000001"/>
    <n v="24"/>
    <x v="2"/>
    <n v="54.14"/>
    <x v="0"/>
    <s v="Paid"/>
    <s v="High"/>
    <s v="J. Smith"/>
    <s v="Asia"/>
    <x v="2"/>
  </r>
  <r>
    <x v="790"/>
    <s v="BK50791"/>
    <d v="2025-11-08T00:00:00"/>
    <d v="2025-11-10T00:00:00"/>
    <d v="2025-12-07T00:00:00"/>
    <x v="9"/>
    <s v="Engineering"/>
    <s v="Germany"/>
    <s v="Shanghai"/>
    <s v="Hamburg"/>
    <x v="1"/>
    <x v="3"/>
    <s v="20FT"/>
    <n v="2"/>
    <s v="Chemicals"/>
    <n v="87255.5"/>
    <n v="15576.44"/>
    <n v="3999.37"/>
    <n v="2391.08"/>
    <n v="872.56"/>
    <n v="288.49"/>
    <n v="1227.68"/>
    <n v="62899.88"/>
    <n v="4"/>
    <x v="1"/>
    <n v="129.80000000000001"/>
    <x v="0"/>
    <s v="Pending"/>
    <s v="Critical"/>
    <s v="L. Chen"/>
    <s v="North America"/>
    <x v="8"/>
  </r>
  <r>
    <x v="791"/>
    <s v="BK50792"/>
    <d v="2025-11-22T00:00:00"/>
    <d v="2025-11-25T00:00:00"/>
    <d v="2025-12-06T00:00:00"/>
    <x v="7"/>
    <s v="Retail"/>
    <s v="Germany"/>
    <s v="Shanghai"/>
    <s v="Rotterdam"/>
    <x v="3"/>
    <x v="2"/>
    <s v="Reefer"/>
    <n v="2"/>
    <s v="Textiles"/>
    <n v="29510.7"/>
    <n v="7953.22"/>
    <n v="1865.99"/>
    <n v="768.48"/>
    <n v="295.11"/>
    <n v="586.52"/>
    <n v="816.21"/>
    <n v="17225.169999999998"/>
    <n v="0"/>
    <x v="3"/>
    <n v="66.28"/>
    <x v="1"/>
    <s v="Pending"/>
    <s v="High"/>
    <s v="J. Smith"/>
    <s v="Middle East"/>
    <x v="8"/>
  </r>
  <r>
    <x v="792"/>
    <s v="BK50793"/>
    <d v="2025-09-26T00:00:00"/>
    <d v="2025-09-30T00:00:00"/>
    <d v="2025-10-13T00:00:00"/>
    <x v="1"/>
    <s v="FMCG"/>
    <s v="UK"/>
    <s v="Busan"/>
    <s v="Los Angeles"/>
    <x v="0"/>
    <x v="3"/>
    <s v="20FT"/>
    <n v="4"/>
    <s v="Textiles"/>
    <n v="168664.95"/>
    <n v="48677.42"/>
    <n v="9921.23"/>
    <n v="2444.16"/>
    <n v="1686.65"/>
    <n v="375.67"/>
    <n v="901.38"/>
    <n v="104658.44"/>
    <n v="12"/>
    <x v="0"/>
    <n v="405.65"/>
    <x v="0"/>
    <s v="Pending"/>
    <s v="Critical"/>
    <s v="J. Smith"/>
    <s v="Asia"/>
    <x v="3"/>
  </r>
  <r>
    <x v="793"/>
    <s v="BK50794"/>
    <d v="2025-04-13T00:00:00"/>
    <d v="2025-04-16T00:00:00"/>
    <d v="2025-04-26T00:00:00"/>
    <x v="9"/>
    <s v="Engineering"/>
    <s v="Germany"/>
    <s v="Jebel Ali"/>
    <s v="Nhava Sheva"/>
    <x v="2"/>
    <x v="4"/>
    <s v="Reefer"/>
    <n v="1"/>
    <s v="Textiles"/>
    <n v="35747.870000000003"/>
    <n v="10456.56"/>
    <n v="1857.68"/>
    <n v="1034.53"/>
    <n v="357.48"/>
    <n v="577.96"/>
    <n v="1791.44"/>
    <n v="19672.22"/>
    <n v="0"/>
    <x v="3"/>
    <n v="87.14"/>
    <x v="1"/>
    <s v="Pending"/>
    <s v="Critical"/>
    <s v="A. Tan"/>
    <s v="Europe"/>
    <x v="10"/>
  </r>
  <r>
    <x v="794"/>
    <s v="BK50795"/>
    <d v="2025-01-17T00:00:00"/>
    <d v="2025-01-19T00:00:00"/>
    <d v="2025-02-15T00:00:00"/>
    <x v="0"/>
    <s v="Retail"/>
    <s v="India"/>
    <s v="Singapore"/>
    <s v="Rotterdam"/>
    <x v="3"/>
    <x v="2"/>
    <s v="High Cube"/>
    <n v="2"/>
    <s v="Furniture"/>
    <n v="24889.05"/>
    <n v="7131.84"/>
    <n v="1501.18"/>
    <n v="718.73"/>
    <n v="248.89"/>
    <n v="687.47"/>
    <n v="2282.23"/>
    <n v="12318.71"/>
    <n v="48"/>
    <x v="1"/>
    <n v="59.43"/>
    <x v="0"/>
    <s v="Paid"/>
    <s v="High"/>
    <s v="L. Chen"/>
    <s v="Europe"/>
    <x v="11"/>
  </r>
  <r>
    <x v="795"/>
    <s v="BK50796"/>
    <d v="2025-11-30T00:00:00"/>
    <d v="2025-12-01T00:00:00"/>
    <d v="2025-12-24T00:00:00"/>
    <x v="6"/>
    <s v="Pharma"/>
    <s v="USA"/>
    <s v="New York"/>
    <s v="Jebel Ali"/>
    <x v="1"/>
    <x v="6"/>
    <s v="20FT"/>
    <n v="4"/>
    <s v="Textiles"/>
    <n v="145862.13"/>
    <n v="33512.5"/>
    <n v="6229.17"/>
    <n v="1628.74"/>
    <n v="1458.62"/>
    <n v="496.39"/>
    <n v="385.94"/>
    <n v="102150.77"/>
    <n v="12"/>
    <x v="5"/>
    <n v="279.27"/>
    <x v="0"/>
    <s v="Pending"/>
    <s v="Standard"/>
    <s v="A. Tan"/>
    <s v="North America"/>
    <x v="8"/>
  </r>
  <r>
    <x v="796"/>
    <s v="BK50797"/>
    <d v="2025-07-02T00:00:00"/>
    <d v="2025-07-03T00:00:00"/>
    <d v="2025-07-20T00:00:00"/>
    <x v="10"/>
    <s v="E-commerce"/>
    <s v="USA"/>
    <s v="Colombo"/>
    <s v="Rotterdam"/>
    <x v="1"/>
    <x v="1"/>
    <s v="20FT"/>
    <n v="2"/>
    <s v="Furniture"/>
    <n v="27588.11"/>
    <n v="7482.36"/>
    <n v="2061.79"/>
    <n v="682.89"/>
    <n v="275.88"/>
    <n v="508.02"/>
    <n v="1421.94"/>
    <n v="15155.23"/>
    <n v="0"/>
    <x v="3"/>
    <n v="62.35"/>
    <x v="1"/>
    <s v="Paid"/>
    <s v="Critical"/>
    <s v="J. Smith"/>
    <s v="North America"/>
    <x v="1"/>
  </r>
  <r>
    <x v="797"/>
    <s v="BK50798"/>
    <d v="2025-07-06T00:00:00"/>
    <d v="2025-07-07T00:00:00"/>
    <d v="2025-07-23T00:00:00"/>
    <x v="10"/>
    <s v="E-commerce"/>
    <s v="USA"/>
    <s v="Colombo"/>
    <s v="Busan"/>
    <x v="1"/>
    <x v="7"/>
    <s v="40FT"/>
    <n v="2"/>
    <s v="Electronics"/>
    <n v="66367.710000000006"/>
    <n v="13415.71"/>
    <n v="3909.68"/>
    <n v="970.44"/>
    <n v="663.68"/>
    <n v="267.86"/>
    <n v="1640.14"/>
    <n v="45500.2"/>
    <n v="0"/>
    <x v="3"/>
    <n v="111.8"/>
    <x v="1"/>
    <s v="Paid"/>
    <s v="Standard"/>
    <s v="A. Tan"/>
    <s v="Europe"/>
    <x v="1"/>
  </r>
  <r>
    <x v="798"/>
    <s v="BK50799"/>
    <d v="2025-10-06T00:00:00"/>
    <d v="2025-10-07T00:00:00"/>
    <d v="2025-10-23T00:00:00"/>
    <x v="8"/>
    <s v="Retail"/>
    <s v="Sweden"/>
    <s v="Jebel Ali"/>
    <s v="Nhava Sheva"/>
    <x v="2"/>
    <x v="3"/>
    <s v="20FT"/>
    <n v="2"/>
    <s v="Electronics"/>
    <n v="35169.730000000003"/>
    <n v="6121.6"/>
    <n v="2193.96"/>
    <n v="646.63"/>
    <n v="351.7"/>
    <n v="386.34"/>
    <n v="1685.07"/>
    <n v="23784.43"/>
    <n v="0"/>
    <x v="3"/>
    <n v="51.01"/>
    <x v="1"/>
    <s v="Pending"/>
    <s v="Critical"/>
    <s v="A. Tan"/>
    <s v="Europe"/>
    <x v="7"/>
  </r>
  <r>
    <x v="799"/>
    <s v="BK50800"/>
    <d v="2025-03-15T00:00:00"/>
    <d v="2025-03-17T00:00:00"/>
    <d v="2025-03-28T00:00:00"/>
    <x v="5"/>
    <s v="Food"/>
    <s v="Switzerland"/>
    <s v="Jebel Ali"/>
    <s v="Nhava Sheva"/>
    <x v="2"/>
    <x v="3"/>
    <s v="Reefer"/>
    <n v="2"/>
    <s v="Auto Parts"/>
    <n v="58667.03"/>
    <n v="10044.99"/>
    <n v="4514.6000000000004"/>
    <n v="689.58"/>
    <n v="586.66999999999996"/>
    <n v="311.43"/>
    <n v="1833.42"/>
    <n v="40686.339999999997"/>
    <n v="12"/>
    <x v="0"/>
    <n v="83.71"/>
    <x v="0"/>
    <s v="Pending"/>
    <s v="Critical"/>
    <s v="R. Mehta"/>
    <s v="Middle East"/>
    <x v="5"/>
  </r>
  <r>
    <x v="800"/>
    <s v="BK50801"/>
    <d v="2025-04-23T00:00:00"/>
    <d v="2025-04-27T00:00:00"/>
    <d v="2025-05-18T00:00:00"/>
    <x v="0"/>
    <s v="Retail"/>
    <s v="India"/>
    <s v="Singapore"/>
    <s v="Rotterdam"/>
    <x v="3"/>
    <x v="0"/>
    <s v="High Cube"/>
    <n v="4"/>
    <s v="Furniture"/>
    <n v="148239.85"/>
    <n v="28329.27"/>
    <n v="9642.8799999999992"/>
    <n v="1931.94"/>
    <n v="1482.4"/>
    <n v="128.53"/>
    <n v="745.26"/>
    <n v="105979.57"/>
    <n v="0"/>
    <x v="3"/>
    <n v="236.08"/>
    <x v="1"/>
    <s v="Pending"/>
    <s v="Standard"/>
    <s v="M. Ahmed"/>
    <s v="North America"/>
    <x v="10"/>
  </r>
  <r>
    <x v="801"/>
    <s v="BK50802"/>
    <d v="2025-01-03T00:00:00"/>
    <d v="2025-01-07T00:00:00"/>
    <d v="2025-01-30T00:00:00"/>
    <x v="7"/>
    <s v="Retail"/>
    <s v="Germany"/>
    <s v="Jebel Ali"/>
    <s v="Busan"/>
    <x v="1"/>
    <x v="0"/>
    <s v="40FT"/>
    <n v="1"/>
    <s v="Auto Parts"/>
    <n v="38542.019999999997"/>
    <n v="7388.01"/>
    <n v="1796.33"/>
    <n v="1115.52"/>
    <n v="385.42"/>
    <n v="794.97"/>
    <n v="2346.71"/>
    <n v="24715.06"/>
    <n v="0"/>
    <x v="3"/>
    <n v="61.57"/>
    <x v="1"/>
    <s v="Paid"/>
    <s v="Critical"/>
    <s v="R. Mehta"/>
    <s v="Europe"/>
    <x v="11"/>
  </r>
  <r>
    <x v="802"/>
    <s v="BK50803"/>
    <d v="2025-07-12T00:00:00"/>
    <d v="2025-07-16T00:00:00"/>
    <d v="2025-08-04T00:00:00"/>
    <x v="8"/>
    <s v="Retail"/>
    <s v="Sweden"/>
    <s v="Singapore"/>
    <s v="Rotterdam"/>
    <x v="3"/>
    <x v="2"/>
    <s v="40FT"/>
    <n v="1"/>
    <s v="Chemicals"/>
    <n v="11651.36"/>
    <n v="3039.06"/>
    <n v="882.27"/>
    <n v="195.93"/>
    <n v="116.51"/>
    <n v="712.61"/>
    <n v="989.36"/>
    <n v="5715.62"/>
    <n v="12"/>
    <x v="4"/>
    <n v="25.33"/>
    <x v="0"/>
    <s v="Pending"/>
    <s v="Critical"/>
    <s v="R. Mehta"/>
    <s v="North America"/>
    <x v="1"/>
  </r>
  <r>
    <x v="803"/>
    <s v="BK50804"/>
    <d v="2025-06-15T00:00:00"/>
    <d v="2025-06-19T00:00:00"/>
    <d v="2025-07-06T00:00:00"/>
    <x v="1"/>
    <s v="FMCG"/>
    <s v="UK"/>
    <s v="Colombo"/>
    <s v="Singapore"/>
    <x v="4"/>
    <x v="3"/>
    <s v="Reefer"/>
    <n v="2"/>
    <s v="Food"/>
    <n v="15779.64"/>
    <n v="4284.22"/>
    <n v="1167.07"/>
    <n v="316.38"/>
    <n v="157.80000000000001"/>
    <n v="787.16"/>
    <n v="2220.2600000000002"/>
    <n v="6846.75"/>
    <n v="4"/>
    <x v="4"/>
    <n v="35.700000000000003"/>
    <x v="0"/>
    <s v="Pending"/>
    <s v="High"/>
    <s v="R. Mehta"/>
    <s v="Asia"/>
    <x v="0"/>
  </r>
  <r>
    <x v="804"/>
    <s v="BK50805"/>
    <d v="2025-12-17T00:00:00"/>
    <d v="2025-12-21T00:00:00"/>
    <d v="2026-01-13T00:00:00"/>
    <x v="2"/>
    <s v="Electronics"/>
    <s v="South Korea"/>
    <s v="Shanghai"/>
    <s v="Rotterdam"/>
    <x v="3"/>
    <x v="0"/>
    <s v="20FT"/>
    <n v="1"/>
    <s v="Chemicals"/>
    <n v="32502.74"/>
    <n v="9240.85"/>
    <n v="1674.47"/>
    <n v="593.20000000000005"/>
    <n v="325.02999999999997"/>
    <n v="443.53"/>
    <n v="1335.17"/>
    <n v="18890.490000000002"/>
    <n v="36"/>
    <x v="1"/>
    <n v="77.010000000000005"/>
    <x v="0"/>
    <s v="Paid"/>
    <s v="Standard"/>
    <s v="R. Mehta"/>
    <s v="Asia"/>
    <x v="2"/>
  </r>
  <r>
    <x v="805"/>
    <s v="BK50806"/>
    <d v="2025-07-11T00:00:00"/>
    <d v="2025-07-14T00:00:00"/>
    <d v="2025-08-01T00:00:00"/>
    <x v="7"/>
    <s v="Retail"/>
    <s v="Germany"/>
    <s v="Jebel Ali"/>
    <s v="Nhava Sheva"/>
    <x v="2"/>
    <x v="0"/>
    <s v="40FT"/>
    <n v="4"/>
    <s v="Textiles"/>
    <n v="64475.45"/>
    <n v="13148.93"/>
    <n v="4331.18"/>
    <n v="1559.28"/>
    <n v="644.75"/>
    <n v="692.29"/>
    <n v="2120.46"/>
    <n v="41978.559999999998"/>
    <n v="24"/>
    <x v="2"/>
    <n v="109.57"/>
    <x v="0"/>
    <s v="Paid"/>
    <s v="Standard"/>
    <s v="L. Chen"/>
    <s v="Middle East"/>
    <x v="1"/>
  </r>
  <r>
    <x v="806"/>
    <s v="BK50807"/>
    <d v="2025-01-16T00:00:00"/>
    <d v="2025-01-20T00:00:00"/>
    <d v="2025-01-30T00:00:00"/>
    <x v="10"/>
    <s v="E-commerce"/>
    <s v="USA"/>
    <s v="Jebel Ali"/>
    <s v="Nhava Sheva"/>
    <x v="1"/>
    <x v="3"/>
    <s v="Reefer"/>
    <n v="1"/>
    <s v="Machinery"/>
    <n v="11296.83"/>
    <n v="2923.59"/>
    <n v="616.30999999999995"/>
    <n v="275.63"/>
    <n v="112.97"/>
    <n v="417.78"/>
    <n v="797.95"/>
    <n v="6152.6"/>
    <n v="8"/>
    <x v="0"/>
    <n v="24.36"/>
    <x v="0"/>
    <s v="Paid"/>
    <s v="Standard"/>
    <s v="L. Chen"/>
    <s v="Europe"/>
    <x v="11"/>
  </r>
  <r>
    <x v="807"/>
    <s v="BK50808"/>
    <d v="2025-08-30T00:00:00"/>
    <d v="2025-09-02T00:00:00"/>
    <d v="2025-09-25T00:00:00"/>
    <x v="2"/>
    <s v="Electronics"/>
    <s v="South Korea"/>
    <s v="Singapore"/>
    <s v="Rotterdam"/>
    <x v="1"/>
    <x v="1"/>
    <s v="High Cube"/>
    <n v="1"/>
    <s v="Electronics"/>
    <n v="42806.37"/>
    <n v="10445.69"/>
    <n v="2367.67"/>
    <n v="448.38"/>
    <n v="428.06"/>
    <n v="708.38"/>
    <n v="651.59"/>
    <n v="27756.6"/>
    <n v="0"/>
    <x v="3"/>
    <n v="87.05"/>
    <x v="1"/>
    <s v="Pending"/>
    <s v="Critical"/>
    <s v="A. Tan"/>
    <s v="Asia"/>
    <x v="4"/>
  </r>
  <r>
    <x v="808"/>
    <s v="BK50809"/>
    <d v="2025-03-24T00:00:00"/>
    <d v="2025-03-25T00:00:00"/>
    <d v="2025-04-11T00:00:00"/>
    <x v="10"/>
    <s v="E-commerce"/>
    <s v="USA"/>
    <s v="Jebel Ali"/>
    <s v="Nhava Sheva"/>
    <x v="2"/>
    <x v="1"/>
    <s v="High Cube"/>
    <n v="2"/>
    <s v="Auto Parts"/>
    <n v="79557.63"/>
    <n v="17877.03"/>
    <n v="6332.95"/>
    <n v="1792.14"/>
    <n v="795.58"/>
    <n v="367.1"/>
    <n v="1016.45"/>
    <n v="51376.38"/>
    <n v="36"/>
    <x v="5"/>
    <n v="148.97999999999999"/>
    <x v="0"/>
    <s v="Paid"/>
    <s v="Standard"/>
    <s v="A. Tan"/>
    <s v="Europe"/>
    <x v="5"/>
  </r>
  <r>
    <x v="809"/>
    <s v="BK50810"/>
    <d v="2025-10-14T00:00:00"/>
    <d v="2025-10-16T00:00:00"/>
    <d v="2025-11-05T00:00:00"/>
    <x v="7"/>
    <s v="Retail"/>
    <s v="Germany"/>
    <s v="Singapore"/>
    <s v="Rotterdam"/>
    <x v="3"/>
    <x v="4"/>
    <s v="20FT"/>
    <n v="4"/>
    <s v="Auto Parts"/>
    <n v="173885.88"/>
    <n v="42437.77"/>
    <n v="9167.1"/>
    <n v="2673.79"/>
    <n v="1738.86"/>
    <n v="163.44"/>
    <n v="677.25"/>
    <n v="117027.67"/>
    <n v="0"/>
    <x v="3"/>
    <n v="353.65"/>
    <x v="1"/>
    <s v="Paid"/>
    <s v="Critical"/>
    <s v="A. Tan"/>
    <s v="Asia"/>
    <x v="7"/>
  </r>
  <r>
    <x v="810"/>
    <s v="BK50811"/>
    <d v="2025-10-02T00:00:00"/>
    <d v="2025-10-06T00:00:00"/>
    <d v="2025-11-01T00:00:00"/>
    <x v="1"/>
    <s v="FMCG"/>
    <s v="UK"/>
    <s v="Jebel Ali"/>
    <s v="Colombo"/>
    <x v="1"/>
    <x v="4"/>
    <s v="High Cube"/>
    <n v="2"/>
    <s v="Machinery"/>
    <n v="59208.12"/>
    <n v="12620.41"/>
    <n v="3426.55"/>
    <n v="890.25"/>
    <n v="592.08000000000004"/>
    <n v="878.36"/>
    <n v="1145.57"/>
    <n v="39654.9"/>
    <n v="36"/>
    <x v="1"/>
    <n v="105.17"/>
    <x v="0"/>
    <s v="Pending"/>
    <s v="Critical"/>
    <s v="L. Chen"/>
    <s v="Asia"/>
    <x v="7"/>
  </r>
  <r>
    <x v="811"/>
    <s v="BK50812"/>
    <d v="2025-10-07T00:00:00"/>
    <d v="2025-10-10T00:00:00"/>
    <d v="2025-10-23T00:00:00"/>
    <x v="11"/>
    <s v="Automotive"/>
    <s v="Japan"/>
    <s v="Colombo"/>
    <s v="Shanghai"/>
    <x v="1"/>
    <x v="0"/>
    <s v="20FT"/>
    <n v="2"/>
    <s v="Food"/>
    <n v="13029.46"/>
    <n v="2752.88"/>
    <n v="542.21"/>
    <n v="341.25"/>
    <n v="130.29"/>
    <n v="746.65"/>
    <n v="667.73"/>
    <n v="7848.45"/>
    <n v="48"/>
    <x v="4"/>
    <n v="22.94"/>
    <x v="0"/>
    <s v="Pending"/>
    <s v="Standard"/>
    <s v="M. Ahmed"/>
    <s v="North America"/>
    <x v="7"/>
  </r>
  <r>
    <x v="812"/>
    <s v="BK50813"/>
    <d v="2025-09-09T00:00:00"/>
    <d v="2025-09-11T00:00:00"/>
    <d v="2025-09-22T00:00:00"/>
    <x v="7"/>
    <s v="Retail"/>
    <s v="Germany"/>
    <s v="Singapore"/>
    <s v="Rotterdam"/>
    <x v="3"/>
    <x v="3"/>
    <s v="20FT"/>
    <n v="4"/>
    <s v="Furniture"/>
    <n v="170680.95"/>
    <n v="47106.38"/>
    <n v="13530.11"/>
    <n v="3376.99"/>
    <n v="1706.81"/>
    <n v="395.48"/>
    <n v="1686.63"/>
    <n v="102878.55"/>
    <n v="0"/>
    <x v="3"/>
    <n v="392.55"/>
    <x v="1"/>
    <s v="Pending"/>
    <s v="High"/>
    <s v="J. Smith"/>
    <s v="Europe"/>
    <x v="3"/>
  </r>
  <r>
    <x v="813"/>
    <s v="BK50814"/>
    <d v="2025-01-02T00:00:00"/>
    <d v="2025-01-05T00:00:00"/>
    <d v="2025-01-17T00:00:00"/>
    <x v="9"/>
    <s v="Engineering"/>
    <s v="Germany"/>
    <s v="Colombo"/>
    <s v="Busan"/>
    <x v="1"/>
    <x v="0"/>
    <s v="Reefer"/>
    <n v="1"/>
    <s v="Chemicals"/>
    <n v="31864.94"/>
    <n v="5361.83"/>
    <n v="2128.62"/>
    <n v="348.63"/>
    <n v="318.64999999999998"/>
    <n v="357.09"/>
    <n v="989.43"/>
    <n v="22360.69"/>
    <n v="12"/>
    <x v="4"/>
    <n v="44.68"/>
    <x v="0"/>
    <s v="Paid"/>
    <s v="Standard"/>
    <s v="L. Chen"/>
    <s v="North America"/>
    <x v="11"/>
  </r>
  <r>
    <x v="814"/>
    <s v="BK50815"/>
    <d v="2025-01-19T00:00:00"/>
    <d v="2025-01-23T00:00:00"/>
    <d v="2025-02-03T00:00:00"/>
    <x v="9"/>
    <s v="Engineering"/>
    <s v="Germany"/>
    <s v="Colombo"/>
    <s v="Singapore"/>
    <x v="4"/>
    <x v="5"/>
    <s v="20FT"/>
    <n v="2"/>
    <s v="Chemicals"/>
    <n v="89633.35"/>
    <n v="22011.9"/>
    <n v="5440.79"/>
    <n v="1339.8"/>
    <n v="896.33"/>
    <n v="119.58"/>
    <n v="2246.71"/>
    <n v="57578.239999999998"/>
    <n v="0"/>
    <x v="3"/>
    <n v="183.43"/>
    <x v="1"/>
    <s v="Pending"/>
    <s v="Standard"/>
    <s v="A. Tan"/>
    <s v="Asia"/>
    <x v="11"/>
  </r>
  <r>
    <x v="815"/>
    <s v="BK50816"/>
    <d v="2025-06-25T00:00:00"/>
    <d v="2025-06-28T00:00:00"/>
    <d v="2025-07-24T00:00:00"/>
    <x v="0"/>
    <s v="Retail"/>
    <s v="India"/>
    <s v="Jebel Ali"/>
    <s v="Nhava Sheva"/>
    <x v="2"/>
    <x v="7"/>
    <s v="20FT"/>
    <n v="2"/>
    <s v="Textiles"/>
    <n v="19888.439999999999"/>
    <n v="5862.39"/>
    <n v="1034.7"/>
    <n v="222.83"/>
    <n v="198.88"/>
    <n v="385.92"/>
    <n v="776.76"/>
    <n v="11406.96"/>
    <n v="48"/>
    <x v="1"/>
    <n v="48.85"/>
    <x v="0"/>
    <s v="Paid"/>
    <s v="Standard"/>
    <s v="A. Tan"/>
    <s v="Middle East"/>
    <x v="0"/>
  </r>
  <r>
    <x v="816"/>
    <s v="BK50817"/>
    <d v="2025-09-15T00:00:00"/>
    <d v="2025-09-16T00:00:00"/>
    <d v="2025-10-03T00:00:00"/>
    <x v="2"/>
    <s v="Electronics"/>
    <s v="South Korea"/>
    <s v="Busan"/>
    <s v="Los Angeles"/>
    <x v="0"/>
    <x v="4"/>
    <s v="20FT"/>
    <n v="4"/>
    <s v="Food"/>
    <n v="128886.17"/>
    <n v="25069.47"/>
    <n v="6743.18"/>
    <n v="2721.63"/>
    <n v="1288.8599999999999"/>
    <n v="884.8"/>
    <n v="2196.33"/>
    <n v="89981.9"/>
    <n v="0"/>
    <x v="3"/>
    <n v="208.91"/>
    <x v="1"/>
    <s v="Paid"/>
    <s v="Critical"/>
    <s v="M. Ahmed"/>
    <s v="North America"/>
    <x v="3"/>
  </r>
  <r>
    <x v="817"/>
    <s v="BK50818"/>
    <d v="2025-02-01T00:00:00"/>
    <d v="2025-02-04T00:00:00"/>
    <d v="2025-03-02T00:00:00"/>
    <x v="1"/>
    <s v="FMCG"/>
    <s v="UK"/>
    <s v="Busan"/>
    <s v="Los Angeles"/>
    <x v="0"/>
    <x v="3"/>
    <s v="40FT"/>
    <n v="2"/>
    <s v="Furniture"/>
    <n v="82266.509999999995"/>
    <n v="23253.759999999998"/>
    <n v="6407.39"/>
    <n v="2324.81"/>
    <n v="822.67"/>
    <n v="745.77"/>
    <n v="1629.31"/>
    <n v="47082.8"/>
    <n v="4"/>
    <x v="5"/>
    <n v="193.78"/>
    <x v="0"/>
    <s v="Pending"/>
    <s v="High"/>
    <s v="L. Chen"/>
    <s v="Asia"/>
    <x v="9"/>
  </r>
  <r>
    <x v="818"/>
    <s v="BK50819"/>
    <d v="2025-09-20T00:00:00"/>
    <d v="2025-09-23T00:00:00"/>
    <d v="2025-10-20T00:00:00"/>
    <x v="5"/>
    <s v="Food"/>
    <s v="Switzerland"/>
    <s v="New York"/>
    <s v="Busan"/>
    <x v="1"/>
    <x v="5"/>
    <s v="20FT"/>
    <n v="2"/>
    <s v="Textiles"/>
    <n v="47640.77"/>
    <n v="10117.61"/>
    <n v="3736.63"/>
    <n v="1230.58"/>
    <n v="476.41"/>
    <n v="553.82000000000005"/>
    <n v="1410.88"/>
    <n v="30114.84"/>
    <n v="12"/>
    <x v="2"/>
    <n v="84.31"/>
    <x v="0"/>
    <s v="Paid"/>
    <s v="High"/>
    <s v="M. Ahmed"/>
    <s v="Middle East"/>
    <x v="3"/>
  </r>
  <r>
    <x v="819"/>
    <s v="BK50820"/>
    <d v="2025-09-11T00:00:00"/>
    <d v="2025-09-15T00:00:00"/>
    <d v="2025-10-08T00:00:00"/>
    <x v="4"/>
    <s v="Manufacturing"/>
    <s v="Germany"/>
    <s v="Singapore"/>
    <s v="Rotterdam"/>
    <x v="3"/>
    <x v="0"/>
    <s v="40FT"/>
    <n v="1"/>
    <s v="Chemicals"/>
    <n v="26107.62"/>
    <n v="7237.69"/>
    <n v="1895.4"/>
    <n v="738.76"/>
    <n v="261.08"/>
    <n v="868.66"/>
    <n v="793.82"/>
    <n v="14312.21"/>
    <n v="4"/>
    <x v="5"/>
    <n v="60.31"/>
    <x v="0"/>
    <s v="Paid"/>
    <s v="Critical"/>
    <s v="A. Tan"/>
    <s v="Middle East"/>
    <x v="3"/>
  </r>
  <r>
    <x v="820"/>
    <s v="BK50821"/>
    <d v="2025-12-23T00:00:00"/>
    <d v="2025-12-25T00:00:00"/>
    <d v="2026-01-08T00:00:00"/>
    <x v="6"/>
    <s v="Pharma"/>
    <s v="USA"/>
    <s v="Busan"/>
    <s v="Los Angeles"/>
    <x v="0"/>
    <x v="3"/>
    <s v="40FT"/>
    <n v="2"/>
    <s v="Food"/>
    <n v="43917.24"/>
    <n v="8495.34"/>
    <n v="2700.68"/>
    <n v="475.6"/>
    <n v="439.17"/>
    <n v="248.18"/>
    <n v="2189.21"/>
    <n v="29369.06"/>
    <n v="8"/>
    <x v="4"/>
    <n v="70.790000000000006"/>
    <x v="0"/>
    <s v="Paid"/>
    <s v="Standard"/>
    <s v="A. Tan"/>
    <s v="North America"/>
    <x v="2"/>
  </r>
  <r>
    <x v="821"/>
    <s v="BK50822"/>
    <d v="2025-08-29T00:00:00"/>
    <d v="2025-09-01T00:00:00"/>
    <d v="2025-09-28T00:00:00"/>
    <x v="1"/>
    <s v="FMCG"/>
    <s v="UK"/>
    <s v="Nhava Sheva"/>
    <s v="Los Angeles"/>
    <x v="1"/>
    <x v="1"/>
    <s v="High Cube"/>
    <n v="2"/>
    <s v="Chemicals"/>
    <n v="53779.42"/>
    <n v="13216.21"/>
    <n v="2742.98"/>
    <n v="1002.16"/>
    <n v="537.79"/>
    <n v="651.05999999999995"/>
    <n v="707.11"/>
    <n v="34922.11"/>
    <n v="0"/>
    <x v="3"/>
    <n v="110.14"/>
    <x v="1"/>
    <s v="Pending"/>
    <s v="High"/>
    <s v="M. Ahmed"/>
    <s v="North America"/>
    <x v="4"/>
  </r>
  <r>
    <x v="822"/>
    <s v="BK50823"/>
    <d v="2025-03-22T00:00:00"/>
    <d v="2025-03-23T00:00:00"/>
    <d v="2025-04-04T00:00:00"/>
    <x v="8"/>
    <s v="Retail"/>
    <s v="Sweden"/>
    <s v="Shanghai"/>
    <s v="Rotterdam"/>
    <x v="3"/>
    <x v="6"/>
    <s v="High Cube"/>
    <n v="2"/>
    <s v="Textiles"/>
    <n v="20905.66"/>
    <n v="5275.86"/>
    <n v="1588.5"/>
    <n v="397.39"/>
    <n v="209.06"/>
    <n v="114.88"/>
    <n v="1294.3399999999999"/>
    <n v="12025.63"/>
    <n v="8"/>
    <x v="0"/>
    <n v="43.97"/>
    <x v="0"/>
    <s v="Pending"/>
    <s v="Critical"/>
    <s v="M. Ahmed"/>
    <s v="North America"/>
    <x v="5"/>
  </r>
  <r>
    <x v="823"/>
    <s v="BK50824"/>
    <d v="2025-05-21T00:00:00"/>
    <d v="2025-05-25T00:00:00"/>
    <d v="2025-06-19T00:00:00"/>
    <x v="5"/>
    <s v="Food"/>
    <s v="Switzerland"/>
    <s v="Colombo"/>
    <s v="Singapore"/>
    <x v="4"/>
    <x v="1"/>
    <s v="20FT"/>
    <n v="4"/>
    <s v="Chemicals"/>
    <n v="166542.6"/>
    <n v="49563.1"/>
    <n v="9781.51"/>
    <n v="4568.17"/>
    <n v="1665.43"/>
    <n v="309.51"/>
    <n v="1393.08"/>
    <n v="99261.8"/>
    <n v="0"/>
    <x v="3"/>
    <n v="413.03"/>
    <x v="1"/>
    <s v="Paid"/>
    <s v="Critical"/>
    <s v="M. Ahmed"/>
    <s v="Asia"/>
    <x v="6"/>
  </r>
  <r>
    <x v="824"/>
    <s v="BK50825"/>
    <d v="2025-04-02T00:00:00"/>
    <d v="2025-04-06T00:00:00"/>
    <d v="2025-04-22T00:00:00"/>
    <x v="10"/>
    <s v="E-commerce"/>
    <s v="USA"/>
    <s v="Colombo"/>
    <s v="Colombo"/>
    <x v="1"/>
    <x v="1"/>
    <s v="Reefer"/>
    <n v="1"/>
    <s v="Furniture"/>
    <n v="30142.02"/>
    <n v="5817.85"/>
    <n v="1900.19"/>
    <n v="650.12"/>
    <n v="301.42"/>
    <n v="536.34"/>
    <n v="314.05"/>
    <n v="20622.05"/>
    <n v="36"/>
    <x v="0"/>
    <n v="48.48"/>
    <x v="0"/>
    <s v="Paid"/>
    <s v="Standard"/>
    <s v="R. Mehta"/>
    <s v="North America"/>
    <x v="10"/>
  </r>
  <r>
    <x v="825"/>
    <s v="BK50826"/>
    <d v="2025-05-15T00:00:00"/>
    <d v="2025-05-18T00:00:00"/>
    <d v="2025-06-15T00:00:00"/>
    <x v="3"/>
    <s v="Electronics"/>
    <s v="South Korea"/>
    <s v="Los Angeles"/>
    <s v="Hamburg"/>
    <x v="1"/>
    <x v="3"/>
    <s v="20FT"/>
    <n v="1"/>
    <s v="Electronics"/>
    <n v="42684.55"/>
    <n v="10456.42"/>
    <n v="2219.52"/>
    <n v="649.39"/>
    <n v="426.85"/>
    <n v="339.66"/>
    <n v="2342.79"/>
    <n v="26249.919999999998"/>
    <n v="24"/>
    <x v="5"/>
    <n v="87.14"/>
    <x v="0"/>
    <s v="Pending"/>
    <s v="Critical"/>
    <s v="R. Mehta"/>
    <s v="Middle East"/>
    <x v="6"/>
  </r>
  <r>
    <x v="826"/>
    <s v="BK50827"/>
    <d v="2025-05-19T00:00:00"/>
    <d v="2025-05-20T00:00:00"/>
    <d v="2025-06-09T00:00:00"/>
    <x v="11"/>
    <s v="Automotive"/>
    <s v="Japan"/>
    <s v="New York"/>
    <s v="Rotterdam"/>
    <x v="1"/>
    <x v="4"/>
    <s v="40FT"/>
    <n v="2"/>
    <s v="Auto Parts"/>
    <n v="87171.5"/>
    <n v="21570.34"/>
    <n v="4698.54"/>
    <n v="1310.82"/>
    <n v="871.72"/>
    <n v="112.78"/>
    <n v="1445.93"/>
    <n v="57161.37"/>
    <n v="0"/>
    <x v="3"/>
    <n v="179.75"/>
    <x v="1"/>
    <s v="Pending"/>
    <s v="Standard"/>
    <s v="M. Ahmed"/>
    <s v="North America"/>
    <x v="6"/>
  </r>
  <r>
    <x v="827"/>
    <s v="BK50828"/>
    <d v="2025-06-17T00:00:00"/>
    <d v="2025-06-21T00:00:00"/>
    <d v="2025-07-18T00:00:00"/>
    <x v="6"/>
    <s v="Pharma"/>
    <s v="USA"/>
    <s v="Singapore"/>
    <s v="Rotterdam"/>
    <x v="3"/>
    <x v="5"/>
    <s v="High Cube"/>
    <n v="2"/>
    <s v="Auto Parts"/>
    <n v="87846.59"/>
    <n v="22575.16"/>
    <n v="3568.49"/>
    <n v="2413.9299999999998"/>
    <n v="878.47"/>
    <n v="841.73"/>
    <n v="515.09"/>
    <n v="57053.72"/>
    <n v="0"/>
    <x v="3"/>
    <n v="188.13"/>
    <x v="1"/>
    <s v="Pending"/>
    <s v="Critical"/>
    <s v="J. Smith"/>
    <s v="Middle East"/>
    <x v="0"/>
  </r>
  <r>
    <x v="828"/>
    <s v="BK50829"/>
    <d v="2025-03-28T00:00:00"/>
    <d v="2025-04-01T00:00:00"/>
    <d v="2025-04-27T00:00:00"/>
    <x v="7"/>
    <s v="Retail"/>
    <s v="Germany"/>
    <s v="Singapore"/>
    <s v="Colombo"/>
    <x v="1"/>
    <x v="5"/>
    <s v="High Cube"/>
    <n v="2"/>
    <s v="Machinery"/>
    <n v="78982.06"/>
    <n v="14372.93"/>
    <n v="4296.1099999999997"/>
    <n v="2092.2600000000002"/>
    <n v="789.82"/>
    <n v="442.32"/>
    <n v="2387.1799999999998"/>
    <n v="54601.440000000002"/>
    <n v="0"/>
    <x v="3"/>
    <n v="119.77"/>
    <x v="1"/>
    <s v="Paid"/>
    <s v="High"/>
    <s v="L. Chen"/>
    <s v="Asia"/>
    <x v="5"/>
  </r>
  <r>
    <x v="829"/>
    <s v="BK50830"/>
    <d v="2025-02-01T00:00:00"/>
    <d v="2025-02-05T00:00:00"/>
    <d v="2025-03-01T00:00:00"/>
    <x v="6"/>
    <s v="Pharma"/>
    <s v="USA"/>
    <s v="Colombo"/>
    <s v="Singapore"/>
    <x v="4"/>
    <x v="1"/>
    <s v="Reefer"/>
    <n v="2"/>
    <s v="Auto Parts"/>
    <n v="33078.11"/>
    <n v="5460"/>
    <n v="1404.52"/>
    <n v="370.49"/>
    <n v="330.78"/>
    <n v="246.09"/>
    <n v="2036.57"/>
    <n v="23229.66"/>
    <n v="0"/>
    <x v="3"/>
    <n v="45.5"/>
    <x v="1"/>
    <s v="Pending"/>
    <s v="Standard"/>
    <s v="L. Chen"/>
    <s v="North America"/>
    <x v="9"/>
  </r>
  <r>
    <x v="830"/>
    <s v="BK50831"/>
    <d v="2025-11-20T00:00:00"/>
    <d v="2025-11-21T00:00:00"/>
    <d v="2025-12-04T00:00:00"/>
    <x v="5"/>
    <s v="Food"/>
    <s v="Switzerland"/>
    <s v="Singapore"/>
    <s v="Rotterdam"/>
    <x v="3"/>
    <x v="2"/>
    <s v="40FT"/>
    <n v="4"/>
    <s v="Food"/>
    <n v="134812.65"/>
    <n v="27135.41"/>
    <n v="10666.82"/>
    <n v="3899.88"/>
    <n v="1348.13"/>
    <n v="662.06"/>
    <n v="1725.28"/>
    <n v="89375.07"/>
    <n v="24"/>
    <x v="4"/>
    <n v="226.13"/>
    <x v="0"/>
    <s v="Pending"/>
    <s v="High"/>
    <s v="L. Chen"/>
    <s v="Asia"/>
    <x v="8"/>
  </r>
  <r>
    <x v="831"/>
    <s v="BK50832"/>
    <d v="2025-10-08T00:00:00"/>
    <d v="2025-10-12T00:00:00"/>
    <d v="2025-10-23T00:00:00"/>
    <x v="7"/>
    <s v="Retail"/>
    <s v="Germany"/>
    <s v="Jebel Ali"/>
    <s v="Jebel Ali"/>
    <x v="1"/>
    <x v="7"/>
    <s v="Reefer"/>
    <n v="2"/>
    <s v="Furniture"/>
    <n v="47821.5"/>
    <n v="9110.9699999999993"/>
    <n v="2818.29"/>
    <n v="1012.95"/>
    <n v="478.22"/>
    <n v="848.15"/>
    <n v="695.11"/>
    <n v="32857.81"/>
    <n v="0"/>
    <x v="3"/>
    <n v="75.92"/>
    <x v="1"/>
    <s v="Paid"/>
    <s v="Standard"/>
    <s v="M. Ahmed"/>
    <s v="North America"/>
    <x v="7"/>
  </r>
  <r>
    <x v="832"/>
    <s v="BK50833"/>
    <d v="2025-01-27T00:00:00"/>
    <d v="2025-01-29T00:00:00"/>
    <d v="2025-02-14T00:00:00"/>
    <x v="1"/>
    <s v="FMCG"/>
    <s v="UK"/>
    <s v="Hamburg"/>
    <s v="Los Angeles"/>
    <x v="1"/>
    <x v="5"/>
    <s v="40FT"/>
    <n v="4"/>
    <s v="Electronics"/>
    <n v="158547.63"/>
    <n v="45801.440000000002"/>
    <n v="10550.56"/>
    <n v="3291.35"/>
    <n v="1585.48"/>
    <n v="537.02"/>
    <n v="2204.6"/>
    <n v="94577.18"/>
    <n v="36"/>
    <x v="5"/>
    <n v="381.68"/>
    <x v="0"/>
    <s v="Pending"/>
    <s v="Critical"/>
    <s v="R. Mehta"/>
    <s v="Middle East"/>
    <x v="11"/>
  </r>
  <r>
    <x v="833"/>
    <s v="BK50834"/>
    <d v="2025-04-15T00:00:00"/>
    <d v="2025-04-17T00:00:00"/>
    <d v="2025-05-12T00:00:00"/>
    <x v="5"/>
    <s v="Food"/>
    <s v="Switzerland"/>
    <s v="Nhava Sheva"/>
    <s v="Nhava Sheva"/>
    <x v="1"/>
    <x v="6"/>
    <s v="20FT"/>
    <n v="2"/>
    <s v="Food"/>
    <n v="63738.31"/>
    <n v="10540.81"/>
    <n v="3728.6"/>
    <n v="826.85"/>
    <n v="637.38"/>
    <n v="259.57"/>
    <n v="771.81"/>
    <n v="46973.29"/>
    <n v="4"/>
    <x v="0"/>
    <n v="87.84"/>
    <x v="0"/>
    <s v="Pending"/>
    <s v="Standard"/>
    <s v="J. Smith"/>
    <s v="Asia"/>
    <x v="10"/>
  </r>
  <r>
    <x v="834"/>
    <s v="BK50835"/>
    <d v="2025-03-14T00:00:00"/>
    <d v="2025-03-16T00:00:00"/>
    <d v="2025-03-30T00:00:00"/>
    <x v="4"/>
    <s v="Manufacturing"/>
    <s v="Germany"/>
    <s v="Singapore"/>
    <s v="Rotterdam"/>
    <x v="3"/>
    <x v="4"/>
    <s v="40FT"/>
    <n v="1"/>
    <s v="Chemicals"/>
    <n v="20483.509999999998"/>
    <n v="3336.72"/>
    <n v="1286.53"/>
    <n v="469.33"/>
    <n v="204.84"/>
    <n v="499.42"/>
    <n v="2297.9699999999998"/>
    <n v="12388.7"/>
    <n v="36"/>
    <x v="1"/>
    <n v="27.81"/>
    <x v="0"/>
    <s v="Paid"/>
    <s v="Standard"/>
    <s v="M. Ahmed"/>
    <s v="North America"/>
    <x v="5"/>
  </r>
  <r>
    <x v="835"/>
    <s v="BK50836"/>
    <d v="2025-04-21T00:00:00"/>
    <d v="2025-04-23T00:00:00"/>
    <d v="2025-05-08T00:00:00"/>
    <x v="10"/>
    <s v="E-commerce"/>
    <s v="USA"/>
    <s v="Jebel Ali"/>
    <s v="Nhava Sheva"/>
    <x v="2"/>
    <x v="6"/>
    <s v="High Cube"/>
    <n v="2"/>
    <s v="Chemicals"/>
    <n v="84590.2"/>
    <n v="17240.419999999998"/>
    <n v="4071.64"/>
    <n v="1587.15"/>
    <n v="845.9"/>
    <n v="240.96"/>
    <n v="1128.21"/>
    <n v="59475.92"/>
    <n v="8"/>
    <x v="4"/>
    <n v="143.66999999999999"/>
    <x v="0"/>
    <s v="Pending"/>
    <s v="Standard"/>
    <s v="A. Tan"/>
    <s v="Asia"/>
    <x v="10"/>
  </r>
  <r>
    <x v="836"/>
    <s v="BK50837"/>
    <d v="2025-11-04T00:00:00"/>
    <d v="2025-11-07T00:00:00"/>
    <d v="2025-11-18T00:00:00"/>
    <x v="9"/>
    <s v="Engineering"/>
    <s v="Germany"/>
    <s v="Colombo"/>
    <s v="Singapore"/>
    <x v="4"/>
    <x v="7"/>
    <s v="40FT"/>
    <n v="4"/>
    <s v="Chemicals"/>
    <n v="115671.54"/>
    <n v="20466.560000000001"/>
    <n v="6949.21"/>
    <n v="1298.6300000000001"/>
    <n v="1156.72"/>
    <n v="291.74"/>
    <n v="1757.43"/>
    <n v="83751.25"/>
    <n v="36"/>
    <x v="5"/>
    <n v="170.55"/>
    <x v="0"/>
    <s v="Paid"/>
    <s v="High"/>
    <s v="J. Smith"/>
    <s v="Europe"/>
    <x v="8"/>
  </r>
  <r>
    <x v="837"/>
    <s v="BK50838"/>
    <d v="2025-06-24T00:00:00"/>
    <d v="2025-06-28T00:00:00"/>
    <d v="2025-07-23T00:00:00"/>
    <x v="11"/>
    <s v="Automotive"/>
    <s v="Japan"/>
    <s v="Jebel Ali"/>
    <s v="Busan"/>
    <x v="1"/>
    <x v="7"/>
    <s v="Reefer"/>
    <n v="4"/>
    <s v="Textiles"/>
    <n v="28140.799999999999"/>
    <n v="5504.68"/>
    <n v="1736.19"/>
    <n v="687.43"/>
    <n v="281.41000000000003"/>
    <n v="236.89"/>
    <n v="2364.11"/>
    <n v="17330.09"/>
    <n v="0"/>
    <x v="3"/>
    <n v="45.87"/>
    <x v="1"/>
    <s v="Pending"/>
    <s v="Standard"/>
    <s v="R. Mehta"/>
    <s v="North America"/>
    <x v="0"/>
  </r>
  <r>
    <x v="838"/>
    <s v="BK50839"/>
    <d v="2025-09-11T00:00:00"/>
    <d v="2025-09-14T00:00:00"/>
    <d v="2025-10-06T00:00:00"/>
    <x v="3"/>
    <s v="Electronics"/>
    <s v="South Korea"/>
    <s v="Busan"/>
    <s v="Los Angeles"/>
    <x v="0"/>
    <x v="4"/>
    <s v="High Cube"/>
    <n v="1"/>
    <s v="Furniture"/>
    <n v="28120.97"/>
    <n v="7648.89"/>
    <n v="1374.6"/>
    <n v="635.69000000000005"/>
    <n v="281.20999999999998"/>
    <n v="320.29000000000002"/>
    <n v="442.51"/>
    <n v="17417.78"/>
    <n v="0"/>
    <x v="3"/>
    <n v="63.74"/>
    <x v="1"/>
    <s v="Pending"/>
    <s v="Critical"/>
    <s v="J. Smith"/>
    <s v="Europe"/>
    <x v="3"/>
  </r>
  <r>
    <x v="839"/>
    <s v="BK50840"/>
    <d v="2025-03-09T00:00:00"/>
    <d v="2025-03-12T00:00:00"/>
    <d v="2025-03-31T00:00:00"/>
    <x v="0"/>
    <s v="Retail"/>
    <s v="India"/>
    <s v="Jebel Ali"/>
    <s v="Busan"/>
    <x v="1"/>
    <x v="6"/>
    <s v="40FT"/>
    <n v="2"/>
    <s v="Chemicals"/>
    <n v="83861.16"/>
    <n v="17423.29"/>
    <n v="4973.75"/>
    <n v="1261.3900000000001"/>
    <n v="838.61"/>
    <n v="529.54999999999995"/>
    <n v="1288.74"/>
    <n v="57545.83"/>
    <n v="0"/>
    <x v="3"/>
    <n v="145.19"/>
    <x v="1"/>
    <s v="Paid"/>
    <s v="Standard"/>
    <s v="L. Chen"/>
    <s v="North America"/>
    <x v="5"/>
  </r>
  <r>
    <x v="840"/>
    <s v="BK50841"/>
    <d v="2025-02-01T00:00:00"/>
    <d v="2025-02-03T00:00:00"/>
    <d v="2025-02-26T00:00:00"/>
    <x v="0"/>
    <s v="Retail"/>
    <s v="India"/>
    <s v="Shanghai"/>
    <s v="Rotterdam"/>
    <x v="1"/>
    <x v="2"/>
    <s v="High Cube"/>
    <n v="4"/>
    <s v="Electronics"/>
    <n v="52254.46"/>
    <n v="14395.76"/>
    <n v="2860.14"/>
    <n v="1439.73"/>
    <n v="522.54"/>
    <n v="601.14"/>
    <n v="1046.69"/>
    <n v="31388.46"/>
    <n v="12"/>
    <x v="5"/>
    <n v="119.96"/>
    <x v="0"/>
    <s v="Paid"/>
    <s v="Critical"/>
    <s v="R. Mehta"/>
    <s v="North America"/>
    <x v="9"/>
  </r>
  <r>
    <x v="841"/>
    <s v="BK50842"/>
    <d v="2025-08-12T00:00:00"/>
    <d v="2025-08-13T00:00:00"/>
    <d v="2025-09-09T00:00:00"/>
    <x v="8"/>
    <s v="Retail"/>
    <s v="Sweden"/>
    <s v="Jebel Ali"/>
    <s v="Nhava Sheva"/>
    <x v="2"/>
    <x v="2"/>
    <s v="Reefer"/>
    <n v="4"/>
    <s v="Chemicals"/>
    <n v="126240.95"/>
    <n v="26738.93"/>
    <n v="5801.94"/>
    <n v="1405.76"/>
    <n v="1262.4100000000001"/>
    <n v="378.13"/>
    <n v="2469.0700000000002"/>
    <n v="88184.71"/>
    <n v="48"/>
    <x v="5"/>
    <n v="222.82"/>
    <x v="0"/>
    <s v="Paid"/>
    <s v="High"/>
    <s v="J. Smith"/>
    <s v="Middle East"/>
    <x v="4"/>
  </r>
  <r>
    <x v="842"/>
    <s v="BK50843"/>
    <d v="2025-06-08T00:00:00"/>
    <d v="2025-06-11T00:00:00"/>
    <d v="2025-07-02T00:00:00"/>
    <x v="10"/>
    <s v="E-commerce"/>
    <s v="USA"/>
    <s v="Hamburg"/>
    <s v="Nhava Sheva"/>
    <x v="1"/>
    <x v="4"/>
    <s v="Reefer"/>
    <n v="2"/>
    <s v="Furniture"/>
    <n v="77767.64"/>
    <n v="13165.28"/>
    <n v="5718.59"/>
    <n v="1356.97"/>
    <n v="777.68"/>
    <n v="508.37"/>
    <n v="837.85"/>
    <n v="55402.9"/>
    <n v="24"/>
    <x v="0"/>
    <n v="109.71"/>
    <x v="0"/>
    <s v="Pending"/>
    <s v="High"/>
    <s v="L. Chen"/>
    <s v="Asia"/>
    <x v="0"/>
  </r>
  <r>
    <x v="843"/>
    <s v="BK50844"/>
    <d v="2025-06-14T00:00:00"/>
    <d v="2025-06-15T00:00:00"/>
    <d v="2025-07-03T00:00:00"/>
    <x v="10"/>
    <s v="E-commerce"/>
    <s v="USA"/>
    <s v="Colombo"/>
    <s v="Singapore"/>
    <x v="4"/>
    <x v="0"/>
    <s v="Reefer"/>
    <n v="1"/>
    <s v="Electronics"/>
    <n v="15009.73"/>
    <n v="2586.89"/>
    <n v="715.23"/>
    <n v="294.16000000000003"/>
    <n v="150.1"/>
    <n v="875"/>
    <n v="2256.2399999999998"/>
    <n v="8132.11"/>
    <n v="36"/>
    <x v="0"/>
    <n v="21.56"/>
    <x v="0"/>
    <s v="Pending"/>
    <s v="Critical"/>
    <s v="L. Chen"/>
    <s v="North America"/>
    <x v="0"/>
  </r>
  <r>
    <x v="844"/>
    <s v="BK50845"/>
    <d v="2025-11-19T00:00:00"/>
    <d v="2025-11-20T00:00:00"/>
    <d v="2025-12-15T00:00:00"/>
    <x v="8"/>
    <s v="Retail"/>
    <s v="Sweden"/>
    <s v="Singapore"/>
    <s v="Rotterdam"/>
    <x v="3"/>
    <x v="3"/>
    <s v="20FT"/>
    <n v="2"/>
    <s v="Textiles"/>
    <n v="13608.36"/>
    <n v="2660.58"/>
    <n v="828.41"/>
    <n v="272.67"/>
    <n v="136.08000000000001"/>
    <n v="639.30999999999995"/>
    <n v="1060.3800000000001"/>
    <n v="8010.93"/>
    <n v="36"/>
    <x v="5"/>
    <n v="22.17"/>
    <x v="0"/>
    <s v="Paid"/>
    <s v="Critical"/>
    <s v="M. Ahmed"/>
    <s v="Middle East"/>
    <x v="8"/>
  </r>
  <r>
    <x v="845"/>
    <s v="BK50846"/>
    <d v="2025-08-16T00:00:00"/>
    <d v="2025-08-19T00:00:00"/>
    <d v="2025-08-30T00:00:00"/>
    <x v="0"/>
    <s v="Retail"/>
    <s v="India"/>
    <s v="Colombo"/>
    <s v="Singapore"/>
    <x v="4"/>
    <x v="0"/>
    <s v="Reefer"/>
    <n v="4"/>
    <s v="Food"/>
    <n v="115448.29"/>
    <n v="31610.99"/>
    <n v="5786.18"/>
    <n v="2993.9"/>
    <n v="1154.48"/>
    <n v="522.13"/>
    <n v="1217.0899999999999"/>
    <n v="72163.520000000004"/>
    <n v="0"/>
    <x v="3"/>
    <n v="263.42"/>
    <x v="1"/>
    <s v="Pending"/>
    <s v="Standard"/>
    <s v="R. Mehta"/>
    <s v="Europe"/>
    <x v="4"/>
  </r>
  <r>
    <x v="846"/>
    <s v="BK50847"/>
    <d v="2025-05-21T00:00:00"/>
    <d v="2025-05-22T00:00:00"/>
    <d v="2025-06-02T00:00:00"/>
    <x v="7"/>
    <s v="Retail"/>
    <s v="Germany"/>
    <s v="Busan"/>
    <s v="Los Angeles"/>
    <x v="0"/>
    <x v="3"/>
    <s v="40FT"/>
    <n v="2"/>
    <s v="Electronics"/>
    <n v="85944.66"/>
    <n v="15390.86"/>
    <n v="6568.21"/>
    <n v="1478.98"/>
    <n v="859.45"/>
    <n v="572.49"/>
    <n v="1295.74"/>
    <n v="59778.93"/>
    <n v="0"/>
    <x v="3"/>
    <n v="128.26"/>
    <x v="1"/>
    <s v="Paid"/>
    <s v="High"/>
    <s v="M. Ahmed"/>
    <s v="Middle East"/>
    <x v="6"/>
  </r>
  <r>
    <x v="847"/>
    <s v="BK50848"/>
    <d v="2025-06-19T00:00:00"/>
    <d v="2025-06-20T00:00:00"/>
    <d v="2025-07-10T00:00:00"/>
    <x v="9"/>
    <s v="Engineering"/>
    <s v="Germany"/>
    <s v="Jebel Ali"/>
    <s v="Nhava Sheva"/>
    <x v="2"/>
    <x v="4"/>
    <s v="40FT"/>
    <n v="4"/>
    <s v="Chemicals"/>
    <n v="83111.710000000006"/>
    <n v="22052.62"/>
    <n v="5904.71"/>
    <n v="2072.62"/>
    <n v="831.12"/>
    <n v="838.23"/>
    <n v="1148.02"/>
    <n v="50264.39"/>
    <n v="12"/>
    <x v="4"/>
    <n v="183.77"/>
    <x v="0"/>
    <s v="Pending"/>
    <s v="Critical"/>
    <s v="R. Mehta"/>
    <s v="Asia"/>
    <x v="0"/>
  </r>
  <r>
    <x v="848"/>
    <s v="BK50849"/>
    <d v="2025-09-17T00:00:00"/>
    <d v="2025-09-18T00:00:00"/>
    <d v="2025-10-08T00:00:00"/>
    <x v="11"/>
    <s v="Automotive"/>
    <s v="Japan"/>
    <s v="Singapore"/>
    <s v="Los Angeles"/>
    <x v="1"/>
    <x v="3"/>
    <s v="40FT"/>
    <n v="2"/>
    <s v="Chemicals"/>
    <n v="33875.339999999997"/>
    <n v="8574.74"/>
    <n v="1370.58"/>
    <n v="682.01"/>
    <n v="338.75"/>
    <n v="293.29000000000002"/>
    <n v="2261.84"/>
    <n v="20354.13"/>
    <n v="0"/>
    <x v="3"/>
    <n v="71.459999999999994"/>
    <x v="1"/>
    <s v="Paid"/>
    <s v="High"/>
    <s v="M. Ahmed"/>
    <s v="Asia"/>
    <x v="3"/>
  </r>
  <r>
    <x v="849"/>
    <s v="BK50850"/>
    <d v="2025-07-26T00:00:00"/>
    <d v="2025-07-28T00:00:00"/>
    <d v="2025-08-11T00:00:00"/>
    <x v="4"/>
    <s v="Manufacturing"/>
    <s v="Germany"/>
    <s v="Jebel Ali"/>
    <s v="Nhava Sheva"/>
    <x v="2"/>
    <x v="4"/>
    <s v="20FT"/>
    <n v="4"/>
    <s v="Chemicals"/>
    <n v="138408.6"/>
    <n v="24866.26"/>
    <n v="9841.6"/>
    <n v="3169.41"/>
    <n v="1384.09"/>
    <n v="534.97"/>
    <n v="2431.23"/>
    <n v="96181.04"/>
    <n v="0"/>
    <x v="3"/>
    <n v="207.22"/>
    <x v="1"/>
    <s v="Pending"/>
    <s v="Critical"/>
    <s v="A. Tan"/>
    <s v="Asia"/>
    <x v="1"/>
  </r>
  <r>
    <x v="850"/>
    <s v="BK50851"/>
    <d v="2025-06-30T00:00:00"/>
    <d v="2025-07-02T00:00:00"/>
    <d v="2025-07-29T00:00:00"/>
    <x v="8"/>
    <s v="Retail"/>
    <s v="Sweden"/>
    <s v="Colombo"/>
    <s v="Singapore"/>
    <x v="4"/>
    <x v="7"/>
    <s v="20FT"/>
    <n v="2"/>
    <s v="Auto Parts"/>
    <n v="64900.01"/>
    <n v="10961.6"/>
    <n v="4262.8500000000004"/>
    <n v="1737.77"/>
    <n v="649"/>
    <n v="744.37"/>
    <n v="1615.71"/>
    <n v="44928.71"/>
    <n v="24"/>
    <x v="4"/>
    <n v="91.35"/>
    <x v="0"/>
    <s v="Paid"/>
    <s v="Standard"/>
    <s v="R. Mehta"/>
    <s v="Middle East"/>
    <x v="0"/>
  </r>
  <r>
    <x v="851"/>
    <s v="BK50852"/>
    <d v="2025-06-10T00:00:00"/>
    <d v="2025-06-13T00:00:00"/>
    <d v="2025-07-06T00:00:00"/>
    <x v="6"/>
    <s v="Pharma"/>
    <s v="USA"/>
    <s v="Jebel Ali"/>
    <s v="Nhava Sheva"/>
    <x v="2"/>
    <x v="2"/>
    <s v="20FT"/>
    <n v="4"/>
    <s v="Electronics"/>
    <n v="74116.25"/>
    <n v="12177.51"/>
    <n v="5647.96"/>
    <n v="1416.56"/>
    <n v="741.16"/>
    <n v="505.48"/>
    <n v="1082.1600000000001"/>
    <n v="52545.42"/>
    <n v="0"/>
    <x v="3"/>
    <n v="101.48"/>
    <x v="1"/>
    <s v="Paid"/>
    <s v="High"/>
    <s v="R. Mehta"/>
    <s v="Europe"/>
    <x v="0"/>
  </r>
  <r>
    <x v="852"/>
    <s v="BK50853"/>
    <d v="2025-09-08T00:00:00"/>
    <d v="2025-09-11T00:00:00"/>
    <d v="2025-09-23T00:00:00"/>
    <x v="5"/>
    <s v="Food"/>
    <s v="Switzerland"/>
    <s v="Colombo"/>
    <s v="Singapore"/>
    <x v="4"/>
    <x v="1"/>
    <s v="20FT"/>
    <n v="2"/>
    <s v="Textiles"/>
    <n v="52670.07"/>
    <n v="13794.2"/>
    <n v="3102.97"/>
    <n v="1360.32"/>
    <n v="526.70000000000005"/>
    <n v="138.82"/>
    <n v="2037.26"/>
    <n v="31709.8"/>
    <n v="4"/>
    <x v="4"/>
    <n v="114.95"/>
    <x v="0"/>
    <s v="Paid"/>
    <s v="High"/>
    <s v="M. Ahmed"/>
    <s v="Europe"/>
    <x v="3"/>
  </r>
  <r>
    <x v="853"/>
    <s v="BK50854"/>
    <d v="2025-06-04T00:00:00"/>
    <d v="2025-06-05T00:00:00"/>
    <d v="2025-06-21T00:00:00"/>
    <x v="6"/>
    <s v="Pharma"/>
    <s v="USA"/>
    <s v="Shanghai"/>
    <s v="Rotterdam"/>
    <x v="3"/>
    <x v="5"/>
    <s v="Reefer"/>
    <n v="2"/>
    <s v="Furniture"/>
    <n v="20242.98"/>
    <n v="5852.84"/>
    <n v="969.76"/>
    <n v="366.75"/>
    <n v="202.43"/>
    <n v="473.21"/>
    <n v="787.7"/>
    <n v="11590.29"/>
    <n v="24"/>
    <x v="4"/>
    <n v="48.77"/>
    <x v="0"/>
    <s v="Paid"/>
    <s v="High"/>
    <s v="L. Chen"/>
    <s v="Middle East"/>
    <x v="0"/>
  </r>
  <r>
    <x v="854"/>
    <s v="BK50855"/>
    <d v="2025-10-29T00:00:00"/>
    <d v="2025-10-31T00:00:00"/>
    <d v="2025-11-13T00:00:00"/>
    <x v="8"/>
    <s v="Retail"/>
    <s v="Sweden"/>
    <s v="Shanghai"/>
    <s v="Rotterdam"/>
    <x v="3"/>
    <x v="1"/>
    <s v="High Cube"/>
    <n v="1"/>
    <s v="Furniture"/>
    <n v="10765.16"/>
    <n v="2999.34"/>
    <n v="847.15"/>
    <n v="169.62"/>
    <n v="107.65"/>
    <n v="725.39"/>
    <n v="2046.55"/>
    <n v="3869.46"/>
    <n v="0"/>
    <x v="3"/>
    <n v="24.99"/>
    <x v="1"/>
    <s v="Pending"/>
    <s v="Critical"/>
    <s v="M. Ahmed"/>
    <s v="Asia"/>
    <x v="7"/>
  </r>
  <r>
    <x v="855"/>
    <s v="BK50856"/>
    <d v="2025-11-05T00:00:00"/>
    <d v="2025-11-07T00:00:00"/>
    <d v="2025-11-26T00:00:00"/>
    <x v="3"/>
    <s v="Electronics"/>
    <s v="South Korea"/>
    <s v="Colombo"/>
    <s v="Singapore"/>
    <x v="4"/>
    <x v="5"/>
    <s v="Reefer"/>
    <n v="2"/>
    <s v="Chemicals"/>
    <n v="34870.11"/>
    <n v="5836.29"/>
    <n v="1812.72"/>
    <n v="564.5"/>
    <n v="348.7"/>
    <n v="819.18"/>
    <n v="2028.91"/>
    <n v="23459.81"/>
    <n v="0"/>
    <x v="3"/>
    <n v="48.64"/>
    <x v="1"/>
    <s v="Paid"/>
    <s v="High"/>
    <s v="A. Tan"/>
    <s v="Asia"/>
    <x v="8"/>
  </r>
  <r>
    <x v="856"/>
    <s v="BK50857"/>
    <d v="2025-10-18T00:00:00"/>
    <d v="2025-10-22T00:00:00"/>
    <d v="2025-11-19T00:00:00"/>
    <x v="2"/>
    <s v="Electronics"/>
    <s v="South Korea"/>
    <s v="Shanghai"/>
    <s v="Rotterdam"/>
    <x v="3"/>
    <x v="4"/>
    <s v="40FT"/>
    <n v="2"/>
    <s v="Auto Parts"/>
    <n v="49609.49"/>
    <n v="9867.11"/>
    <n v="3630.27"/>
    <n v="1360.58"/>
    <n v="496.09"/>
    <n v="681.54"/>
    <n v="1125.8"/>
    <n v="32448.1"/>
    <n v="12"/>
    <x v="4"/>
    <n v="82.23"/>
    <x v="0"/>
    <s v="Paid"/>
    <s v="Critical"/>
    <s v="L. Chen"/>
    <s v="North America"/>
    <x v="7"/>
  </r>
  <r>
    <x v="857"/>
    <s v="BK50858"/>
    <d v="2025-11-27T00:00:00"/>
    <d v="2025-11-28T00:00:00"/>
    <d v="2025-12-15T00:00:00"/>
    <x v="10"/>
    <s v="E-commerce"/>
    <s v="USA"/>
    <s v="Busan"/>
    <s v="Los Angeles"/>
    <x v="0"/>
    <x v="4"/>
    <s v="40FT"/>
    <n v="2"/>
    <s v="Machinery"/>
    <n v="34313.65"/>
    <n v="10006.67"/>
    <n v="1619.8"/>
    <n v="924.68"/>
    <n v="343.14"/>
    <n v="739.65"/>
    <n v="2466.0500000000002"/>
    <n v="18213.66"/>
    <n v="8"/>
    <x v="2"/>
    <n v="83.39"/>
    <x v="0"/>
    <s v="Paid"/>
    <s v="Critical"/>
    <s v="A. Tan"/>
    <s v="Europe"/>
    <x v="8"/>
  </r>
  <r>
    <x v="858"/>
    <s v="BK50859"/>
    <d v="2025-10-04T00:00:00"/>
    <d v="2025-10-06T00:00:00"/>
    <d v="2025-10-27T00:00:00"/>
    <x v="4"/>
    <s v="Manufacturing"/>
    <s v="Germany"/>
    <s v="Busan"/>
    <s v="Rotterdam"/>
    <x v="1"/>
    <x v="0"/>
    <s v="20FT"/>
    <n v="2"/>
    <s v="Machinery"/>
    <n v="56344.06"/>
    <n v="13054.93"/>
    <n v="2816.22"/>
    <n v="859.82"/>
    <n v="563.44000000000005"/>
    <n v="594.13"/>
    <n v="1859.55"/>
    <n v="36595.97"/>
    <n v="0"/>
    <x v="3"/>
    <n v="108.79"/>
    <x v="1"/>
    <s v="Pending"/>
    <s v="Standard"/>
    <s v="J. Smith"/>
    <s v="North America"/>
    <x v="7"/>
  </r>
  <r>
    <x v="859"/>
    <s v="BK50860"/>
    <d v="2025-10-03T00:00:00"/>
    <d v="2025-10-05T00:00:00"/>
    <d v="2025-10-25T00:00:00"/>
    <x v="10"/>
    <s v="E-commerce"/>
    <s v="USA"/>
    <s v="Colombo"/>
    <s v="Singapore"/>
    <x v="4"/>
    <x v="6"/>
    <s v="Reefer"/>
    <n v="2"/>
    <s v="Electronics"/>
    <n v="67189.05"/>
    <n v="16327.3"/>
    <n v="3905.56"/>
    <n v="848.65"/>
    <n v="671.89"/>
    <n v="626.51"/>
    <n v="1302.54"/>
    <n v="43506.6"/>
    <n v="4"/>
    <x v="4"/>
    <n v="136.06"/>
    <x v="0"/>
    <s v="Pending"/>
    <s v="Standard"/>
    <s v="A. Tan"/>
    <s v="Asia"/>
    <x v="7"/>
  </r>
  <r>
    <x v="860"/>
    <s v="BK50861"/>
    <d v="2025-10-23T00:00:00"/>
    <d v="2025-10-25T00:00:00"/>
    <d v="2025-11-17T00:00:00"/>
    <x v="11"/>
    <s v="Automotive"/>
    <s v="Japan"/>
    <s v="Singapore"/>
    <s v="Rotterdam"/>
    <x v="3"/>
    <x v="6"/>
    <s v="Reefer"/>
    <n v="1"/>
    <s v="Electronics"/>
    <n v="14762.71"/>
    <n v="3399.73"/>
    <n v="867.71"/>
    <n v="340.47"/>
    <n v="147.63"/>
    <n v="588.58000000000004"/>
    <n v="1015.98"/>
    <n v="8402.61"/>
    <n v="36"/>
    <x v="5"/>
    <n v="28.33"/>
    <x v="0"/>
    <s v="Paid"/>
    <s v="High"/>
    <s v="M. Ahmed"/>
    <s v="Middle East"/>
    <x v="7"/>
  </r>
  <r>
    <x v="861"/>
    <s v="BK50862"/>
    <d v="2025-05-11T00:00:00"/>
    <d v="2025-05-14T00:00:00"/>
    <d v="2025-06-07T00:00:00"/>
    <x v="1"/>
    <s v="FMCG"/>
    <s v="UK"/>
    <s v="Los Angeles"/>
    <s v="Shanghai"/>
    <x v="1"/>
    <x v="2"/>
    <s v="20FT"/>
    <n v="2"/>
    <s v="Electronics"/>
    <n v="85891.22"/>
    <n v="18681.509999999998"/>
    <n v="3981.79"/>
    <n v="2134.2399999999998"/>
    <n v="858.91"/>
    <n v="117.64"/>
    <n v="1030.9100000000001"/>
    <n v="59086.22"/>
    <n v="48"/>
    <x v="1"/>
    <n v="155.68"/>
    <x v="0"/>
    <s v="Paid"/>
    <s v="High"/>
    <s v="R. Mehta"/>
    <s v="Middle East"/>
    <x v="6"/>
  </r>
  <r>
    <x v="862"/>
    <s v="BK50863"/>
    <d v="2025-05-11T00:00:00"/>
    <d v="2025-05-15T00:00:00"/>
    <d v="2025-05-30T00:00:00"/>
    <x v="7"/>
    <s v="Retail"/>
    <s v="Germany"/>
    <s v="Jebel Ali"/>
    <s v="Nhava Sheva"/>
    <x v="2"/>
    <x v="3"/>
    <s v="Reefer"/>
    <n v="1"/>
    <s v="Chemicals"/>
    <n v="31033.33"/>
    <n v="7059.07"/>
    <n v="2296.66"/>
    <n v="351.69"/>
    <n v="310.33"/>
    <n v="476.44"/>
    <n v="1476.41"/>
    <n v="19062.73"/>
    <n v="24"/>
    <x v="4"/>
    <n v="58.83"/>
    <x v="0"/>
    <s v="Pending"/>
    <s v="Critical"/>
    <s v="R. Mehta"/>
    <s v="North America"/>
    <x v="6"/>
  </r>
  <r>
    <x v="863"/>
    <s v="BK50864"/>
    <d v="2025-12-01T00:00:00"/>
    <d v="2025-12-03T00:00:00"/>
    <d v="2025-12-13T00:00:00"/>
    <x v="4"/>
    <s v="Manufacturing"/>
    <s v="Germany"/>
    <s v="Singapore"/>
    <s v="Rotterdam"/>
    <x v="3"/>
    <x v="7"/>
    <s v="40FT"/>
    <n v="2"/>
    <s v="Food"/>
    <n v="36222.75"/>
    <n v="10499.28"/>
    <n v="2572.52"/>
    <n v="808.26"/>
    <n v="362.23"/>
    <n v="125.19"/>
    <n v="1288.26"/>
    <n v="20567.009999999998"/>
    <n v="0"/>
    <x v="3"/>
    <n v="87.49"/>
    <x v="1"/>
    <s v="Pending"/>
    <s v="Critical"/>
    <s v="L. Chen"/>
    <s v="North America"/>
    <x v="2"/>
  </r>
  <r>
    <x v="864"/>
    <s v="BK50865"/>
    <d v="2025-05-28T00:00:00"/>
    <d v="2025-05-31T00:00:00"/>
    <d v="2025-06-21T00:00:00"/>
    <x v="2"/>
    <s v="Electronics"/>
    <s v="South Korea"/>
    <s v="Singapore"/>
    <s v="Rotterdam"/>
    <x v="3"/>
    <x v="0"/>
    <s v="Reefer"/>
    <n v="2"/>
    <s v="Food"/>
    <n v="68644.75"/>
    <n v="19610.150000000001"/>
    <n v="4912.92"/>
    <n v="2036.61"/>
    <n v="686.45"/>
    <n v="791.47"/>
    <n v="1591.05"/>
    <n v="39016.1"/>
    <n v="12"/>
    <x v="2"/>
    <n v="163.41999999999999"/>
    <x v="0"/>
    <s v="Paid"/>
    <s v="High"/>
    <s v="M. Ahmed"/>
    <s v="Middle East"/>
    <x v="6"/>
  </r>
  <r>
    <x v="865"/>
    <s v="BK50866"/>
    <d v="2025-06-20T00:00:00"/>
    <d v="2025-06-24T00:00:00"/>
    <d v="2025-07-19T00:00:00"/>
    <x v="6"/>
    <s v="Pharma"/>
    <s v="USA"/>
    <s v="Shanghai"/>
    <s v="Rotterdam"/>
    <x v="1"/>
    <x v="0"/>
    <s v="High Cube"/>
    <n v="2"/>
    <s v="Food"/>
    <n v="53134.45"/>
    <n v="8716.15"/>
    <n v="3897.37"/>
    <n v="1411.05"/>
    <n v="531.34"/>
    <n v="872.89"/>
    <n v="2005.77"/>
    <n v="35699.879999999997"/>
    <n v="0"/>
    <x v="3"/>
    <n v="72.63"/>
    <x v="1"/>
    <s v="Paid"/>
    <s v="Standard"/>
    <s v="R. Mehta"/>
    <s v="Asia"/>
    <x v="0"/>
  </r>
  <r>
    <x v="866"/>
    <s v="BK50867"/>
    <d v="2025-12-15T00:00:00"/>
    <d v="2025-12-18T00:00:00"/>
    <d v="2026-01-08T00:00:00"/>
    <x v="4"/>
    <s v="Manufacturing"/>
    <s v="Germany"/>
    <s v="Singapore"/>
    <s v="Rotterdam"/>
    <x v="3"/>
    <x v="7"/>
    <s v="20FT"/>
    <n v="2"/>
    <s v="Electronics"/>
    <n v="53587.5"/>
    <n v="12159.35"/>
    <n v="2631.86"/>
    <n v="699.64"/>
    <n v="535.88"/>
    <n v="880.83"/>
    <n v="1807.1"/>
    <n v="34872.839999999997"/>
    <n v="12"/>
    <x v="1"/>
    <n v="101.33"/>
    <x v="0"/>
    <s v="Pending"/>
    <s v="High"/>
    <s v="J. Smith"/>
    <s v="Europe"/>
    <x v="2"/>
  </r>
  <r>
    <x v="867"/>
    <s v="BK50868"/>
    <d v="2025-09-02T00:00:00"/>
    <d v="2025-09-03T00:00:00"/>
    <d v="2025-09-18T00:00:00"/>
    <x v="9"/>
    <s v="Engineering"/>
    <s v="Germany"/>
    <s v="Singapore"/>
    <s v="Rotterdam"/>
    <x v="3"/>
    <x v="3"/>
    <s v="20FT"/>
    <n v="2"/>
    <s v="Food"/>
    <n v="70604.240000000005"/>
    <n v="12046.6"/>
    <n v="3673.46"/>
    <n v="1111.4100000000001"/>
    <n v="706.04"/>
    <n v="300.60000000000002"/>
    <n v="1873.69"/>
    <n v="50892.44"/>
    <n v="0"/>
    <x v="3"/>
    <n v="100.39"/>
    <x v="1"/>
    <s v="Paid"/>
    <s v="High"/>
    <s v="A. Tan"/>
    <s v="Europe"/>
    <x v="3"/>
  </r>
  <r>
    <x v="868"/>
    <s v="BK50869"/>
    <d v="2025-11-27T00:00:00"/>
    <d v="2025-11-28T00:00:00"/>
    <d v="2025-12-18T00:00:00"/>
    <x v="6"/>
    <s v="Pharma"/>
    <s v="USA"/>
    <s v="Busan"/>
    <s v="Nhava Sheva"/>
    <x v="1"/>
    <x v="5"/>
    <s v="High Cube"/>
    <n v="4"/>
    <s v="Food"/>
    <n v="107409.92"/>
    <n v="27267.97"/>
    <n v="7043.26"/>
    <n v="1338.49"/>
    <n v="1074.0999999999999"/>
    <n v="579.78"/>
    <n v="2415.75"/>
    <n v="67690.570000000007"/>
    <n v="4"/>
    <x v="1"/>
    <n v="227.23"/>
    <x v="0"/>
    <s v="Pending"/>
    <s v="Standard"/>
    <s v="J. Smith"/>
    <s v="Asia"/>
    <x v="8"/>
  </r>
  <r>
    <x v="869"/>
    <s v="BK50870"/>
    <d v="2025-11-29T00:00:00"/>
    <d v="2025-12-02T00:00:00"/>
    <d v="2025-12-22T00:00:00"/>
    <x v="11"/>
    <s v="Automotive"/>
    <s v="Japan"/>
    <s v="Jebel Ali"/>
    <s v="Nhava Sheva"/>
    <x v="2"/>
    <x v="7"/>
    <s v="Reefer"/>
    <n v="1"/>
    <s v="Food"/>
    <n v="17193.88"/>
    <n v="2927.84"/>
    <n v="1219.46"/>
    <n v="329.05"/>
    <n v="171.94"/>
    <n v="596.20000000000005"/>
    <n v="1481.98"/>
    <n v="10467.41"/>
    <n v="0"/>
    <x v="3"/>
    <n v="24.4"/>
    <x v="1"/>
    <s v="Pending"/>
    <s v="Standard"/>
    <s v="M. Ahmed"/>
    <s v="Middle East"/>
    <x v="8"/>
  </r>
  <r>
    <x v="870"/>
    <s v="BK50871"/>
    <d v="2025-02-15T00:00:00"/>
    <d v="2025-02-19T00:00:00"/>
    <d v="2025-03-18T00:00:00"/>
    <x v="2"/>
    <s v="Electronics"/>
    <s v="South Korea"/>
    <s v="Jebel Ali"/>
    <s v="Nhava Sheva"/>
    <x v="2"/>
    <x v="0"/>
    <s v="Reefer"/>
    <n v="2"/>
    <s v="Textiles"/>
    <n v="82926.41"/>
    <n v="24661.96"/>
    <n v="5719.61"/>
    <n v="939.32"/>
    <n v="829.26"/>
    <n v="380.52"/>
    <n v="2470.15"/>
    <n v="47925.59"/>
    <n v="8"/>
    <x v="1"/>
    <n v="205.52"/>
    <x v="0"/>
    <s v="Pending"/>
    <s v="Standard"/>
    <s v="L. Chen"/>
    <s v="Asia"/>
    <x v="9"/>
  </r>
  <r>
    <x v="871"/>
    <s v="BK50872"/>
    <d v="2025-06-22T00:00:00"/>
    <d v="2025-06-23T00:00:00"/>
    <d v="2025-07-12T00:00:00"/>
    <x v="0"/>
    <s v="Retail"/>
    <s v="India"/>
    <s v="Shanghai"/>
    <s v="Rotterdam"/>
    <x v="3"/>
    <x v="5"/>
    <s v="40FT"/>
    <n v="2"/>
    <s v="Furniture"/>
    <n v="82704.679999999993"/>
    <n v="20204.86"/>
    <n v="4719.46"/>
    <n v="2409.8000000000002"/>
    <n v="827.05"/>
    <n v="774.81"/>
    <n v="1838.95"/>
    <n v="51929.75"/>
    <n v="0"/>
    <x v="3"/>
    <n v="168.37"/>
    <x v="1"/>
    <s v="Pending"/>
    <s v="Standard"/>
    <s v="A. Tan"/>
    <s v="Asia"/>
    <x v="0"/>
  </r>
  <r>
    <x v="872"/>
    <s v="BK50873"/>
    <d v="2025-06-04T00:00:00"/>
    <d v="2025-06-06T00:00:00"/>
    <d v="2025-07-03T00:00:00"/>
    <x v="11"/>
    <s v="Automotive"/>
    <s v="Japan"/>
    <s v="Colombo"/>
    <s v="Singapore"/>
    <x v="4"/>
    <x v="1"/>
    <s v="40FT"/>
    <n v="2"/>
    <s v="Electronics"/>
    <n v="55893.63"/>
    <n v="16100.29"/>
    <n v="3046.56"/>
    <n v="846.25"/>
    <n v="558.94000000000005"/>
    <n v="184.19"/>
    <n v="1019.62"/>
    <n v="34137.78"/>
    <n v="0"/>
    <x v="3"/>
    <n v="134.16999999999999"/>
    <x v="1"/>
    <s v="Paid"/>
    <s v="High"/>
    <s v="M. Ahmed"/>
    <s v="Europe"/>
    <x v="0"/>
  </r>
  <r>
    <x v="873"/>
    <s v="BK50874"/>
    <d v="2025-10-02T00:00:00"/>
    <d v="2025-10-03T00:00:00"/>
    <d v="2025-10-13T00:00:00"/>
    <x v="1"/>
    <s v="FMCG"/>
    <s v="UK"/>
    <s v="Singapore"/>
    <s v="Rotterdam"/>
    <x v="3"/>
    <x v="0"/>
    <s v="High Cube"/>
    <n v="2"/>
    <s v="Electronics"/>
    <n v="67808.710000000006"/>
    <n v="11637.45"/>
    <n v="5234.76"/>
    <n v="1341.75"/>
    <n v="678.09"/>
    <n v="897.53"/>
    <n v="1737.85"/>
    <n v="46281.279999999999"/>
    <n v="0"/>
    <x v="3"/>
    <n v="96.98"/>
    <x v="1"/>
    <s v="Paid"/>
    <s v="High"/>
    <s v="L. Chen"/>
    <s v="Asia"/>
    <x v="7"/>
  </r>
  <r>
    <x v="874"/>
    <s v="BK50875"/>
    <d v="2025-05-30T00:00:00"/>
    <d v="2025-05-31T00:00:00"/>
    <d v="2025-06-18T00:00:00"/>
    <x v="8"/>
    <s v="Retail"/>
    <s v="Sweden"/>
    <s v="Busan"/>
    <s v="Los Angeles"/>
    <x v="0"/>
    <x v="5"/>
    <s v="Reefer"/>
    <n v="4"/>
    <s v="Electronics"/>
    <n v="66581.09"/>
    <n v="19058.55"/>
    <n v="5075.2"/>
    <n v="729.89"/>
    <n v="665.81"/>
    <n v="463.16"/>
    <n v="328.45"/>
    <n v="40260.03"/>
    <n v="0"/>
    <x v="3"/>
    <n v="158.82"/>
    <x v="1"/>
    <s v="Paid"/>
    <s v="Critical"/>
    <s v="R. Mehta"/>
    <s v="Asia"/>
    <x v="6"/>
  </r>
  <r>
    <x v="875"/>
    <s v="BK50876"/>
    <d v="2025-10-22T00:00:00"/>
    <d v="2025-10-26T00:00:00"/>
    <d v="2025-11-11T00:00:00"/>
    <x v="0"/>
    <s v="Retail"/>
    <s v="India"/>
    <s v="Singapore"/>
    <s v="Rotterdam"/>
    <x v="3"/>
    <x v="7"/>
    <s v="40FT"/>
    <n v="2"/>
    <s v="Electronics"/>
    <n v="86462.31"/>
    <n v="24173.59"/>
    <n v="3553.12"/>
    <n v="2569.35"/>
    <n v="864.62"/>
    <n v="598.73"/>
    <n v="1975.22"/>
    <n v="52727.68"/>
    <n v="24"/>
    <x v="0"/>
    <n v="201.45"/>
    <x v="0"/>
    <s v="Pending"/>
    <s v="Critical"/>
    <s v="J. Smith"/>
    <s v="Asia"/>
    <x v="7"/>
  </r>
  <r>
    <x v="876"/>
    <s v="BK50877"/>
    <d v="2025-05-20T00:00:00"/>
    <d v="2025-05-24T00:00:00"/>
    <d v="2025-06-09T00:00:00"/>
    <x v="2"/>
    <s v="Electronics"/>
    <s v="South Korea"/>
    <s v="Shanghai"/>
    <s v="Nhava Sheva"/>
    <x v="1"/>
    <x v="7"/>
    <s v="20FT"/>
    <n v="1"/>
    <s v="Food"/>
    <n v="38084.9"/>
    <n v="9729.19"/>
    <n v="2402.9"/>
    <n v="983.74"/>
    <n v="380.85"/>
    <n v="729.96"/>
    <n v="1223.33"/>
    <n v="22634.93"/>
    <n v="0"/>
    <x v="3"/>
    <n v="81.08"/>
    <x v="1"/>
    <s v="Pending"/>
    <s v="High"/>
    <s v="L. Chen"/>
    <s v="Middle East"/>
    <x v="6"/>
  </r>
  <r>
    <x v="877"/>
    <s v="BK50878"/>
    <d v="2025-03-19T00:00:00"/>
    <d v="2025-03-23T00:00:00"/>
    <d v="2025-04-09T00:00:00"/>
    <x v="4"/>
    <s v="Manufacturing"/>
    <s v="Germany"/>
    <s v="Singapore"/>
    <s v="Rotterdam"/>
    <x v="3"/>
    <x v="6"/>
    <s v="Reefer"/>
    <n v="4"/>
    <s v="Machinery"/>
    <n v="103860.67"/>
    <n v="16623.43"/>
    <n v="7600.7"/>
    <n v="2354.15"/>
    <n v="1038.6099999999999"/>
    <n v="251.86"/>
    <n v="2230.65"/>
    <n v="73761.27"/>
    <n v="0"/>
    <x v="3"/>
    <n v="138.53"/>
    <x v="1"/>
    <s v="Paid"/>
    <s v="High"/>
    <s v="J. Smith"/>
    <s v="Middle East"/>
    <x v="5"/>
  </r>
  <r>
    <x v="878"/>
    <s v="BK50879"/>
    <d v="2025-06-04T00:00:00"/>
    <d v="2025-06-08T00:00:00"/>
    <d v="2025-07-05T00:00:00"/>
    <x v="9"/>
    <s v="Engineering"/>
    <s v="Germany"/>
    <s v="Los Angeles"/>
    <s v="Los Angeles"/>
    <x v="1"/>
    <x v="4"/>
    <s v="Reefer"/>
    <n v="2"/>
    <s v="Furniture"/>
    <n v="87187.6"/>
    <n v="19961.439999999999"/>
    <n v="5027.3599999999997"/>
    <n v="2038.58"/>
    <n v="871.88"/>
    <n v="529.42999999999995"/>
    <n v="1541.04"/>
    <n v="57217.87"/>
    <n v="36"/>
    <x v="0"/>
    <n v="166.35"/>
    <x v="0"/>
    <s v="Pending"/>
    <s v="Critical"/>
    <s v="A. Tan"/>
    <s v="North America"/>
    <x v="0"/>
  </r>
  <r>
    <x v="879"/>
    <s v="BK50880"/>
    <d v="2025-09-09T00:00:00"/>
    <d v="2025-09-13T00:00:00"/>
    <d v="2025-10-04T00:00:00"/>
    <x v="9"/>
    <s v="Engineering"/>
    <s v="Germany"/>
    <s v="Colombo"/>
    <s v="Singapore"/>
    <x v="4"/>
    <x v="2"/>
    <s v="High Cube"/>
    <n v="2"/>
    <s v="Furniture"/>
    <n v="88211.21"/>
    <n v="25828.25"/>
    <n v="6336.1"/>
    <n v="2364.2800000000002"/>
    <n v="882.11"/>
    <n v="333.66"/>
    <n v="1192.98"/>
    <n v="51273.83"/>
    <n v="8"/>
    <x v="2"/>
    <n v="215.24"/>
    <x v="0"/>
    <s v="Pending"/>
    <s v="High"/>
    <s v="M. Ahmed"/>
    <s v="North America"/>
    <x v="3"/>
  </r>
  <r>
    <x v="880"/>
    <s v="BK50881"/>
    <d v="2025-09-21T00:00:00"/>
    <d v="2025-09-22T00:00:00"/>
    <d v="2025-10-14T00:00:00"/>
    <x v="3"/>
    <s v="Electronics"/>
    <s v="South Korea"/>
    <s v="Busan"/>
    <s v="Los Angeles"/>
    <x v="0"/>
    <x v="5"/>
    <s v="20FT"/>
    <n v="2"/>
    <s v="Textiles"/>
    <n v="66365.78"/>
    <n v="13488.81"/>
    <n v="4772.91"/>
    <n v="904.71"/>
    <n v="663.66"/>
    <n v="846.78"/>
    <n v="1951.33"/>
    <n v="43737.58"/>
    <n v="24"/>
    <x v="5"/>
    <n v="112.41"/>
    <x v="0"/>
    <s v="Paid"/>
    <s v="Standard"/>
    <s v="R. Mehta"/>
    <s v="Middle East"/>
    <x v="3"/>
  </r>
  <r>
    <x v="881"/>
    <s v="BK50882"/>
    <d v="2025-03-20T00:00:00"/>
    <d v="2025-03-23T00:00:00"/>
    <d v="2025-04-19T00:00:00"/>
    <x v="6"/>
    <s v="Pharma"/>
    <s v="USA"/>
    <s v="Busan"/>
    <s v="Hamburg"/>
    <x v="1"/>
    <x v="0"/>
    <s v="High Cube"/>
    <n v="4"/>
    <s v="Food"/>
    <n v="65928.14"/>
    <n v="16189.9"/>
    <n v="3275.43"/>
    <n v="868.12"/>
    <n v="659.28"/>
    <n v="600.12"/>
    <n v="448.94"/>
    <n v="43886.35"/>
    <n v="0"/>
    <x v="3"/>
    <n v="134.91999999999999"/>
    <x v="1"/>
    <s v="Pending"/>
    <s v="High"/>
    <s v="A. Tan"/>
    <s v="Asia"/>
    <x v="5"/>
  </r>
  <r>
    <x v="882"/>
    <s v="BK50883"/>
    <d v="2025-03-23T00:00:00"/>
    <d v="2025-03-24T00:00:00"/>
    <d v="2025-04-12T00:00:00"/>
    <x v="7"/>
    <s v="Retail"/>
    <s v="Germany"/>
    <s v="Jebel Ali"/>
    <s v="Nhava Sheva"/>
    <x v="2"/>
    <x v="1"/>
    <s v="20FT"/>
    <n v="2"/>
    <s v="Electronics"/>
    <n v="69712.39"/>
    <n v="16856.13"/>
    <n v="3493.86"/>
    <n v="1611.15"/>
    <n v="697.12"/>
    <n v="657.17"/>
    <n v="2304.0300000000002"/>
    <n v="44092.93"/>
    <n v="0"/>
    <x v="3"/>
    <n v="140.47"/>
    <x v="1"/>
    <s v="Paid"/>
    <s v="High"/>
    <s v="M. Ahmed"/>
    <s v="North America"/>
    <x v="5"/>
  </r>
  <r>
    <x v="883"/>
    <s v="BK50884"/>
    <d v="2025-10-27T00:00:00"/>
    <d v="2025-10-31T00:00:00"/>
    <d v="2025-11-10T00:00:00"/>
    <x v="8"/>
    <s v="Retail"/>
    <s v="Sweden"/>
    <s v="Colombo"/>
    <s v="Singapore"/>
    <x v="4"/>
    <x v="3"/>
    <s v="20FT"/>
    <n v="1"/>
    <s v="Textiles"/>
    <n v="16095.38"/>
    <n v="2617.5500000000002"/>
    <n v="1268.95"/>
    <n v="259.41000000000003"/>
    <n v="160.94999999999999"/>
    <n v="590.35"/>
    <n v="2407.42"/>
    <n v="8790.75"/>
    <n v="0"/>
    <x v="3"/>
    <n v="21.81"/>
    <x v="1"/>
    <s v="Pending"/>
    <s v="Critical"/>
    <s v="J. Smith"/>
    <s v="North America"/>
    <x v="7"/>
  </r>
  <r>
    <x v="884"/>
    <s v="BK50885"/>
    <d v="2025-09-08T00:00:00"/>
    <d v="2025-09-11T00:00:00"/>
    <d v="2025-10-08T00:00:00"/>
    <x v="11"/>
    <s v="Automotive"/>
    <s v="Japan"/>
    <s v="Singapore"/>
    <s v="Rotterdam"/>
    <x v="3"/>
    <x v="6"/>
    <s v="High Cube"/>
    <n v="2"/>
    <s v="Electronics"/>
    <n v="84862.71"/>
    <n v="24532.720000000001"/>
    <n v="4456.88"/>
    <n v="2432.91"/>
    <n v="848.63"/>
    <n v="639.29999999999995"/>
    <n v="1120.55"/>
    <n v="50831.72"/>
    <n v="12"/>
    <x v="4"/>
    <n v="204.44"/>
    <x v="0"/>
    <s v="Pending"/>
    <s v="Critical"/>
    <s v="A. Tan"/>
    <s v="North America"/>
    <x v="3"/>
  </r>
  <r>
    <x v="885"/>
    <s v="BK50886"/>
    <d v="2025-02-02T00:00:00"/>
    <d v="2025-02-05T00:00:00"/>
    <d v="2025-02-22T00:00:00"/>
    <x v="11"/>
    <s v="Automotive"/>
    <s v="Japan"/>
    <s v="Singapore"/>
    <s v="Rotterdam"/>
    <x v="3"/>
    <x v="4"/>
    <s v="20FT"/>
    <n v="2"/>
    <s v="Chemicals"/>
    <n v="59619.05"/>
    <n v="11984.39"/>
    <n v="3798.56"/>
    <n v="754.34"/>
    <n v="596.19000000000005"/>
    <n v="300.43"/>
    <n v="1280.8399999999999"/>
    <n v="40904.300000000003"/>
    <n v="36"/>
    <x v="4"/>
    <n v="99.87"/>
    <x v="0"/>
    <s v="Pending"/>
    <s v="Critical"/>
    <s v="A. Tan"/>
    <s v="Europe"/>
    <x v="9"/>
  </r>
  <r>
    <x v="886"/>
    <s v="BK50887"/>
    <d v="2025-05-14T00:00:00"/>
    <d v="2025-05-16T00:00:00"/>
    <d v="2025-06-10T00:00:00"/>
    <x v="3"/>
    <s v="Electronics"/>
    <s v="South Korea"/>
    <s v="Shanghai"/>
    <s v="Rotterdam"/>
    <x v="3"/>
    <x v="0"/>
    <s v="Reefer"/>
    <n v="1"/>
    <s v="Furniture"/>
    <n v="37162.82"/>
    <n v="10778.18"/>
    <n v="1491.94"/>
    <n v="591.44000000000005"/>
    <n v="371.63"/>
    <n v="851.61"/>
    <n v="2290.19"/>
    <n v="20787.830000000002"/>
    <n v="36"/>
    <x v="1"/>
    <n v="89.82"/>
    <x v="0"/>
    <s v="Pending"/>
    <s v="Standard"/>
    <s v="M. Ahmed"/>
    <s v="North America"/>
    <x v="6"/>
  </r>
  <r>
    <x v="887"/>
    <s v="BK50888"/>
    <d v="2025-06-21T00:00:00"/>
    <d v="2025-06-25T00:00:00"/>
    <d v="2025-07-08T00:00:00"/>
    <x v="11"/>
    <s v="Automotive"/>
    <s v="Japan"/>
    <s v="Singapore"/>
    <s v="Rotterdam"/>
    <x v="3"/>
    <x v="0"/>
    <s v="High Cube"/>
    <n v="2"/>
    <s v="Furniture"/>
    <n v="52738.06"/>
    <n v="11582.28"/>
    <n v="2634.78"/>
    <n v="1029.77"/>
    <n v="527.38"/>
    <n v="763.51"/>
    <n v="905.56"/>
    <n v="35294.78"/>
    <n v="48"/>
    <x v="0"/>
    <n v="96.52"/>
    <x v="0"/>
    <s v="Pending"/>
    <s v="High"/>
    <s v="A. Tan"/>
    <s v="North America"/>
    <x v="0"/>
  </r>
  <r>
    <x v="888"/>
    <s v="BK50889"/>
    <d v="2025-12-08T00:00:00"/>
    <d v="2025-12-11T00:00:00"/>
    <d v="2026-01-02T00:00:00"/>
    <x v="3"/>
    <s v="Electronics"/>
    <s v="South Korea"/>
    <s v="Busan"/>
    <s v="Los Angeles"/>
    <x v="0"/>
    <x v="7"/>
    <s v="High Cube"/>
    <n v="2"/>
    <s v="Machinery"/>
    <n v="39997.64"/>
    <n v="11083.92"/>
    <n v="2392.39"/>
    <n v="682.76"/>
    <n v="399.98"/>
    <n v="119.24"/>
    <n v="2496.9899999999998"/>
    <n v="22822.36"/>
    <n v="0"/>
    <x v="3"/>
    <n v="92.37"/>
    <x v="1"/>
    <s v="Paid"/>
    <s v="Critical"/>
    <s v="M. Ahmed"/>
    <s v="Asia"/>
    <x v="2"/>
  </r>
  <r>
    <x v="889"/>
    <s v="BK50890"/>
    <d v="2025-08-15T00:00:00"/>
    <d v="2025-08-17T00:00:00"/>
    <d v="2025-08-28T00:00:00"/>
    <x v="0"/>
    <s v="Retail"/>
    <s v="India"/>
    <s v="Shanghai"/>
    <s v="Rotterdam"/>
    <x v="3"/>
    <x v="4"/>
    <s v="Reefer"/>
    <n v="2"/>
    <s v="Auto Parts"/>
    <n v="51950.65"/>
    <n v="12532.72"/>
    <n v="2214.67"/>
    <n v="709.05"/>
    <n v="519.51"/>
    <n v="618.87"/>
    <n v="1637.29"/>
    <n v="33718.54"/>
    <n v="12"/>
    <x v="2"/>
    <n v="104.44"/>
    <x v="0"/>
    <s v="Paid"/>
    <s v="Critical"/>
    <s v="M. Ahmed"/>
    <s v="Asia"/>
    <x v="4"/>
  </r>
  <r>
    <x v="890"/>
    <s v="BK50891"/>
    <d v="2025-02-26T00:00:00"/>
    <d v="2025-02-27T00:00:00"/>
    <d v="2025-03-19T00:00:00"/>
    <x v="11"/>
    <s v="Automotive"/>
    <s v="Japan"/>
    <s v="Colombo"/>
    <s v="Singapore"/>
    <x v="4"/>
    <x v="1"/>
    <s v="40FT"/>
    <n v="4"/>
    <s v="Machinery"/>
    <n v="168540.49"/>
    <n v="49370.35"/>
    <n v="9801.84"/>
    <n v="2764.42"/>
    <n v="1685.4"/>
    <n v="282.20999999999998"/>
    <n v="1177.8"/>
    <n v="103458.47"/>
    <n v="0"/>
    <x v="3"/>
    <n v="411.42"/>
    <x v="1"/>
    <s v="Paid"/>
    <s v="Standard"/>
    <s v="R. Mehta"/>
    <s v="North America"/>
    <x v="9"/>
  </r>
  <r>
    <x v="891"/>
    <s v="BK50892"/>
    <d v="2025-08-07T00:00:00"/>
    <d v="2025-08-11T00:00:00"/>
    <d v="2025-08-31T00:00:00"/>
    <x v="11"/>
    <s v="Automotive"/>
    <s v="Japan"/>
    <s v="Nhava Sheva"/>
    <s v="Los Angeles"/>
    <x v="1"/>
    <x v="1"/>
    <s v="High Cube"/>
    <n v="2"/>
    <s v="Chemicals"/>
    <n v="32886.51"/>
    <n v="9124.2199999999993"/>
    <n v="1429.35"/>
    <n v="919.72"/>
    <n v="328.87"/>
    <n v="761.31"/>
    <n v="409.57"/>
    <n v="19913.47"/>
    <n v="0"/>
    <x v="3"/>
    <n v="76.040000000000006"/>
    <x v="1"/>
    <s v="Pending"/>
    <s v="Standard"/>
    <s v="J. Smith"/>
    <s v="Asia"/>
    <x v="4"/>
  </r>
  <r>
    <x v="892"/>
    <s v="BK50893"/>
    <d v="2025-03-01T00:00:00"/>
    <d v="2025-03-03T00:00:00"/>
    <d v="2025-03-30T00:00:00"/>
    <x v="6"/>
    <s v="Pharma"/>
    <s v="USA"/>
    <s v="Shanghai"/>
    <s v="Rotterdam"/>
    <x v="3"/>
    <x v="3"/>
    <s v="Reefer"/>
    <n v="2"/>
    <s v="Food"/>
    <n v="25796.73"/>
    <n v="6825.72"/>
    <n v="1416.73"/>
    <n v="400.59"/>
    <n v="257.97000000000003"/>
    <n v="115.16"/>
    <n v="1571.09"/>
    <n v="15209.47"/>
    <n v="8"/>
    <x v="5"/>
    <n v="56.88"/>
    <x v="0"/>
    <s v="Pending"/>
    <s v="High"/>
    <s v="J. Smith"/>
    <s v="Europe"/>
    <x v="5"/>
  </r>
  <r>
    <x v="893"/>
    <s v="BK50894"/>
    <d v="2025-07-01T00:00:00"/>
    <d v="2025-07-04T00:00:00"/>
    <d v="2025-07-25T00:00:00"/>
    <x v="8"/>
    <s v="Retail"/>
    <s v="Sweden"/>
    <s v="Shanghai"/>
    <s v="Rotterdam"/>
    <x v="3"/>
    <x v="7"/>
    <s v="Reefer"/>
    <n v="1"/>
    <s v="Furniture"/>
    <n v="17853.3"/>
    <n v="4994.93"/>
    <n v="942.87"/>
    <n v="371.32"/>
    <n v="178.53"/>
    <n v="777.85"/>
    <n v="2119.59"/>
    <n v="8468.2099999999991"/>
    <n v="24"/>
    <x v="0"/>
    <n v="41.62"/>
    <x v="0"/>
    <s v="Paid"/>
    <s v="Critical"/>
    <s v="J. Smith"/>
    <s v="Asia"/>
    <x v="1"/>
  </r>
  <r>
    <x v="894"/>
    <s v="BK50895"/>
    <d v="2025-02-17T00:00:00"/>
    <d v="2025-02-21T00:00:00"/>
    <d v="2025-03-04T00:00:00"/>
    <x v="4"/>
    <s v="Manufacturing"/>
    <s v="Germany"/>
    <s v="Jebel Ali"/>
    <s v="Nhava Sheva"/>
    <x v="2"/>
    <x v="4"/>
    <s v="High Cube"/>
    <n v="1"/>
    <s v="Electronics"/>
    <n v="39394.980000000003"/>
    <n v="7137.51"/>
    <n v="2942.5"/>
    <n v="1150.5"/>
    <n v="393.95"/>
    <n v="471.96"/>
    <n v="1641.81"/>
    <n v="25656.75"/>
    <n v="12"/>
    <x v="4"/>
    <n v="59.48"/>
    <x v="0"/>
    <s v="Paid"/>
    <s v="Standard"/>
    <s v="L. Chen"/>
    <s v="Middle East"/>
    <x v="9"/>
  </r>
  <r>
    <x v="895"/>
    <s v="BK50896"/>
    <d v="2025-09-05T00:00:00"/>
    <d v="2025-09-09T00:00:00"/>
    <d v="2025-09-24T00:00:00"/>
    <x v="7"/>
    <s v="Retail"/>
    <s v="Germany"/>
    <s v="Singapore"/>
    <s v="Rotterdam"/>
    <x v="3"/>
    <x v="7"/>
    <s v="Reefer"/>
    <n v="1"/>
    <s v="Auto Parts"/>
    <n v="20408"/>
    <n v="5925.09"/>
    <n v="1148.1300000000001"/>
    <n v="464.72"/>
    <n v="204.08"/>
    <n v="733.39"/>
    <n v="2095.6799999999998"/>
    <n v="9836.91"/>
    <n v="4"/>
    <x v="4"/>
    <n v="49.38"/>
    <x v="0"/>
    <s v="Paid"/>
    <s v="Critical"/>
    <s v="L. Chen"/>
    <s v="North America"/>
    <x v="3"/>
  </r>
  <r>
    <x v="896"/>
    <s v="BK50897"/>
    <d v="2025-11-25T00:00:00"/>
    <d v="2025-11-27T00:00:00"/>
    <d v="2025-12-18T00:00:00"/>
    <x v="10"/>
    <s v="E-commerce"/>
    <s v="USA"/>
    <s v="Busan"/>
    <s v="Los Angeles"/>
    <x v="0"/>
    <x v="6"/>
    <s v="Reefer"/>
    <n v="4"/>
    <s v="Chemicals"/>
    <n v="63889.71"/>
    <n v="15760.41"/>
    <n v="4713.0600000000004"/>
    <n v="1428.08"/>
    <n v="638.9"/>
    <n v="513.89"/>
    <n v="2086.85"/>
    <n v="38748.519999999997"/>
    <n v="0"/>
    <x v="3"/>
    <n v="131.34"/>
    <x v="1"/>
    <s v="Paid"/>
    <s v="High"/>
    <s v="A. Tan"/>
    <s v="Middle East"/>
    <x v="8"/>
  </r>
  <r>
    <x v="897"/>
    <s v="BK50898"/>
    <d v="2025-05-31T00:00:00"/>
    <d v="2025-06-03T00:00:00"/>
    <d v="2025-06-22T00:00:00"/>
    <x v="4"/>
    <s v="Manufacturing"/>
    <s v="Germany"/>
    <s v="Jebel Ali"/>
    <s v="Nhava Sheva"/>
    <x v="2"/>
    <x v="2"/>
    <s v="20FT"/>
    <n v="2"/>
    <s v="Chemicals"/>
    <n v="50510.01"/>
    <n v="11445.95"/>
    <n v="3326.06"/>
    <n v="728.92"/>
    <n v="505.1"/>
    <n v="275.08999999999997"/>
    <n v="1286.93"/>
    <n v="32941.96"/>
    <n v="12"/>
    <x v="5"/>
    <n v="95.38"/>
    <x v="0"/>
    <s v="Pending"/>
    <s v="Standard"/>
    <s v="L. Chen"/>
    <s v="Middle East"/>
    <x v="6"/>
  </r>
  <r>
    <x v="898"/>
    <s v="BK50899"/>
    <d v="2025-03-03T00:00:00"/>
    <d v="2025-03-06T00:00:00"/>
    <d v="2025-03-22T00:00:00"/>
    <x v="1"/>
    <s v="FMCG"/>
    <s v="UK"/>
    <s v="Singapore"/>
    <s v="Rotterdam"/>
    <x v="3"/>
    <x v="1"/>
    <s v="High Cube"/>
    <n v="1"/>
    <s v="Textiles"/>
    <n v="10768.39"/>
    <n v="2881.45"/>
    <n v="824.5"/>
    <n v="238.92"/>
    <n v="107.68"/>
    <n v="240.92"/>
    <n v="1273.03"/>
    <n v="5201.8900000000003"/>
    <n v="0"/>
    <x v="3"/>
    <n v="24.01"/>
    <x v="1"/>
    <s v="Pending"/>
    <s v="High"/>
    <s v="L. Chen"/>
    <s v="Europe"/>
    <x v="5"/>
  </r>
  <r>
    <x v="899"/>
    <s v="BK50900"/>
    <d v="2025-12-24T00:00:00"/>
    <d v="2025-12-25T00:00:00"/>
    <d v="2026-01-12T00:00:00"/>
    <x v="3"/>
    <s v="Electronics"/>
    <s v="South Korea"/>
    <s v="Busan"/>
    <s v="Los Angeles"/>
    <x v="0"/>
    <x v="2"/>
    <s v="High Cube"/>
    <n v="2"/>
    <s v="Chemicals"/>
    <n v="13587.42"/>
    <n v="3973.9"/>
    <n v="687.74"/>
    <n v="262.20999999999998"/>
    <n v="135.87"/>
    <n v="801.89"/>
    <n v="468.12"/>
    <n v="7257.69"/>
    <n v="0"/>
    <x v="3"/>
    <n v="33.119999999999997"/>
    <x v="1"/>
    <s v="Paid"/>
    <s v="Critical"/>
    <s v="M. Ahmed"/>
    <s v="Europe"/>
    <x v="2"/>
  </r>
  <r>
    <x v="900"/>
    <s v="BK50901"/>
    <d v="2025-01-22T00:00:00"/>
    <d v="2025-01-25T00:00:00"/>
    <d v="2025-02-20T00:00:00"/>
    <x v="1"/>
    <s v="FMCG"/>
    <s v="UK"/>
    <s v="Colombo"/>
    <s v="Singapore"/>
    <x v="4"/>
    <x v="7"/>
    <s v="20FT"/>
    <n v="2"/>
    <s v="Textiles"/>
    <n v="45453.83"/>
    <n v="12078.43"/>
    <n v="2900.3"/>
    <n v="575.26"/>
    <n v="454.54"/>
    <n v="699.45"/>
    <n v="1791.96"/>
    <n v="26953.89"/>
    <n v="0"/>
    <x v="3"/>
    <n v="100.65"/>
    <x v="1"/>
    <s v="Paid"/>
    <s v="Critical"/>
    <s v="R. Mehta"/>
    <s v="Middle East"/>
    <x v="11"/>
  </r>
  <r>
    <x v="901"/>
    <s v="BK50902"/>
    <d v="2025-02-15T00:00:00"/>
    <d v="2025-02-19T00:00:00"/>
    <d v="2025-03-12T00:00:00"/>
    <x v="10"/>
    <s v="E-commerce"/>
    <s v="USA"/>
    <s v="Jebel Ali"/>
    <s v="Nhava Sheva"/>
    <x v="2"/>
    <x v="3"/>
    <s v="Reefer"/>
    <n v="4"/>
    <s v="Furniture"/>
    <n v="69260.09"/>
    <n v="14647.99"/>
    <n v="4038.48"/>
    <n v="1837.7"/>
    <n v="692.6"/>
    <n v="746.68"/>
    <n v="1788.56"/>
    <n v="45508.08"/>
    <n v="36"/>
    <x v="0"/>
    <n v="122.07"/>
    <x v="0"/>
    <s v="Pending"/>
    <s v="Standard"/>
    <s v="L. Chen"/>
    <s v="North America"/>
    <x v="9"/>
  </r>
  <r>
    <x v="902"/>
    <s v="BK50903"/>
    <d v="2025-04-09T00:00:00"/>
    <d v="2025-04-11T00:00:00"/>
    <d v="2025-05-04T00:00:00"/>
    <x v="4"/>
    <s v="Manufacturing"/>
    <s v="Germany"/>
    <s v="Colombo"/>
    <s v="Busan"/>
    <x v="1"/>
    <x v="5"/>
    <s v="40FT"/>
    <n v="2"/>
    <s v="Chemicals"/>
    <n v="30664.69"/>
    <n v="6246.84"/>
    <n v="2367.6799999999998"/>
    <n v="633.73"/>
    <n v="306.64999999999998"/>
    <n v="289.44"/>
    <n v="1911.9"/>
    <n v="18908.45"/>
    <n v="24"/>
    <x v="5"/>
    <n v="52.06"/>
    <x v="0"/>
    <s v="Paid"/>
    <s v="High"/>
    <s v="M. Ahmed"/>
    <s v="Asia"/>
    <x v="10"/>
  </r>
  <r>
    <x v="903"/>
    <s v="BK50904"/>
    <d v="2025-04-05T00:00:00"/>
    <d v="2025-04-06T00:00:00"/>
    <d v="2025-04-22T00:00:00"/>
    <x v="7"/>
    <s v="Retail"/>
    <s v="Germany"/>
    <s v="Rotterdam"/>
    <s v="Colombo"/>
    <x v="1"/>
    <x v="1"/>
    <s v="20FT"/>
    <n v="1"/>
    <s v="Chemicals"/>
    <n v="35074.949999999997"/>
    <n v="6471.78"/>
    <n v="2384.25"/>
    <n v="487.16"/>
    <n v="350.75"/>
    <n v="357.57"/>
    <n v="2340.84"/>
    <n v="22682.6"/>
    <n v="0"/>
    <x v="3"/>
    <n v="53.93"/>
    <x v="1"/>
    <s v="Paid"/>
    <s v="Standard"/>
    <s v="A. Tan"/>
    <s v="Middle East"/>
    <x v="10"/>
  </r>
  <r>
    <x v="904"/>
    <s v="BK50905"/>
    <d v="2025-07-20T00:00:00"/>
    <d v="2025-07-21T00:00:00"/>
    <d v="2025-08-15T00:00:00"/>
    <x v="2"/>
    <s v="Electronics"/>
    <s v="South Korea"/>
    <s v="Busan"/>
    <s v="Los Angeles"/>
    <x v="0"/>
    <x v="2"/>
    <s v="20FT"/>
    <n v="1"/>
    <s v="Furniture"/>
    <n v="36735.24"/>
    <n v="10429.61"/>
    <n v="1843.99"/>
    <n v="402.86"/>
    <n v="367.35"/>
    <n v="789.01"/>
    <n v="2388.31"/>
    <n v="20514.11"/>
    <n v="8"/>
    <x v="0"/>
    <n v="86.91"/>
    <x v="0"/>
    <s v="Paid"/>
    <s v="Critical"/>
    <s v="A. Tan"/>
    <s v="North America"/>
    <x v="1"/>
  </r>
  <r>
    <x v="905"/>
    <s v="BK50906"/>
    <d v="2025-05-07T00:00:00"/>
    <d v="2025-05-09T00:00:00"/>
    <d v="2025-05-20T00:00:00"/>
    <x v="6"/>
    <s v="Pharma"/>
    <s v="USA"/>
    <s v="Shanghai"/>
    <s v="Rotterdam"/>
    <x v="3"/>
    <x v="1"/>
    <s v="20FT"/>
    <n v="2"/>
    <s v="Textiles"/>
    <n v="50885.51"/>
    <n v="14268.01"/>
    <n v="2932.14"/>
    <n v="1516.16"/>
    <n v="508.86"/>
    <n v="356.15"/>
    <n v="2123.75"/>
    <n v="29180.44"/>
    <n v="24"/>
    <x v="0"/>
    <n v="118.9"/>
    <x v="0"/>
    <s v="Pending"/>
    <s v="High"/>
    <s v="R. Mehta"/>
    <s v="Europe"/>
    <x v="6"/>
  </r>
  <r>
    <x v="906"/>
    <s v="BK50907"/>
    <d v="2025-01-13T00:00:00"/>
    <d v="2025-01-17T00:00:00"/>
    <d v="2025-02-03T00:00:00"/>
    <x v="11"/>
    <s v="Automotive"/>
    <s v="Japan"/>
    <s v="Singapore"/>
    <s v="Rotterdam"/>
    <x v="3"/>
    <x v="5"/>
    <s v="40FT"/>
    <n v="4"/>
    <s v="Textiles"/>
    <n v="50795.12"/>
    <n v="15199.77"/>
    <n v="2587.1"/>
    <n v="1394.96"/>
    <n v="507.95"/>
    <n v="687.11"/>
    <n v="1542.43"/>
    <n v="28875.8"/>
    <n v="12"/>
    <x v="4"/>
    <n v="126.66"/>
    <x v="0"/>
    <s v="Pending"/>
    <s v="High"/>
    <s v="A. Tan"/>
    <s v="Europe"/>
    <x v="11"/>
  </r>
  <r>
    <x v="907"/>
    <s v="BK50908"/>
    <d v="2025-11-07T00:00:00"/>
    <d v="2025-11-10T00:00:00"/>
    <d v="2025-11-25T00:00:00"/>
    <x v="9"/>
    <s v="Engineering"/>
    <s v="Germany"/>
    <s v="Jebel Ali"/>
    <s v="Nhava Sheva"/>
    <x v="2"/>
    <x v="5"/>
    <s v="40FT"/>
    <n v="1"/>
    <s v="Auto Parts"/>
    <n v="16279.26"/>
    <n v="4328.2299999999996"/>
    <n v="1279.5"/>
    <n v="252.75"/>
    <n v="162.79"/>
    <n v="536.13"/>
    <n v="1619.71"/>
    <n v="8100.15"/>
    <n v="4"/>
    <x v="4"/>
    <n v="36.07"/>
    <x v="0"/>
    <s v="Paid"/>
    <s v="Critical"/>
    <s v="M. Ahmed"/>
    <s v="Europe"/>
    <x v="8"/>
  </r>
  <r>
    <x v="908"/>
    <s v="BK50909"/>
    <d v="2025-01-28T00:00:00"/>
    <d v="2025-01-29T00:00:00"/>
    <d v="2025-02-23T00:00:00"/>
    <x v="11"/>
    <s v="Automotive"/>
    <s v="Japan"/>
    <s v="Jebel Ali"/>
    <s v="Nhava Sheva"/>
    <x v="2"/>
    <x v="3"/>
    <s v="High Cube"/>
    <n v="4"/>
    <s v="Food"/>
    <n v="74142.28"/>
    <n v="17226.259999999998"/>
    <n v="4540.3100000000004"/>
    <n v="2210.75"/>
    <n v="741.42"/>
    <n v="127.4"/>
    <n v="1336.03"/>
    <n v="47960.11"/>
    <n v="0"/>
    <x v="3"/>
    <n v="143.55000000000001"/>
    <x v="1"/>
    <s v="Paid"/>
    <s v="Standard"/>
    <s v="L. Chen"/>
    <s v="Asia"/>
    <x v="11"/>
  </r>
  <r>
    <x v="909"/>
    <s v="BK50910"/>
    <d v="2025-05-28T00:00:00"/>
    <d v="2025-06-01T00:00:00"/>
    <d v="2025-06-15T00:00:00"/>
    <x v="5"/>
    <s v="Food"/>
    <s v="Switzerland"/>
    <s v="Nhava Sheva"/>
    <s v="Rotterdam"/>
    <x v="1"/>
    <x v="3"/>
    <s v="20FT"/>
    <n v="2"/>
    <s v="Auto Parts"/>
    <n v="62589.4"/>
    <n v="16624.169999999998"/>
    <n v="3673.84"/>
    <n v="1356.32"/>
    <n v="625.89"/>
    <n v="522.38"/>
    <n v="825.52"/>
    <n v="38961.279999999999"/>
    <n v="36"/>
    <x v="2"/>
    <n v="138.53"/>
    <x v="0"/>
    <s v="Paid"/>
    <s v="Standard"/>
    <s v="L. Chen"/>
    <s v="Middle East"/>
    <x v="6"/>
  </r>
  <r>
    <x v="910"/>
    <s v="BK50911"/>
    <d v="2025-03-23T00:00:00"/>
    <d v="2025-03-24T00:00:00"/>
    <d v="2025-04-15T00:00:00"/>
    <x v="8"/>
    <s v="Retail"/>
    <s v="Sweden"/>
    <s v="Shanghai"/>
    <s v="Rotterdam"/>
    <x v="3"/>
    <x v="5"/>
    <s v="High Cube"/>
    <n v="2"/>
    <s v="Textiles"/>
    <n v="84376.36"/>
    <n v="22550.02"/>
    <n v="4307.83"/>
    <n v="1583.19"/>
    <n v="843.76"/>
    <n v="489.44"/>
    <n v="538.28"/>
    <n v="54063.839999999997"/>
    <n v="0"/>
    <x v="3"/>
    <n v="187.92"/>
    <x v="1"/>
    <s v="Paid"/>
    <s v="Standard"/>
    <s v="A. Tan"/>
    <s v="Europe"/>
    <x v="5"/>
  </r>
  <r>
    <x v="911"/>
    <s v="BK50912"/>
    <d v="2025-02-17T00:00:00"/>
    <d v="2025-02-20T00:00:00"/>
    <d v="2025-03-18T00:00:00"/>
    <x v="7"/>
    <s v="Retail"/>
    <s v="Germany"/>
    <s v="Jebel Ali"/>
    <s v="Nhava Sheva"/>
    <x v="2"/>
    <x v="0"/>
    <s v="40FT"/>
    <n v="1"/>
    <s v="Auto Parts"/>
    <n v="11896.25"/>
    <n v="2266.8000000000002"/>
    <n v="944.22"/>
    <n v="301.57"/>
    <n v="118.96"/>
    <n v="501.61"/>
    <n v="1317.22"/>
    <n v="6445.87"/>
    <n v="0"/>
    <x v="3"/>
    <n v="18.89"/>
    <x v="1"/>
    <s v="Pending"/>
    <s v="Standard"/>
    <s v="R. Mehta"/>
    <s v="North America"/>
    <x v="9"/>
  </r>
  <r>
    <x v="912"/>
    <s v="BK50913"/>
    <d v="2025-07-07T00:00:00"/>
    <d v="2025-07-10T00:00:00"/>
    <d v="2025-07-24T00:00:00"/>
    <x v="4"/>
    <s v="Manufacturing"/>
    <s v="Germany"/>
    <s v="Colombo"/>
    <s v="Singapore"/>
    <x v="4"/>
    <x v="2"/>
    <s v="40FT"/>
    <n v="1"/>
    <s v="Electronics"/>
    <n v="19641.53"/>
    <n v="4436.5200000000004"/>
    <n v="1345.13"/>
    <n v="258.45999999999998"/>
    <n v="196.42"/>
    <n v="250.04"/>
    <n v="2499.9499999999998"/>
    <n v="10655.01"/>
    <n v="36"/>
    <x v="0"/>
    <n v="36.97"/>
    <x v="0"/>
    <s v="Paid"/>
    <s v="High"/>
    <s v="L. Chen"/>
    <s v="Middle East"/>
    <x v="1"/>
  </r>
  <r>
    <x v="913"/>
    <s v="BK50914"/>
    <d v="2025-01-21T00:00:00"/>
    <d v="2025-01-22T00:00:00"/>
    <d v="2025-02-19T00:00:00"/>
    <x v="8"/>
    <s v="Retail"/>
    <s v="Sweden"/>
    <s v="Shanghai"/>
    <s v="Rotterdam"/>
    <x v="3"/>
    <x v="2"/>
    <s v="Reefer"/>
    <n v="1"/>
    <s v="Food"/>
    <n v="18268.810000000001"/>
    <n v="4307.3599999999997"/>
    <n v="1028.6099999999999"/>
    <n v="349.7"/>
    <n v="182.69"/>
    <n v="636.34"/>
    <n v="497.2"/>
    <n v="11266.91"/>
    <n v="0"/>
    <x v="3"/>
    <n v="35.89"/>
    <x v="1"/>
    <s v="Paid"/>
    <s v="High"/>
    <s v="A. Tan"/>
    <s v="Middle East"/>
    <x v="11"/>
  </r>
  <r>
    <x v="914"/>
    <s v="BK50915"/>
    <d v="2025-11-24T00:00:00"/>
    <d v="2025-11-27T00:00:00"/>
    <d v="2025-12-08T00:00:00"/>
    <x v="8"/>
    <s v="Retail"/>
    <s v="Sweden"/>
    <s v="Shanghai"/>
    <s v="Shanghai"/>
    <x v="1"/>
    <x v="0"/>
    <s v="20FT"/>
    <n v="1"/>
    <s v="Furniture"/>
    <n v="12841.27"/>
    <n v="2399.35"/>
    <n v="895.49"/>
    <n v="360.78"/>
    <n v="128.41"/>
    <n v="410.26"/>
    <n v="2214.91"/>
    <n v="6432.07"/>
    <n v="24"/>
    <x v="0"/>
    <n v="19.989999999999998"/>
    <x v="0"/>
    <s v="Pending"/>
    <s v="Critical"/>
    <s v="M. Ahmed"/>
    <s v="Middle East"/>
    <x v="8"/>
  </r>
  <r>
    <x v="915"/>
    <s v="BK50916"/>
    <d v="2025-09-07T00:00:00"/>
    <d v="2025-09-08T00:00:00"/>
    <d v="2025-09-25T00:00:00"/>
    <x v="10"/>
    <s v="E-commerce"/>
    <s v="USA"/>
    <s v="Singapore"/>
    <s v="Hamburg"/>
    <x v="1"/>
    <x v="1"/>
    <s v="Reefer"/>
    <n v="4"/>
    <s v="Textiles"/>
    <n v="26427.39"/>
    <n v="7576.9"/>
    <n v="1999.81"/>
    <n v="434.65"/>
    <n v="264.27"/>
    <n v="425.85"/>
    <n v="1490.62"/>
    <n v="14235.29"/>
    <n v="24"/>
    <x v="1"/>
    <n v="63.14"/>
    <x v="0"/>
    <s v="Paid"/>
    <s v="Standard"/>
    <s v="L. Chen"/>
    <s v="Asia"/>
    <x v="3"/>
  </r>
  <r>
    <x v="916"/>
    <s v="BK50917"/>
    <d v="2025-12-16T00:00:00"/>
    <d v="2025-12-17T00:00:00"/>
    <d v="2026-01-01T00:00:00"/>
    <x v="0"/>
    <s v="Retail"/>
    <s v="India"/>
    <s v="Jebel Ali"/>
    <s v="Nhava Sheva"/>
    <x v="2"/>
    <x v="0"/>
    <s v="20FT"/>
    <n v="4"/>
    <s v="Chemicals"/>
    <n v="173542.87"/>
    <n v="44903.18"/>
    <n v="11137.31"/>
    <n v="3136.88"/>
    <n v="1735.43"/>
    <n v="143.81"/>
    <n v="1843.5"/>
    <n v="110642.76"/>
    <n v="12"/>
    <x v="0"/>
    <n v="374.19"/>
    <x v="0"/>
    <s v="Pending"/>
    <s v="Critical"/>
    <s v="M. Ahmed"/>
    <s v="North America"/>
    <x v="2"/>
  </r>
  <r>
    <x v="917"/>
    <s v="BK50918"/>
    <d v="2025-10-25T00:00:00"/>
    <d v="2025-10-29T00:00:00"/>
    <d v="2025-11-19T00:00:00"/>
    <x v="11"/>
    <s v="Automotive"/>
    <s v="Japan"/>
    <s v="Busan"/>
    <s v="Hamburg"/>
    <x v="1"/>
    <x v="0"/>
    <s v="Reefer"/>
    <n v="2"/>
    <s v="Auto Parts"/>
    <n v="62047.39"/>
    <n v="11547.61"/>
    <n v="4383.95"/>
    <n v="827.76"/>
    <n v="620.47"/>
    <n v="791.41"/>
    <n v="1410.75"/>
    <n v="42465.440000000002"/>
    <n v="0"/>
    <x v="3"/>
    <n v="96.23"/>
    <x v="1"/>
    <s v="Paid"/>
    <s v="Standard"/>
    <s v="A. Tan"/>
    <s v="Europe"/>
    <x v="7"/>
  </r>
  <r>
    <x v="918"/>
    <s v="BK50919"/>
    <d v="2025-04-24T00:00:00"/>
    <d v="2025-04-27T00:00:00"/>
    <d v="2025-05-22T00:00:00"/>
    <x v="6"/>
    <s v="Pharma"/>
    <s v="USA"/>
    <s v="Jebel Ali"/>
    <s v="Nhava Sheva"/>
    <x v="2"/>
    <x v="6"/>
    <s v="40FT"/>
    <n v="1"/>
    <s v="Food"/>
    <n v="22870.47"/>
    <n v="4831.84"/>
    <n v="1560.14"/>
    <n v="586.79"/>
    <n v="228.7"/>
    <n v="545.64"/>
    <n v="996.45"/>
    <n v="14120.91"/>
    <n v="0"/>
    <x v="3"/>
    <n v="40.270000000000003"/>
    <x v="1"/>
    <s v="Pending"/>
    <s v="High"/>
    <s v="L. Chen"/>
    <s v="North America"/>
    <x v="10"/>
  </r>
  <r>
    <x v="919"/>
    <s v="BK50920"/>
    <d v="2025-11-22T00:00:00"/>
    <d v="2025-11-25T00:00:00"/>
    <d v="2025-12-06T00:00:00"/>
    <x v="10"/>
    <s v="E-commerce"/>
    <s v="USA"/>
    <s v="Busan"/>
    <s v="Los Angeles"/>
    <x v="0"/>
    <x v="5"/>
    <s v="40FT"/>
    <n v="2"/>
    <s v="Chemicals"/>
    <n v="16445.43"/>
    <n v="3229.56"/>
    <n v="976.03"/>
    <n v="383.12"/>
    <n v="164.45"/>
    <n v="140.19999999999999"/>
    <n v="1714.77"/>
    <n v="9837.2999999999993"/>
    <n v="0"/>
    <x v="3"/>
    <n v="26.91"/>
    <x v="1"/>
    <s v="Pending"/>
    <s v="Critical"/>
    <s v="A. Tan"/>
    <s v="Asia"/>
    <x v="8"/>
  </r>
  <r>
    <x v="920"/>
    <s v="BK50921"/>
    <d v="2025-08-11T00:00:00"/>
    <d v="2025-08-12T00:00:00"/>
    <d v="2025-09-04T00:00:00"/>
    <x v="10"/>
    <s v="E-commerce"/>
    <s v="USA"/>
    <s v="Busan"/>
    <s v="New York"/>
    <x v="1"/>
    <x v="5"/>
    <s v="40FT"/>
    <n v="1"/>
    <s v="Electronics"/>
    <n v="8815.0499999999993"/>
    <n v="1896.1"/>
    <n v="541.51"/>
    <n v="94.08"/>
    <n v="88.15"/>
    <n v="395.23"/>
    <n v="1719.63"/>
    <n v="4080.35"/>
    <n v="0"/>
    <x v="3"/>
    <n v="15.8"/>
    <x v="1"/>
    <s v="Pending"/>
    <s v="Critical"/>
    <s v="R. Mehta"/>
    <s v="North America"/>
    <x v="4"/>
  </r>
  <r>
    <x v="921"/>
    <s v="BK50922"/>
    <d v="2025-03-20T00:00:00"/>
    <d v="2025-03-22T00:00:00"/>
    <d v="2025-04-19T00:00:00"/>
    <x v="3"/>
    <s v="Electronics"/>
    <s v="South Korea"/>
    <s v="Singapore"/>
    <s v="Rotterdam"/>
    <x v="3"/>
    <x v="1"/>
    <s v="20FT"/>
    <n v="4"/>
    <s v="Chemicals"/>
    <n v="155290.01"/>
    <n v="42137.65"/>
    <n v="10334.59"/>
    <n v="3456.8"/>
    <n v="1552.9"/>
    <n v="215.59"/>
    <n v="365.11"/>
    <n v="97227.37"/>
    <n v="12"/>
    <x v="2"/>
    <n v="351.15"/>
    <x v="0"/>
    <s v="Pending"/>
    <s v="Critical"/>
    <s v="L. Chen"/>
    <s v="Europe"/>
    <x v="5"/>
  </r>
  <r>
    <x v="922"/>
    <s v="BK50923"/>
    <d v="2025-02-13T00:00:00"/>
    <d v="2025-02-15T00:00:00"/>
    <d v="2025-03-07T00:00:00"/>
    <x v="0"/>
    <s v="Retail"/>
    <s v="India"/>
    <s v="Jebel Ali"/>
    <s v="Nhava Sheva"/>
    <x v="2"/>
    <x v="2"/>
    <s v="40FT"/>
    <n v="2"/>
    <s v="Textiles"/>
    <n v="89082.18"/>
    <n v="16548.05"/>
    <n v="6660.57"/>
    <n v="2521.7600000000002"/>
    <n v="890.82"/>
    <n v="411.34"/>
    <n v="1469.61"/>
    <n v="60580.03"/>
    <n v="8"/>
    <x v="4"/>
    <n v="137.9"/>
    <x v="0"/>
    <s v="Pending"/>
    <s v="Critical"/>
    <s v="L. Chen"/>
    <s v="Middle East"/>
    <x v="9"/>
  </r>
  <r>
    <x v="923"/>
    <s v="BK50924"/>
    <d v="2025-08-03T00:00:00"/>
    <d v="2025-08-05T00:00:00"/>
    <d v="2025-08-21T00:00:00"/>
    <x v="3"/>
    <s v="Electronics"/>
    <s v="South Korea"/>
    <s v="Colombo"/>
    <s v="Singapore"/>
    <x v="4"/>
    <x v="4"/>
    <s v="High Cube"/>
    <n v="4"/>
    <s v="Textiles"/>
    <n v="158698.66"/>
    <n v="40898.370000000003"/>
    <n v="8471.7800000000007"/>
    <n v="1939.74"/>
    <n v="1586.99"/>
    <n v="511.41"/>
    <n v="2449.79"/>
    <n v="102840.58"/>
    <n v="12"/>
    <x v="5"/>
    <n v="340.82"/>
    <x v="0"/>
    <s v="Pending"/>
    <s v="High"/>
    <s v="M. Ahmed"/>
    <s v="North America"/>
    <x v="4"/>
  </r>
  <r>
    <x v="924"/>
    <s v="BK50925"/>
    <d v="2025-04-05T00:00:00"/>
    <d v="2025-04-09T00:00:00"/>
    <d v="2025-04-28T00:00:00"/>
    <x v="4"/>
    <s v="Manufacturing"/>
    <s v="Germany"/>
    <s v="Colombo"/>
    <s v="Singapore"/>
    <x v="4"/>
    <x v="5"/>
    <s v="Reefer"/>
    <n v="1"/>
    <s v="Food"/>
    <n v="8014.74"/>
    <n v="1346.41"/>
    <n v="573.88"/>
    <n v="109.69"/>
    <n v="80.150000000000006"/>
    <n v="458.07"/>
    <n v="1526.76"/>
    <n v="3919.78"/>
    <n v="8"/>
    <x v="5"/>
    <n v="11.22"/>
    <x v="0"/>
    <s v="Pending"/>
    <s v="Standard"/>
    <s v="M. Ahmed"/>
    <s v="Europe"/>
    <x v="10"/>
  </r>
  <r>
    <x v="925"/>
    <s v="BK50926"/>
    <d v="2025-02-15T00:00:00"/>
    <d v="2025-02-19T00:00:00"/>
    <d v="2025-03-11T00:00:00"/>
    <x v="4"/>
    <s v="Manufacturing"/>
    <s v="Germany"/>
    <s v="Busan"/>
    <s v="Los Angeles"/>
    <x v="0"/>
    <x v="1"/>
    <s v="High Cube"/>
    <n v="1"/>
    <s v="Food"/>
    <n v="28130.98"/>
    <n v="6623.02"/>
    <n v="1758.53"/>
    <n v="648.27"/>
    <n v="281.31"/>
    <n v="412.96"/>
    <n v="1683.02"/>
    <n v="16723.87"/>
    <n v="48"/>
    <x v="2"/>
    <n v="55.19"/>
    <x v="0"/>
    <s v="Pending"/>
    <s v="Critical"/>
    <s v="M. Ahmed"/>
    <s v="Middle East"/>
    <x v="9"/>
  </r>
  <r>
    <x v="926"/>
    <s v="BK50927"/>
    <d v="2025-03-24T00:00:00"/>
    <d v="2025-03-27T00:00:00"/>
    <d v="2025-04-12T00:00:00"/>
    <x v="10"/>
    <s v="E-commerce"/>
    <s v="USA"/>
    <s v="Busan"/>
    <s v="Los Angeles"/>
    <x v="0"/>
    <x v="1"/>
    <s v="Reefer"/>
    <n v="2"/>
    <s v="Machinery"/>
    <n v="41234.65"/>
    <n v="10123.540000000001"/>
    <n v="3143.04"/>
    <n v="1089.8699999999999"/>
    <n v="412.35"/>
    <n v="690.82"/>
    <n v="1883.04"/>
    <n v="23891.99"/>
    <n v="0"/>
    <x v="3"/>
    <n v="84.36"/>
    <x v="1"/>
    <s v="Pending"/>
    <s v="Standard"/>
    <s v="M. Ahmed"/>
    <s v="North America"/>
    <x v="5"/>
  </r>
  <r>
    <x v="927"/>
    <s v="BK50928"/>
    <d v="2025-05-06T00:00:00"/>
    <d v="2025-05-08T00:00:00"/>
    <d v="2025-05-21T00:00:00"/>
    <x v="2"/>
    <s v="Electronics"/>
    <s v="South Korea"/>
    <s v="Jebel Ali"/>
    <s v="Nhava Sheva"/>
    <x v="2"/>
    <x v="2"/>
    <s v="20FT"/>
    <n v="1"/>
    <s v="Electronics"/>
    <n v="12256.31"/>
    <n v="2607.08"/>
    <n v="675.07"/>
    <n v="234.46"/>
    <n v="122.56"/>
    <n v="582.42999999999995"/>
    <n v="729.25"/>
    <n v="7305.46"/>
    <n v="0"/>
    <x v="3"/>
    <n v="21.73"/>
    <x v="1"/>
    <s v="Paid"/>
    <s v="Standard"/>
    <s v="M. Ahmed"/>
    <s v="Middle East"/>
    <x v="6"/>
  </r>
  <r>
    <x v="928"/>
    <s v="BK50929"/>
    <d v="2025-06-30T00:00:00"/>
    <d v="2025-07-03T00:00:00"/>
    <d v="2025-07-18T00:00:00"/>
    <x v="7"/>
    <s v="Retail"/>
    <s v="Germany"/>
    <s v="Jebel Ali"/>
    <s v="Nhava Sheva"/>
    <x v="2"/>
    <x v="2"/>
    <s v="High Cube"/>
    <n v="1"/>
    <s v="Chemicals"/>
    <n v="44064.91"/>
    <n v="8964.3700000000008"/>
    <n v="3425.29"/>
    <n v="1126.1600000000001"/>
    <n v="440.65"/>
    <n v="850.85"/>
    <n v="1568.87"/>
    <n v="27688.720000000001"/>
    <n v="0"/>
    <x v="3"/>
    <n v="74.7"/>
    <x v="1"/>
    <s v="Paid"/>
    <s v="Standard"/>
    <s v="J. Smith"/>
    <s v="Europe"/>
    <x v="0"/>
  </r>
  <r>
    <x v="929"/>
    <s v="BK50930"/>
    <d v="2025-06-06T00:00:00"/>
    <d v="2025-06-10T00:00:00"/>
    <d v="2025-06-22T00:00:00"/>
    <x v="1"/>
    <s v="FMCG"/>
    <s v="UK"/>
    <s v="Rotterdam"/>
    <s v="Shanghai"/>
    <x v="1"/>
    <x v="5"/>
    <s v="High Cube"/>
    <n v="2"/>
    <s v="Textiles"/>
    <n v="18827.03"/>
    <n v="3330.42"/>
    <n v="877.09"/>
    <n v="296.66000000000003"/>
    <n v="188.27"/>
    <n v="308.44"/>
    <n v="866.51"/>
    <n v="12959.64"/>
    <n v="12"/>
    <x v="4"/>
    <n v="27.75"/>
    <x v="0"/>
    <s v="Paid"/>
    <s v="Standard"/>
    <s v="M. Ahmed"/>
    <s v="Europe"/>
    <x v="0"/>
  </r>
  <r>
    <x v="930"/>
    <s v="BK50931"/>
    <d v="2025-01-18T00:00:00"/>
    <d v="2025-01-19T00:00:00"/>
    <d v="2025-02-09T00:00:00"/>
    <x v="5"/>
    <s v="Food"/>
    <s v="Switzerland"/>
    <s v="Colombo"/>
    <s v="Singapore"/>
    <x v="4"/>
    <x v="6"/>
    <s v="40FT"/>
    <n v="2"/>
    <s v="Chemicals"/>
    <n v="77611.86"/>
    <n v="19681.89"/>
    <n v="3768.87"/>
    <n v="1045.43"/>
    <n v="776.12"/>
    <n v="498.34"/>
    <n v="783.57"/>
    <n v="51057.64"/>
    <n v="36"/>
    <x v="2"/>
    <n v="164.02"/>
    <x v="0"/>
    <s v="Paid"/>
    <s v="Standard"/>
    <s v="L. Chen"/>
    <s v="Europe"/>
    <x v="11"/>
  </r>
  <r>
    <x v="931"/>
    <s v="BK50932"/>
    <d v="2025-06-15T00:00:00"/>
    <d v="2025-06-16T00:00:00"/>
    <d v="2025-07-11T00:00:00"/>
    <x v="1"/>
    <s v="FMCG"/>
    <s v="UK"/>
    <s v="Shanghai"/>
    <s v="Rotterdam"/>
    <x v="3"/>
    <x v="1"/>
    <s v="Reefer"/>
    <n v="2"/>
    <s v="Textiles"/>
    <n v="44016.68"/>
    <n v="12064.3"/>
    <n v="2825.97"/>
    <n v="626"/>
    <n v="440.17"/>
    <n v="534.48"/>
    <n v="570.22"/>
    <n v="26955.54"/>
    <n v="0"/>
    <x v="3"/>
    <n v="100.54"/>
    <x v="1"/>
    <s v="Pending"/>
    <s v="High"/>
    <s v="J. Smith"/>
    <s v="Asia"/>
    <x v="0"/>
  </r>
  <r>
    <x v="932"/>
    <s v="BK50933"/>
    <d v="2025-03-06T00:00:00"/>
    <d v="2025-03-10T00:00:00"/>
    <d v="2025-04-02T00:00:00"/>
    <x v="6"/>
    <s v="Pharma"/>
    <s v="USA"/>
    <s v="Colombo"/>
    <s v="Singapore"/>
    <x v="4"/>
    <x v="7"/>
    <s v="20FT"/>
    <n v="1"/>
    <s v="Machinery"/>
    <n v="44548.98"/>
    <n v="11365.05"/>
    <n v="1996.1"/>
    <n v="1199.28"/>
    <n v="445.49"/>
    <n v="358.31"/>
    <n v="895.81"/>
    <n v="28288.94"/>
    <n v="0"/>
    <x v="3"/>
    <n v="94.71"/>
    <x v="1"/>
    <s v="Pending"/>
    <s v="Critical"/>
    <s v="L. Chen"/>
    <s v="Europe"/>
    <x v="5"/>
  </r>
  <r>
    <x v="933"/>
    <s v="BK50934"/>
    <d v="2025-01-05T00:00:00"/>
    <d v="2025-01-09T00:00:00"/>
    <d v="2025-02-04T00:00:00"/>
    <x v="7"/>
    <s v="Retail"/>
    <s v="Germany"/>
    <s v="Hamburg"/>
    <s v="Shanghai"/>
    <x v="1"/>
    <x v="4"/>
    <s v="40FT"/>
    <n v="2"/>
    <s v="Chemicals"/>
    <n v="86599.81"/>
    <n v="21816.959999999999"/>
    <n v="4106.08"/>
    <n v="1794.54"/>
    <n v="866"/>
    <n v="486.26"/>
    <n v="825.28"/>
    <n v="56704.69"/>
    <n v="12"/>
    <x v="0"/>
    <n v="181.81"/>
    <x v="0"/>
    <s v="Paid"/>
    <s v="High"/>
    <s v="M. Ahmed"/>
    <s v="North America"/>
    <x v="11"/>
  </r>
  <r>
    <x v="934"/>
    <s v="BK50935"/>
    <d v="2025-09-18T00:00:00"/>
    <d v="2025-09-22T00:00:00"/>
    <d v="2025-10-21T00:00:00"/>
    <x v="4"/>
    <s v="Manufacturing"/>
    <s v="Germany"/>
    <s v="Shanghai"/>
    <s v="Rotterdam"/>
    <x v="3"/>
    <x v="4"/>
    <s v="High Cube"/>
    <n v="2"/>
    <s v="Food"/>
    <n v="68012.39"/>
    <n v="13436.76"/>
    <n v="2738.14"/>
    <n v="1852.1"/>
    <n v="680.12"/>
    <n v="899.02"/>
    <n v="941.35"/>
    <n v="47464.9"/>
    <n v="48"/>
    <x v="1"/>
    <n v="111.97"/>
    <x v="0"/>
    <s v="Pending"/>
    <s v="Standard"/>
    <s v="L. Chen"/>
    <s v="North America"/>
    <x v="3"/>
  </r>
  <r>
    <x v="935"/>
    <s v="BK50936"/>
    <d v="2025-09-06T00:00:00"/>
    <d v="2025-09-09T00:00:00"/>
    <d v="2025-10-06T00:00:00"/>
    <x v="1"/>
    <s v="FMCG"/>
    <s v="UK"/>
    <s v="Singapore"/>
    <s v="Los Angeles"/>
    <x v="1"/>
    <x v="4"/>
    <s v="20FT"/>
    <n v="2"/>
    <s v="Chemicals"/>
    <n v="59218.93"/>
    <n v="13062.49"/>
    <n v="2480.4899999999998"/>
    <n v="1199.67"/>
    <n v="592.19000000000005"/>
    <n v="245.39"/>
    <n v="1017.24"/>
    <n v="40621.46"/>
    <n v="4"/>
    <x v="0"/>
    <n v="108.85"/>
    <x v="0"/>
    <s v="Paid"/>
    <s v="High"/>
    <s v="L. Chen"/>
    <s v="North America"/>
    <x v="3"/>
  </r>
  <r>
    <x v="936"/>
    <s v="BK50937"/>
    <d v="2025-01-04T00:00:00"/>
    <d v="2025-01-06T00:00:00"/>
    <d v="2025-01-25T00:00:00"/>
    <x v="7"/>
    <s v="Retail"/>
    <s v="Germany"/>
    <s v="Colombo"/>
    <s v="Singapore"/>
    <x v="4"/>
    <x v="2"/>
    <s v="40FT"/>
    <n v="2"/>
    <s v="Furniture"/>
    <n v="33615.26"/>
    <n v="7937.08"/>
    <n v="2063.5700000000002"/>
    <n v="343.93"/>
    <n v="336.15"/>
    <n v="352.28"/>
    <n v="1720.22"/>
    <n v="20862.03"/>
    <n v="48"/>
    <x v="4"/>
    <n v="66.14"/>
    <x v="0"/>
    <s v="Paid"/>
    <s v="High"/>
    <s v="L. Chen"/>
    <s v="Middle East"/>
    <x v="11"/>
  </r>
  <r>
    <x v="937"/>
    <s v="BK50938"/>
    <d v="2025-10-08T00:00:00"/>
    <d v="2025-10-10T00:00:00"/>
    <d v="2025-10-24T00:00:00"/>
    <x v="10"/>
    <s v="E-commerce"/>
    <s v="USA"/>
    <s v="Colombo"/>
    <s v="Hamburg"/>
    <x v="1"/>
    <x v="1"/>
    <s v="20FT"/>
    <n v="4"/>
    <s v="Food"/>
    <n v="117006.35"/>
    <n v="22437.13"/>
    <n v="4780.9799999999996"/>
    <n v="1241.1400000000001"/>
    <n v="1170.06"/>
    <n v="158.69"/>
    <n v="934.09"/>
    <n v="86284.26"/>
    <n v="4"/>
    <x v="5"/>
    <n v="186.98"/>
    <x v="0"/>
    <s v="Paid"/>
    <s v="Critical"/>
    <s v="A. Tan"/>
    <s v="Asia"/>
    <x v="7"/>
  </r>
  <r>
    <x v="938"/>
    <s v="BK50939"/>
    <d v="2025-04-29T00:00:00"/>
    <d v="2025-05-02T00:00:00"/>
    <d v="2025-05-13T00:00:00"/>
    <x v="0"/>
    <s v="Retail"/>
    <s v="India"/>
    <s v="Busan"/>
    <s v="Los Angeles"/>
    <x v="0"/>
    <x v="6"/>
    <s v="High Cube"/>
    <n v="1"/>
    <s v="Electronics"/>
    <n v="28861.42"/>
    <n v="5151.3"/>
    <n v="1841.37"/>
    <n v="792.88"/>
    <n v="288.61"/>
    <n v="793.91"/>
    <n v="2446.94"/>
    <n v="17546.41"/>
    <n v="0"/>
    <x v="3"/>
    <n v="42.93"/>
    <x v="1"/>
    <s v="Pending"/>
    <s v="High"/>
    <s v="R. Mehta"/>
    <s v="North America"/>
    <x v="10"/>
  </r>
  <r>
    <x v="939"/>
    <s v="BK50940"/>
    <d v="2025-05-07T00:00:00"/>
    <d v="2025-05-11T00:00:00"/>
    <d v="2025-06-02T00:00:00"/>
    <x v="10"/>
    <s v="E-commerce"/>
    <s v="USA"/>
    <s v="Busan"/>
    <s v="Los Angeles"/>
    <x v="0"/>
    <x v="6"/>
    <s v="High Cube"/>
    <n v="2"/>
    <s v="Food"/>
    <n v="81859.27"/>
    <n v="20936.12"/>
    <n v="5475.35"/>
    <n v="1921.85"/>
    <n v="818.59"/>
    <n v="340.55"/>
    <n v="2370.31"/>
    <n v="49996.5"/>
    <n v="0"/>
    <x v="3"/>
    <n v="174.47"/>
    <x v="1"/>
    <s v="Paid"/>
    <s v="Critical"/>
    <s v="M. Ahmed"/>
    <s v="North America"/>
    <x v="6"/>
  </r>
  <r>
    <x v="940"/>
    <s v="BK50941"/>
    <d v="2025-04-26T00:00:00"/>
    <d v="2025-04-27T00:00:00"/>
    <d v="2025-05-22T00:00:00"/>
    <x v="1"/>
    <s v="FMCG"/>
    <s v="UK"/>
    <s v="Busan"/>
    <s v="Los Angeles"/>
    <x v="0"/>
    <x v="3"/>
    <s v="Reefer"/>
    <n v="2"/>
    <s v="Textiles"/>
    <n v="73399.42"/>
    <n v="12752.88"/>
    <n v="3581.18"/>
    <n v="2078.86"/>
    <n v="733.99"/>
    <n v="644.75"/>
    <n v="540.63"/>
    <n v="53067.13"/>
    <n v="0"/>
    <x v="3"/>
    <n v="106.27"/>
    <x v="1"/>
    <s v="Pending"/>
    <s v="Critical"/>
    <s v="J. Smith"/>
    <s v="North America"/>
    <x v="10"/>
  </r>
  <r>
    <x v="941"/>
    <s v="BK50942"/>
    <d v="2025-06-03T00:00:00"/>
    <d v="2025-06-07T00:00:00"/>
    <d v="2025-06-23T00:00:00"/>
    <x v="2"/>
    <s v="Electronics"/>
    <s v="South Korea"/>
    <s v="Nhava Sheva"/>
    <s v="Jebel Ali"/>
    <x v="1"/>
    <x v="4"/>
    <s v="40FT"/>
    <n v="1"/>
    <s v="Auto Parts"/>
    <n v="30068.07"/>
    <n v="7991.02"/>
    <n v="1222.42"/>
    <n v="362.49"/>
    <n v="300.68"/>
    <n v="398.53"/>
    <n v="408.54"/>
    <n v="19384.39"/>
    <n v="36"/>
    <x v="1"/>
    <n v="66.59"/>
    <x v="0"/>
    <s v="Paid"/>
    <s v="Critical"/>
    <s v="R. Mehta"/>
    <s v="Europe"/>
    <x v="0"/>
  </r>
  <r>
    <x v="942"/>
    <s v="BK50943"/>
    <d v="2025-09-21T00:00:00"/>
    <d v="2025-09-24T00:00:00"/>
    <d v="2025-10-18T00:00:00"/>
    <x v="6"/>
    <s v="Pharma"/>
    <s v="USA"/>
    <s v="Shanghai"/>
    <s v="Rotterdam"/>
    <x v="3"/>
    <x v="3"/>
    <s v="High Cube"/>
    <n v="1"/>
    <s v="Machinery"/>
    <n v="38308.019999999997"/>
    <n v="7458.87"/>
    <n v="2532.35"/>
    <n v="455.54"/>
    <n v="383.08"/>
    <n v="146.19999999999999"/>
    <n v="882.49"/>
    <n v="26449.49"/>
    <n v="48"/>
    <x v="2"/>
    <n v="62.16"/>
    <x v="0"/>
    <s v="Paid"/>
    <s v="Standard"/>
    <s v="A. Tan"/>
    <s v="Europe"/>
    <x v="3"/>
  </r>
  <r>
    <x v="943"/>
    <s v="BK50944"/>
    <d v="2025-02-27T00:00:00"/>
    <d v="2025-02-28T00:00:00"/>
    <d v="2025-03-10T00:00:00"/>
    <x v="0"/>
    <s v="Retail"/>
    <s v="India"/>
    <s v="Jebel Ali"/>
    <s v="Nhava Sheva"/>
    <x v="2"/>
    <x v="7"/>
    <s v="High Cube"/>
    <n v="1"/>
    <s v="Furniture"/>
    <n v="36070.89"/>
    <n v="9825.35"/>
    <n v="1443.21"/>
    <n v="559.4"/>
    <n v="360.71"/>
    <n v="835.07"/>
    <n v="2324.73"/>
    <n v="20722.419999999998"/>
    <n v="4"/>
    <x v="0"/>
    <n v="81.88"/>
    <x v="0"/>
    <s v="Paid"/>
    <s v="High"/>
    <s v="A. Tan"/>
    <s v="Europe"/>
    <x v="9"/>
  </r>
  <r>
    <x v="944"/>
    <s v="BK50945"/>
    <d v="2025-06-12T00:00:00"/>
    <d v="2025-06-16T00:00:00"/>
    <d v="2025-07-08T00:00:00"/>
    <x v="2"/>
    <s v="Electronics"/>
    <s v="South Korea"/>
    <s v="Singapore"/>
    <s v="Singapore"/>
    <x v="1"/>
    <x v="2"/>
    <s v="High Cube"/>
    <n v="2"/>
    <s v="Food"/>
    <n v="24818.91"/>
    <n v="5922.09"/>
    <n v="1425.31"/>
    <n v="293.99"/>
    <n v="248.19"/>
    <n v="228.68"/>
    <n v="1167.95"/>
    <n v="15532.7"/>
    <n v="0"/>
    <x v="3"/>
    <n v="49.35"/>
    <x v="1"/>
    <s v="Paid"/>
    <s v="Critical"/>
    <s v="L. Chen"/>
    <s v="Asia"/>
    <x v="0"/>
  </r>
  <r>
    <x v="945"/>
    <s v="BK50946"/>
    <d v="2025-11-23T00:00:00"/>
    <d v="2025-11-26T00:00:00"/>
    <d v="2025-12-06T00:00:00"/>
    <x v="11"/>
    <s v="Automotive"/>
    <s v="Japan"/>
    <s v="Colombo"/>
    <s v="Singapore"/>
    <x v="4"/>
    <x v="3"/>
    <s v="40FT"/>
    <n v="1"/>
    <s v="Chemicals"/>
    <n v="18163.32"/>
    <n v="5365.23"/>
    <n v="777.19"/>
    <n v="281.60000000000002"/>
    <n v="181.63"/>
    <n v="380.69"/>
    <n v="551.78"/>
    <n v="10625.2"/>
    <n v="12"/>
    <x v="5"/>
    <n v="44.71"/>
    <x v="0"/>
    <s v="Paid"/>
    <s v="Standard"/>
    <s v="L. Chen"/>
    <s v="Middle East"/>
    <x v="8"/>
  </r>
  <r>
    <x v="946"/>
    <s v="BK50947"/>
    <d v="2025-10-09T00:00:00"/>
    <d v="2025-10-12T00:00:00"/>
    <d v="2025-10-27T00:00:00"/>
    <x v="9"/>
    <s v="Engineering"/>
    <s v="Germany"/>
    <s v="New York"/>
    <s v="Hamburg"/>
    <x v="1"/>
    <x v="0"/>
    <s v="40FT"/>
    <n v="2"/>
    <s v="Furniture"/>
    <n v="27140.86"/>
    <n v="7813.92"/>
    <n v="1722.26"/>
    <n v="761.42"/>
    <n v="271.41000000000003"/>
    <n v="230.03"/>
    <n v="933.99"/>
    <n v="15407.83"/>
    <n v="0"/>
    <x v="3"/>
    <n v="65.12"/>
    <x v="1"/>
    <s v="Pending"/>
    <s v="Critical"/>
    <s v="J. Smith"/>
    <s v="Asia"/>
    <x v="7"/>
  </r>
  <r>
    <x v="947"/>
    <s v="BK50948"/>
    <d v="2025-03-24T00:00:00"/>
    <d v="2025-03-26T00:00:00"/>
    <d v="2025-04-08T00:00:00"/>
    <x v="0"/>
    <s v="Retail"/>
    <s v="India"/>
    <s v="Los Angeles"/>
    <s v="Colombo"/>
    <x v="1"/>
    <x v="5"/>
    <s v="40FT"/>
    <n v="1"/>
    <s v="Food"/>
    <n v="29187.24"/>
    <n v="7963.21"/>
    <n v="1334.31"/>
    <n v="313.14999999999998"/>
    <n v="291.87"/>
    <n v="884.14"/>
    <n v="957.18"/>
    <n v="17443.38"/>
    <n v="0"/>
    <x v="3"/>
    <n v="66.36"/>
    <x v="1"/>
    <s v="Paid"/>
    <s v="High"/>
    <s v="A. Tan"/>
    <s v="Europe"/>
    <x v="5"/>
  </r>
  <r>
    <x v="948"/>
    <s v="BK50949"/>
    <d v="2025-10-22T00:00:00"/>
    <d v="2025-10-26T00:00:00"/>
    <d v="2025-11-07T00:00:00"/>
    <x v="4"/>
    <s v="Manufacturing"/>
    <s v="Germany"/>
    <s v="Shanghai"/>
    <s v="Rotterdam"/>
    <x v="3"/>
    <x v="0"/>
    <s v="High Cube"/>
    <n v="2"/>
    <s v="Electronics"/>
    <n v="33589.019999999997"/>
    <n v="6692.26"/>
    <n v="2552.4699999999998"/>
    <n v="553.53"/>
    <n v="335.89"/>
    <n v="162.11000000000001"/>
    <n v="704.13"/>
    <n v="22588.63"/>
    <n v="4"/>
    <x v="0"/>
    <n v="55.77"/>
    <x v="0"/>
    <s v="Paid"/>
    <s v="Critical"/>
    <s v="J. Smith"/>
    <s v="Middle East"/>
    <x v="7"/>
  </r>
  <r>
    <x v="949"/>
    <s v="BK50950"/>
    <d v="2025-02-24T00:00:00"/>
    <d v="2025-02-28T00:00:00"/>
    <d v="2025-03-25T00:00:00"/>
    <x v="0"/>
    <s v="Retail"/>
    <s v="India"/>
    <s v="Singapore"/>
    <s v="Rotterdam"/>
    <x v="3"/>
    <x v="1"/>
    <s v="High Cube"/>
    <n v="1"/>
    <s v="Chemicals"/>
    <n v="34646.15"/>
    <n v="9904.5"/>
    <n v="1861.42"/>
    <n v="514.14"/>
    <n v="346.46"/>
    <n v="417.42"/>
    <n v="2440.17"/>
    <n v="19162.04"/>
    <n v="36"/>
    <x v="0"/>
    <n v="82.54"/>
    <x v="0"/>
    <s v="Paid"/>
    <s v="High"/>
    <s v="A. Tan"/>
    <s v="North America"/>
    <x v="9"/>
  </r>
  <r>
    <x v="950"/>
    <s v="BK50951"/>
    <d v="2025-06-02T00:00:00"/>
    <d v="2025-06-05T00:00:00"/>
    <d v="2025-06-24T00:00:00"/>
    <x v="1"/>
    <s v="FMCG"/>
    <s v="UK"/>
    <s v="Hamburg"/>
    <s v="Busan"/>
    <x v="1"/>
    <x v="6"/>
    <s v="High Cube"/>
    <n v="1"/>
    <s v="Electronics"/>
    <n v="19128.36"/>
    <n v="4341.6499999999996"/>
    <n v="981.29"/>
    <n v="276.72000000000003"/>
    <n v="191.28"/>
    <n v="703.32"/>
    <n v="2479.8000000000002"/>
    <n v="10154.299999999999"/>
    <n v="24"/>
    <x v="1"/>
    <n v="36.18"/>
    <x v="0"/>
    <s v="Pending"/>
    <s v="Standard"/>
    <s v="L. Chen"/>
    <s v="Middle East"/>
    <x v="0"/>
  </r>
  <r>
    <x v="951"/>
    <s v="BK50952"/>
    <d v="2025-08-15T00:00:00"/>
    <d v="2025-08-17T00:00:00"/>
    <d v="2025-09-10T00:00:00"/>
    <x v="2"/>
    <s v="Electronics"/>
    <s v="South Korea"/>
    <s v="Singapore"/>
    <s v="Los Angeles"/>
    <x v="1"/>
    <x v="6"/>
    <s v="20FT"/>
    <n v="2"/>
    <s v="Furniture"/>
    <n v="83383.63"/>
    <n v="18205.02"/>
    <n v="5022.2"/>
    <n v="1533.03"/>
    <n v="833.84"/>
    <n v="140.72"/>
    <n v="1946.91"/>
    <n v="55701.91"/>
    <n v="24"/>
    <x v="1"/>
    <n v="151.71"/>
    <x v="0"/>
    <s v="Paid"/>
    <s v="Standard"/>
    <s v="L. Chen"/>
    <s v="Middle East"/>
    <x v="4"/>
  </r>
  <r>
    <x v="952"/>
    <s v="BK50953"/>
    <d v="2025-09-03T00:00:00"/>
    <d v="2025-09-06T00:00:00"/>
    <d v="2025-09-16T00:00:00"/>
    <x v="10"/>
    <s v="E-commerce"/>
    <s v="USA"/>
    <s v="Colombo"/>
    <s v="Singapore"/>
    <x v="4"/>
    <x v="5"/>
    <s v="40FT"/>
    <n v="2"/>
    <s v="Machinery"/>
    <n v="14739.93"/>
    <n v="4062.99"/>
    <n v="917.26"/>
    <n v="215.85"/>
    <n v="147.4"/>
    <n v="358.36"/>
    <n v="894.5"/>
    <n v="8143.57"/>
    <n v="0"/>
    <x v="3"/>
    <n v="33.86"/>
    <x v="1"/>
    <s v="Paid"/>
    <s v="Standard"/>
    <s v="A. Tan"/>
    <s v="North America"/>
    <x v="3"/>
  </r>
  <r>
    <x v="953"/>
    <s v="BK50954"/>
    <d v="2025-12-09T00:00:00"/>
    <d v="2025-12-11T00:00:00"/>
    <d v="2026-01-01T00:00:00"/>
    <x v="1"/>
    <s v="FMCG"/>
    <s v="UK"/>
    <s v="Singapore"/>
    <s v="Los Angeles"/>
    <x v="1"/>
    <x v="6"/>
    <s v="40FT"/>
    <n v="2"/>
    <s v="Food"/>
    <n v="56791.77"/>
    <n v="12898.47"/>
    <n v="3066.15"/>
    <n v="1286.1300000000001"/>
    <n v="567.91999999999996"/>
    <n v="642.04999999999995"/>
    <n v="1827.34"/>
    <n v="36503.71"/>
    <n v="0"/>
    <x v="3"/>
    <n v="107.49"/>
    <x v="1"/>
    <s v="Paid"/>
    <s v="High"/>
    <s v="R. Mehta"/>
    <s v="Europe"/>
    <x v="2"/>
  </r>
  <r>
    <x v="954"/>
    <s v="BK50955"/>
    <d v="2025-08-08T00:00:00"/>
    <d v="2025-08-11T00:00:00"/>
    <d v="2025-08-26T00:00:00"/>
    <x v="1"/>
    <s v="FMCG"/>
    <s v="UK"/>
    <s v="Busan"/>
    <s v="Nhava Sheva"/>
    <x v="1"/>
    <x v="1"/>
    <s v="High Cube"/>
    <n v="2"/>
    <s v="Chemicals"/>
    <n v="69095.929999999993"/>
    <n v="14407.8"/>
    <n v="2802.92"/>
    <n v="1160.1500000000001"/>
    <n v="690.96"/>
    <n v="841.12"/>
    <n v="575.91"/>
    <n v="48617.07"/>
    <n v="4"/>
    <x v="5"/>
    <n v="120.06"/>
    <x v="0"/>
    <s v="Paid"/>
    <s v="Critical"/>
    <s v="R. Mehta"/>
    <s v="North America"/>
    <x v="4"/>
  </r>
  <r>
    <x v="955"/>
    <s v="BK50956"/>
    <d v="2025-03-04T00:00:00"/>
    <d v="2025-03-06T00:00:00"/>
    <d v="2025-03-21T00:00:00"/>
    <x v="8"/>
    <s v="Retail"/>
    <s v="Sweden"/>
    <s v="Colombo"/>
    <s v="Singapore"/>
    <x v="4"/>
    <x v="4"/>
    <s v="40FT"/>
    <n v="1"/>
    <s v="Chemicals"/>
    <n v="41576.53"/>
    <n v="12401.23"/>
    <n v="1744.31"/>
    <n v="896.6"/>
    <n v="415.77"/>
    <n v="323.85000000000002"/>
    <n v="458.55"/>
    <n v="25336.22"/>
    <n v="0"/>
    <x v="3"/>
    <n v="103.34"/>
    <x v="1"/>
    <s v="Paid"/>
    <s v="High"/>
    <s v="M. Ahmed"/>
    <s v="Europe"/>
    <x v="5"/>
  </r>
  <r>
    <x v="956"/>
    <s v="BK50957"/>
    <d v="2025-12-08T00:00:00"/>
    <d v="2025-12-12T00:00:00"/>
    <d v="2025-12-31T00:00:00"/>
    <x v="9"/>
    <s v="Engineering"/>
    <s v="Germany"/>
    <s v="Singapore"/>
    <s v="Rotterdam"/>
    <x v="3"/>
    <x v="4"/>
    <s v="High Cube"/>
    <n v="2"/>
    <s v="Machinery"/>
    <n v="37418.49"/>
    <n v="6995.86"/>
    <n v="2719.78"/>
    <n v="958.67"/>
    <n v="374.18"/>
    <n v="121.71"/>
    <n v="717.94"/>
    <n v="25530.35"/>
    <n v="24"/>
    <x v="1"/>
    <n v="58.3"/>
    <x v="0"/>
    <s v="Paid"/>
    <s v="High"/>
    <s v="R. Mehta"/>
    <s v="Middle East"/>
    <x v="2"/>
  </r>
  <r>
    <x v="957"/>
    <s v="BK50958"/>
    <d v="2025-03-22T00:00:00"/>
    <d v="2025-03-25T00:00:00"/>
    <d v="2025-04-09T00:00:00"/>
    <x v="2"/>
    <s v="Electronics"/>
    <s v="South Korea"/>
    <s v="Colombo"/>
    <s v="Singapore"/>
    <x v="4"/>
    <x v="1"/>
    <s v="20FT"/>
    <n v="2"/>
    <s v="Furniture"/>
    <n v="29965.39"/>
    <n v="8292.17"/>
    <n v="1214.8900000000001"/>
    <n v="843.89"/>
    <n v="299.64999999999998"/>
    <n v="851.8"/>
    <n v="566.98"/>
    <n v="17896.009999999998"/>
    <n v="48"/>
    <x v="4"/>
    <n v="69.099999999999994"/>
    <x v="0"/>
    <s v="Pending"/>
    <s v="Standard"/>
    <s v="R. Mehta"/>
    <s v="North America"/>
    <x v="5"/>
  </r>
  <r>
    <x v="958"/>
    <s v="BK50959"/>
    <d v="2025-01-16T00:00:00"/>
    <d v="2025-01-17T00:00:00"/>
    <d v="2025-02-11T00:00:00"/>
    <x v="11"/>
    <s v="Automotive"/>
    <s v="Japan"/>
    <s v="Nhava Sheva"/>
    <s v="Hamburg"/>
    <x v="1"/>
    <x v="2"/>
    <s v="40FT"/>
    <n v="1"/>
    <s v="Machinery"/>
    <n v="27307.69"/>
    <n v="5289.99"/>
    <n v="1556.74"/>
    <n v="694.9"/>
    <n v="273.08"/>
    <n v="300.07"/>
    <n v="2088.5700000000002"/>
    <n v="17104.34"/>
    <n v="8"/>
    <x v="0"/>
    <n v="44.08"/>
    <x v="0"/>
    <s v="Paid"/>
    <s v="Standard"/>
    <s v="R. Mehta"/>
    <s v="Europe"/>
    <x v="11"/>
  </r>
  <r>
    <x v="959"/>
    <s v="BK50960"/>
    <d v="2025-01-11T00:00:00"/>
    <d v="2025-01-15T00:00:00"/>
    <d v="2025-02-03T00:00:00"/>
    <x v="4"/>
    <s v="Manufacturing"/>
    <s v="Germany"/>
    <s v="Colombo"/>
    <s v="Singapore"/>
    <x v="4"/>
    <x v="2"/>
    <s v="40FT"/>
    <n v="2"/>
    <s v="Machinery"/>
    <n v="72820.44"/>
    <n v="13832.15"/>
    <n v="4614.32"/>
    <n v="774.51"/>
    <n v="728.2"/>
    <n v="650.87"/>
    <n v="713.45"/>
    <n v="51506.94"/>
    <n v="36"/>
    <x v="0"/>
    <n v="115.27"/>
    <x v="0"/>
    <s v="Pending"/>
    <s v="Critical"/>
    <s v="R. Mehta"/>
    <s v="Europe"/>
    <x v="11"/>
  </r>
  <r>
    <x v="960"/>
    <s v="BK50961"/>
    <d v="2025-08-30T00:00:00"/>
    <d v="2025-08-31T00:00:00"/>
    <d v="2025-09-25T00:00:00"/>
    <x v="5"/>
    <s v="Food"/>
    <s v="Switzerland"/>
    <s v="Busan"/>
    <s v="Los Angeles"/>
    <x v="0"/>
    <x v="3"/>
    <s v="Reefer"/>
    <n v="4"/>
    <s v="Electronics"/>
    <n v="70060.14"/>
    <n v="20294.52"/>
    <n v="4261.67"/>
    <n v="1010.72"/>
    <n v="700.6"/>
    <n v="568.77"/>
    <n v="1913.35"/>
    <n v="41310.51"/>
    <n v="4"/>
    <x v="2"/>
    <n v="169.12"/>
    <x v="0"/>
    <s v="Paid"/>
    <s v="Critical"/>
    <s v="M. Ahmed"/>
    <s v="Asia"/>
    <x v="4"/>
  </r>
  <r>
    <x v="961"/>
    <s v="BK50962"/>
    <d v="2025-07-22T00:00:00"/>
    <d v="2025-07-23T00:00:00"/>
    <d v="2025-08-05T00:00:00"/>
    <x v="9"/>
    <s v="Engineering"/>
    <s v="Germany"/>
    <s v="Singapore"/>
    <s v="Rotterdam"/>
    <x v="3"/>
    <x v="1"/>
    <s v="20FT"/>
    <n v="2"/>
    <s v="Electronics"/>
    <n v="34559.96"/>
    <n v="7865.44"/>
    <n v="2510.21"/>
    <n v="844.57"/>
    <n v="345.6"/>
    <n v="654.79999999999995"/>
    <n v="2445.52"/>
    <n v="19893.82"/>
    <n v="4"/>
    <x v="4"/>
    <n v="65.55"/>
    <x v="0"/>
    <s v="Pending"/>
    <s v="High"/>
    <s v="A. Tan"/>
    <s v="North America"/>
    <x v="1"/>
  </r>
  <r>
    <x v="962"/>
    <s v="BK50963"/>
    <d v="2025-04-26T00:00:00"/>
    <d v="2025-04-30T00:00:00"/>
    <d v="2025-05-20T00:00:00"/>
    <x v="4"/>
    <s v="Manufacturing"/>
    <s v="Germany"/>
    <s v="Jebel Ali"/>
    <s v="Nhava Sheva"/>
    <x v="2"/>
    <x v="4"/>
    <s v="20FT"/>
    <n v="2"/>
    <s v="Electronics"/>
    <n v="68923.64"/>
    <n v="14968.21"/>
    <n v="3078.45"/>
    <n v="1038.0899999999999"/>
    <n v="689.24"/>
    <n v="222.2"/>
    <n v="1616.45"/>
    <n v="47311"/>
    <n v="0"/>
    <x v="3"/>
    <n v="124.74"/>
    <x v="1"/>
    <s v="Pending"/>
    <s v="Critical"/>
    <s v="A. Tan"/>
    <s v="North America"/>
    <x v="10"/>
  </r>
  <r>
    <x v="963"/>
    <s v="BK50964"/>
    <d v="2025-08-03T00:00:00"/>
    <d v="2025-08-07T00:00:00"/>
    <d v="2025-09-03T00:00:00"/>
    <x v="1"/>
    <s v="FMCG"/>
    <s v="UK"/>
    <s v="Busan"/>
    <s v="Los Angeles"/>
    <x v="0"/>
    <x v="2"/>
    <s v="40FT"/>
    <n v="2"/>
    <s v="Textiles"/>
    <n v="55390.91"/>
    <n v="9029.49"/>
    <n v="3007.6"/>
    <n v="709.84"/>
    <n v="553.91"/>
    <n v="893.02"/>
    <n v="1192.25"/>
    <n v="40004.800000000003"/>
    <n v="0"/>
    <x v="3"/>
    <n v="75.25"/>
    <x v="1"/>
    <s v="Paid"/>
    <s v="High"/>
    <s v="L. Chen"/>
    <s v="North America"/>
    <x v="4"/>
  </r>
  <r>
    <x v="964"/>
    <s v="BK50965"/>
    <d v="2025-04-11T00:00:00"/>
    <d v="2025-04-13T00:00:00"/>
    <d v="2025-05-03T00:00:00"/>
    <x v="2"/>
    <s v="Electronics"/>
    <s v="South Korea"/>
    <s v="Busan"/>
    <s v="Los Angeles"/>
    <x v="0"/>
    <x v="7"/>
    <s v="High Cube"/>
    <n v="2"/>
    <s v="Chemicals"/>
    <n v="62097.02"/>
    <n v="12699.25"/>
    <n v="4512.22"/>
    <n v="674.6"/>
    <n v="620.97"/>
    <n v="770.9"/>
    <n v="723.17"/>
    <n v="42095.91"/>
    <n v="48"/>
    <x v="1"/>
    <n v="105.83"/>
    <x v="0"/>
    <s v="Pending"/>
    <s v="Critical"/>
    <s v="A. Tan"/>
    <s v="Asia"/>
    <x v="10"/>
  </r>
  <r>
    <x v="965"/>
    <s v="BK50966"/>
    <d v="2025-08-16T00:00:00"/>
    <d v="2025-08-17T00:00:00"/>
    <d v="2025-08-31T00:00:00"/>
    <x v="8"/>
    <s v="Retail"/>
    <s v="Sweden"/>
    <s v="Shanghai"/>
    <s v="Rotterdam"/>
    <x v="3"/>
    <x v="2"/>
    <s v="40FT"/>
    <n v="4"/>
    <s v="Furniture"/>
    <n v="40005.29"/>
    <n v="8735.94"/>
    <n v="1819.36"/>
    <n v="935.7"/>
    <n v="400.05"/>
    <n v="232.31"/>
    <n v="687.51"/>
    <n v="27194.42"/>
    <n v="0"/>
    <x v="3"/>
    <n v="72.8"/>
    <x v="1"/>
    <s v="Pending"/>
    <s v="Standard"/>
    <s v="R. Mehta"/>
    <s v="Asia"/>
    <x v="4"/>
  </r>
  <r>
    <x v="966"/>
    <s v="BK50967"/>
    <d v="2025-10-27T00:00:00"/>
    <d v="2025-10-28T00:00:00"/>
    <d v="2025-11-20T00:00:00"/>
    <x v="8"/>
    <s v="Retail"/>
    <s v="Sweden"/>
    <s v="Singapore"/>
    <s v="Nhava Sheva"/>
    <x v="1"/>
    <x v="2"/>
    <s v="Reefer"/>
    <n v="2"/>
    <s v="Furniture"/>
    <n v="23161.88"/>
    <n v="5754.79"/>
    <n v="1509.7"/>
    <n v="452.81"/>
    <n v="231.62"/>
    <n v="294.14999999999998"/>
    <n v="980.28"/>
    <n v="13938.53"/>
    <n v="24"/>
    <x v="0"/>
    <n v="47.96"/>
    <x v="0"/>
    <s v="Paid"/>
    <s v="Critical"/>
    <s v="A. Tan"/>
    <s v="Middle East"/>
    <x v="7"/>
  </r>
  <r>
    <x v="967"/>
    <s v="BK50968"/>
    <d v="2025-10-26T00:00:00"/>
    <d v="2025-10-30T00:00:00"/>
    <d v="2025-11-22T00:00:00"/>
    <x v="1"/>
    <s v="FMCG"/>
    <s v="UK"/>
    <s v="Jebel Ali"/>
    <s v="Nhava Sheva"/>
    <x v="2"/>
    <x v="3"/>
    <s v="High Cube"/>
    <n v="2"/>
    <s v="Electronics"/>
    <n v="57783.59"/>
    <n v="16129.49"/>
    <n v="4086.69"/>
    <n v="652.01"/>
    <n v="577.84"/>
    <n v="285.82"/>
    <n v="391.21"/>
    <n v="35660.53"/>
    <n v="8"/>
    <x v="1"/>
    <n v="134.41"/>
    <x v="0"/>
    <s v="Pending"/>
    <s v="Critical"/>
    <s v="L. Chen"/>
    <s v="Middle East"/>
    <x v="7"/>
  </r>
  <r>
    <x v="968"/>
    <s v="BK50969"/>
    <d v="2025-11-08T00:00:00"/>
    <d v="2025-11-10T00:00:00"/>
    <d v="2025-11-25T00:00:00"/>
    <x v="2"/>
    <s v="Electronics"/>
    <s v="South Korea"/>
    <s v="Shanghai"/>
    <s v="Hamburg"/>
    <x v="1"/>
    <x v="6"/>
    <s v="High Cube"/>
    <n v="1"/>
    <s v="Electronics"/>
    <n v="29813.14"/>
    <n v="6465.27"/>
    <n v="2180.38"/>
    <n v="317.92"/>
    <n v="298.13"/>
    <n v="850.62"/>
    <n v="369.64"/>
    <n v="19331.18"/>
    <n v="12"/>
    <x v="1"/>
    <n v="53.88"/>
    <x v="0"/>
    <s v="Pending"/>
    <s v="High"/>
    <s v="A. Tan"/>
    <s v="North America"/>
    <x v="8"/>
  </r>
  <r>
    <x v="969"/>
    <s v="BK50970"/>
    <d v="2025-09-26T00:00:00"/>
    <d v="2025-09-29T00:00:00"/>
    <d v="2025-10-17T00:00:00"/>
    <x v="11"/>
    <s v="Automotive"/>
    <s v="Japan"/>
    <s v="Shanghai"/>
    <s v="Rotterdam"/>
    <x v="3"/>
    <x v="3"/>
    <s v="High Cube"/>
    <n v="2"/>
    <s v="Furniture"/>
    <n v="86220.26"/>
    <n v="21669.4"/>
    <n v="4826.51"/>
    <n v="1688.5"/>
    <n v="862.2"/>
    <n v="296.22000000000003"/>
    <n v="782.93"/>
    <n v="56094.5"/>
    <n v="0"/>
    <x v="3"/>
    <n v="180.58"/>
    <x v="1"/>
    <s v="Paid"/>
    <s v="Critical"/>
    <s v="M. Ahmed"/>
    <s v="Middle East"/>
    <x v="3"/>
  </r>
  <r>
    <x v="970"/>
    <s v="BK50971"/>
    <d v="2025-04-19T00:00:00"/>
    <d v="2025-04-20T00:00:00"/>
    <d v="2025-05-03T00:00:00"/>
    <x v="7"/>
    <s v="Retail"/>
    <s v="Germany"/>
    <s v="Busan"/>
    <s v="Jebel Ali"/>
    <x v="1"/>
    <x v="0"/>
    <s v="Reefer"/>
    <n v="2"/>
    <s v="Machinery"/>
    <n v="57772.38"/>
    <n v="13177.45"/>
    <n v="4514.2700000000004"/>
    <n v="1332.71"/>
    <n v="577.72"/>
    <n v="718.05"/>
    <n v="2014.21"/>
    <n v="35437.97"/>
    <n v="8"/>
    <x v="5"/>
    <n v="109.81"/>
    <x v="0"/>
    <s v="Paid"/>
    <s v="High"/>
    <s v="R. Mehta"/>
    <s v="North America"/>
    <x v="10"/>
  </r>
  <r>
    <x v="971"/>
    <s v="BK50972"/>
    <d v="2025-02-20T00:00:00"/>
    <d v="2025-02-23T00:00:00"/>
    <d v="2025-03-10T00:00:00"/>
    <x v="1"/>
    <s v="FMCG"/>
    <s v="UK"/>
    <s v="Busan"/>
    <s v="Los Angeles"/>
    <x v="0"/>
    <x v="0"/>
    <s v="40FT"/>
    <n v="1"/>
    <s v="Textiles"/>
    <n v="27182.68"/>
    <n v="7233.87"/>
    <n v="1337.18"/>
    <n v="423.24"/>
    <n v="271.83"/>
    <n v="384.2"/>
    <n v="872.07"/>
    <n v="16660.29"/>
    <n v="0"/>
    <x v="3"/>
    <n v="60.28"/>
    <x v="1"/>
    <s v="Paid"/>
    <s v="High"/>
    <s v="M. Ahmed"/>
    <s v="North America"/>
    <x v="9"/>
  </r>
  <r>
    <x v="972"/>
    <s v="BK50973"/>
    <d v="2025-03-08T00:00:00"/>
    <d v="2025-03-12T00:00:00"/>
    <d v="2025-04-04T00:00:00"/>
    <x v="3"/>
    <s v="Electronics"/>
    <s v="South Korea"/>
    <s v="Jebel Ali"/>
    <s v="Nhava Sheva"/>
    <x v="2"/>
    <x v="7"/>
    <s v="Reefer"/>
    <n v="2"/>
    <s v="Machinery"/>
    <n v="51861.74"/>
    <n v="10586.83"/>
    <n v="4080.01"/>
    <n v="597.48"/>
    <n v="518.62"/>
    <n v="662.43"/>
    <n v="2361.8200000000002"/>
    <n v="33054.550000000003"/>
    <n v="0"/>
    <x v="3"/>
    <n v="88.22"/>
    <x v="1"/>
    <s v="Pending"/>
    <s v="Standard"/>
    <s v="M. Ahmed"/>
    <s v="Europe"/>
    <x v="5"/>
  </r>
  <r>
    <x v="973"/>
    <s v="BK50974"/>
    <d v="2025-08-08T00:00:00"/>
    <d v="2025-08-09T00:00:00"/>
    <d v="2025-08-31T00:00:00"/>
    <x v="11"/>
    <s v="Automotive"/>
    <s v="Japan"/>
    <s v="Colombo"/>
    <s v="Singapore"/>
    <x v="4"/>
    <x v="0"/>
    <s v="Reefer"/>
    <n v="4"/>
    <s v="Auto Parts"/>
    <n v="160633.66"/>
    <n v="29102.68"/>
    <n v="8483.74"/>
    <n v="4530.29"/>
    <n v="1606.34"/>
    <n v="761.71"/>
    <n v="1140.1099999999999"/>
    <n v="115008.79"/>
    <n v="36"/>
    <x v="5"/>
    <n v="242.52"/>
    <x v="0"/>
    <s v="Paid"/>
    <s v="High"/>
    <s v="L. Chen"/>
    <s v="Asia"/>
    <x v="4"/>
  </r>
  <r>
    <x v="974"/>
    <s v="BK50975"/>
    <d v="2025-08-31T00:00:00"/>
    <d v="2025-09-01T00:00:00"/>
    <d v="2025-09-21T00:00:00"/>
    <x v="5"/>
    <s v="Food"/>
    <s v="Switzerland"/>
    <s v="Colombo"/>
    <s v="Hamburg"/>
    <x v="1"/>
    <x v="4"/>
    <s v="40FT"/>
    <n v="2"/>
    <s v="Chemicals"/>
    <n v="79032.92"/>
    <n v="15056.83"/>
    <n v="3441.4"/>
    <n v="1702.27"/>
    <n v="790.33"/>
    <n v="750.7"/>
    <n v="1298.1300000000001"/>
    <n v="55993.26"/>
    <n v="24"/>
    <x v="2"/>
    <n v="125.47"/>
    <x v="0"/>
    <s v="Paid"/>
    <s v="Standard"/>
    <s v="A. Tan"/>
    <s v="Europe"/>
    <x v="4"/>
  </r>
  <r>
    <x v="975"/>
    <s v="BK50976"/>
    <d v="2025-12-16T00:00:00"/>
    <d v="2025-12-19T00:00:00"/>
    <d v="2026-01-13T00:00:00"/>
    <x v="8"/>
    <s v="Retail"/>
    <s v="Sweden"/>
    <s v="Jebel Ali"/>
    <s v="Nhava Sheva"/>
    <x v="2"/>
    <x v="1"/>
    <s v="20FT"/>
    <n v="1"/>
    <s v="Chemicals"/>
    <n v="23338.11"/>
    <n v="4890.66"/>
    <n v="1203.44"/>
    <n v="457.66"/>
    <n v="233.38"/>
    <n v="492.23"/>
    <n v="942.27"/>
    <n v="15118.47"/>
    <n v="0"/>
    <x v="3"/>
    <n v="40.76"/>
    <x v="1"/>
    <s v="Paid"/>
    <s v="Critical"/>
    <s v="R. Mehta"/>
    <s v="North America"/>
    <x v="2"/>
  </r>
  <r>
    <x v="976"/>
    <s v="BK50977"/>
    <d v="2025-05-13T00:00:00"/>
    <d v="2025-05-16T00:00:00"/>
    <d v="2025-06-02T00:00:00"/>
    <x v="7"/>
    <s v="Retail"/>
    <s v="Germany"/>
    <s v="Jebel Ali"/>
    <s v="Nhava Sheva"/>
    <x v="2"/>
    <x v="5"/>
    <s v="20FT"/>
    <n v="2"/>
    <s v="Food"/>
    <n v="79010.63"/>
    <n v="13522.2"/>
    <n v="3861.05"/>
    <n v="1009.86"/>
    <n v="790.11"/>
    <n v="872.11"/>
    <n v="378.94"/>
    <n v="58576.36"/>
    <n v="0"/>
    <x v="3"/>
    <n v="112.69"/>
    <x v="1"/>
    <s v="Pending"/>
    <s v="Standard"/>
    <s v="J. Smith"/>
    <s v="Europe"/>
    <x v="6"/>
  </r>
  <r>
    <x v="977"/>
    <s v="BK50978"/>
    <d v="2025-10-30T00:00:00"/>
    <d v="2025-11-01T00:00:00"/>
    <d v="2025-11-22T00:00:00"/>
    <x v="1"/>
    <s v="FMCG"/>
    <s v="UK"/>
    <s v="Jebel Ali"/>
    <s v="Nhava Sheva"/>
    <x v="2"/>
    <x v="2"/>
    <s v="High Cube"/>
    <n v="2"/>
    <s v="Food"/>
    <n v="83027.58"/>
    <n v="13632"/>
    <n v="4354.97"/>
    <n v="1511.59"/>
    <n v="830.28"/>
    <n v="667.97"/>
    <n v="384.49"/>
    <n v="61646.28"/>
    <n v="0"/>
    <x v="3"/>
    <n v="113.6"/>
    <x v="1"/>
    <s v="Pending"/>
    <s v="High"/>
    <s v="J. Smith"/>
    <s v="Europe"/>
    <x v="7"/>
  </r>
  <r>
    <x v="978"/>
    <s v="BK50979"/>
    <d v="2025-01-10T00:00:00"/>
    <d v="2025-01-13T00:00:00"/>
    <d v="2025-01-30T00:00:00"/>
    <x v="9"/>
    <s v="Engineering"/>
    <s v="Germany"/>
    <s v="Singapore"/>
    <s v="Rotterdam"/>
    <x v="3"/>
    <x v="7"/>
    <s v="Reefer"/>
    <n v="1"/>
    <s v="Electronics"/>
    <n v="17867.45"/>
    <n v="4135.7700000000004"/>
    <n v="1196.22"/>
    <n v="349.13"/>
    <n v="178.67"/>
    <n v="735.46"/>
    <n v="1288.18"/>
    <n v="9984.02"/>
    <n v="48"/>
    <x v="4"/>
    <n v="34.46"/>
    <x v="0"/>
    <s v="Paid"/>
    <s v="High"/>
    <s v="A. Tan"/>
    <s v="North America"/>
    <x v="11"/>
  </r>
  <r>
    <x v="979"/>
    <s v="BK50980"/>
    <d v="2025-09-28T00:00:00"/>
    <d v="2025-10-01T00:00:00"/>
    <d v="2025-10-14T00:00:00"/>
    <x v="10"/>
    <s v="E-commerce"/>
    <s v="USA"/>
    <s v="Rotterdam"/>
    <s v="Shanghai"/>
    <x v="1"/>
    <x v="5"/>
    <s v="20FT"/>
    <n v="2"/>
    <s v="Furniture"/>
    <n v="63324.01"/>
    <n v="15119.38"/>
    <n v="4862.1499999999996"/>
    <n v="1525.89"/>
    <n v="633.24"/>
    <n v="647.26"/>
    <n v="1954.9"/>
    <n v="38581.19"/>
    <n v="12"/>
    <x v="4"/>
    <n v="125.99"/>
    <x v="0"/>
    <s v="Pending"/>
    <s v="High"/>
    <s v="M. Ahmed"/>
    <s v="Middle East"/>
    <x v="3"/>
  </r>
  <r>
    <x v="980"/>
    <s v="BK50981"/>
    <d v="2025-09-25T00:00:00"/>
    <d v="2025-09-26T00:00:00"/>
    <d v="2025-10-21T00:00:00"/>
    <x v="8"/>
    <s v="Retail"/>
    <s v="Sweden"/>
    <s v="Busan"/>
    <s v="Los Angeles"/>
    <x v="0"/>
    <x v="2"/>
    <s v="Reefer"/>
    <n v="1"/>
    <s v="Textiles"/>
    <n v="12023.56"/>
    <n v="3309.94"/>
    <n v="575.92999999999995"/>
    <n v="166.62"/>
    <n v="120.24"/>
    <n v="431.82"/>
    <n v="2499.91"/>
    <n v="4919.1000000000004"/>
    <n v="8"/>
    <x v="0"/>
    <n v="27.58"/>
    <x v="0"/>
    <s v="Paid"/>
    <s v="High"/>
    <s v="A. Tan"/>
    <s v="Europe"/>
    <x v="3"/>
  </r>
  <r>
    <x v="981"/>
    <s v="BK50982"/>
    <d v="2025-09-03T00:00:00"/>
    <d v="2025-09-05T00:00:00"/>
    <d v="2025-09-20T00:00:00"/>
    <x v="7"/>
    <s v="Retail"/>
    <s v="Germany"/>
    <s v="Nhava Sheva"/>
    <s v="Hamburg"/>
    <x v="1"/>
    <x v="7"/>
    <s v="Reefer"/>
    <n v="2"/>
    <s v="Machinery"/>
    <n v="12934.53"/>
    <n v="3631.72"/>
    <n v="891.86"/>
    <n v="374.47"/>
    <n v="129.35"/>
    <n v="583.91999999999996"/>
    <n v="1881.43"/>
    <n v="5441.78"/>
    <n v="48"/>
    <x v="5"/>
    <n v="30.26"/>
    <x v="0"/>
    <s v="Paid"/>
    <s v="Standard"/>
    <s v="A. Tan"/>
    <s v="Asia"/>
    <x v="3"/>
  </r>
  <r>
    <x v="982"/>
    <s v="BK50983"/>
    <d v="2025-07-22T00:00:00"/>
    <d v="2025-07-24T00:00:00"/>
    <d v="2025-08-03T00:00:00"/>
    <x v="6"/>
    <s v="Pharma"/>
    <s v="USA"/>
    <s v="Shanghai"/>
    <s v="Rotterdam"/>
    <x v="3"/>
    <x v="4"/>
    <s v="20FT"/>
    <n v="2"/>
    <s v="Food"/>
    <n v="46353.04"/>
    <n v="9113.17"/>
    <n v="2488.85"/>
    <n v="1388.05"/>
    <n v="463.53"/>
    <n v="861.46"/>
    <n v="2424.4"/>
    <n v="29613.58"/>
    <n v="0"/>
    <x v="3"/>
    <n v="75.94"/>
    <x v="1"/>
    <s v="Paid"/>
    <s v="Standard"/>
    <s v="J. Smith"/>
    <s v="Asia"/>
    <x v="1"/>
  </r>
  <r>
    <x v="983"/>
    <s v="BK50984"/>
    <d v="2025-03-11T00:00:00"/>
    <d v="2025-03-14T00:00:00"/>
    <d v="2025-03-25T00:00:00"/>
    <x v="11"/>
    <s v="Automotive"/>
    <s v="Japan"/>
    <s v="Colombo"/>
    <s v="Singapore"/>
    <x v="4"/>
    <x v="2"/>
    <s v="Reefer"/>
    <n v="1"/>
    <s v="Chemicals"/>
    <n v="6999.04"/>
    <n v="1447.59"/>
    <n v="530.4"/>
    <n v="70"/>
    <n v="69.989999999999995"/>
    <n v="249.71"/>
    <n v="1684.85"/>
    <n v="2946.5"/>
    <n v="8"/>
    <x v="4"/>
    <n v="12.06"/>
    <x v="0"/>
    <s v="Pending"/>
    <s v="High"/>
    <s v="M. Ahmed"/>
    <s v="North America"/>
    <x v="5"/>
  </r>
  <r>
    <x v="984"/>
    <s v="BK50985"/>
    <d v="2025-06-14T00:00:00"/>
    <d v="2025-06-15T00:00:00"/>
    <d v="2025-07-13T00:00:00"/>
    <x v="2"/>
    <s v="Electronics"/>
    <s v="South Korea"/>
    <s v="Shanghai"/>
    <s v="Rotterdam"/>
    <x v="3"/>
    <x v="6"/>
    <s v="High Cube"/>
    <n v="2"/>
    <s v="Furniture"/>
    <n v="34028.11"/>
    <n v="6237.95"/>
    <n v="1883.63"/>
    <n v="696.98"/>
    <n v="340.28"/>
    <n v="119.46"/>
    <n v="1367.44"/>
    <n v="23382.37"/>
    <n v="0"/>
    <x v="3"/>
    <n v="51.98"/>
    <x v="1"/>
    <s v="Paid"/>
    <s v="High"/>
    <s v="L. Chen"/>
    <s v="North America"/>
    <x v="0"/>
  </r>
  <r>
    <x v="985"/>
    <s v="BK50986"/>
    <d v="2025-11-18T00:00:00"/>
    <d v="2025-11-22T00:00:00"/>
    <d v="2025-12-11T00:00:00"/>
    <x v="2"/>
    <s v="Electronics"/>
    <s v="South Korea"/>
    <s v="Shanghai"/>
    <s v="Rotterdam"/>
    <x v="3"/>
    <x v="7"/>
    <s v="High Cube"/>
    <n v="2"/>
    <s v="Machinery"/>
    <n v="84912.46"/>
    <n v="24590.1"/>
    <n v="3755.25"/>
    <n v="2016.84"/>
    <n v="849.12"/>
    <n v="731.42"/>
    <n v="1323.16"/>
    <n v="51646.57"/>
    <n v="8"/>
    <x v="1"/>
    <n v="204.92"/>
    <x v="0"/>
    <s v="Pending"/>
    <s v="High"/>
    <s v="M. Ahmed"/>
    <s v="North America"/>
    <x v="8"/>
  </r>
  <r>
    <x v="986"/>
    <s v="BK50987"/>
    <d v="2025-06-08T00:00:00"/>
    <d v="2025-06-09T00:00:00"/>
    <d v="2025-06-23T00:00:00"/>
    <x v="4"/>
    <s v="Manufacturing"/>
    <s v="Germany"/>
    <s v="Shanghai"/>
    <s v="Rotterdam"/>
    <x v="3"/>
    <x v="5"/>
    <s v="40FT"/>
    <n v="1"/>
    <s v="Textiles"/>
    <n v="12762.59"/>
    <n v="2445.5700000000002"/>
    <n v="638.04"/>
    <n v="208.12"/>
    <n v="127.63"/>
    <n v="119.16"/>
    <n v="1736.81"/>
    <n v="7487.26"/>
    <n v="36"/>
    <x v="2"/>
    <n v="20.38"/>
    <x v="0"/>
    <s v="Paid"/>
    <s v="High"/>
    <s v="J. Smith"/>
    <s v="Middle East"/>
    <x v="0"/>
  </r>
  <r>
    <x v="987"/>
    <s v="BK50988"/>
    <d v="2025-11-03T00:00:00"/>
    <d v="2025-11-04T00:00:00"/>
    <d v="2025-11-16T00:00:00"/>
    <x v="0"/>
    <s v="Retail"/>
    <s v="India"/>
    <s v="Jebel Ali"/>
    <s v="Nhava Sheva"/>
    <x v="2"/>
    <x v="3"/>
    <s v="Reefer"/>
    <n v="1"/>
    <s v="Textiles"/>
    <n v="12294.77"/>
    <n v="2294.77"/>
    <n v="887.97"/>
    <n v="177.3"/>
    <n v="122.95"/>
    <n v="641.78"/>
    <n v="2077.7199999999998"/>
    <n v="6092.28"/>
    <n v="8"/>
    <x v="5"/>
    <n v="19.12"/>
    <x v="0"/>
    <s v="Pending"/>
    <s v="Standard"/>
    <s v="L. Chen"/>
    <s v="Asia"/>
    <x v="8"/>
  </r>
  <r>
    <x v="988"/>
    <s v="BK50989"/>
    <d v="2025-01-20T00:00:00"/>
    <d v="2025-01-22T00:00:00"/>
    <d v="2025-02-15T00:00:00"/>
    <x v="5"/>
    <s v="Food"/>
    <s v="Switzerland"/>
    <s v="Colombo"/>
    <s v="Singapore"/>
    <x v="4"/>
    <x v="7"/>
    <s v="High Cube"/>
    <n v="4"/>
    <s v="Machinery"/>
    <n v="99807.67"/>
    <n v="17606.560000000001"/>
    <n v="5995.3"/>
    <n v="1009.83"/>
    <n v="998.08"/>
    <n v="489.96"/>
    <n v="2346.5700000000002"/>
    <n v="71361.37"/>
    <n v="12"/>
    <x v="1"/>
    <n v="146.72"/>
    <x v="0"/>
    <s v="Pending"/>
    <s v="Standard"/>
    <s v="R. Mehta"/>
    <s v="Europe"/>
    <x v="11"/>
  </r>
  <r>
    <x v="989"/>
    <s v="BK50990"/>
    <d v="2025-08-28T00:00:00"/>
    <d v="2025-08-29T00:00:00"/>
    <d v="2025-09-24T00:00:00"/>
    <x v="9"/>
    <s v="Engineering"/>
    <s v="Germany"/>
    <s v="Singapore"/>
    <s v="Rotterdam"/>
    <x v="3"/>
    <x v="1"/>
    <s v="40FT"/>
    <n v="2"/>
    <s v="Machinery"/>
    <n v="87773.74"/>
    <n v="17923.48"/>
    <n v="3852.33"/>
    <n v="1514.7"/>
    <n v="877.74"/>
    <n v="696.43"/>
    <n v="1290.4000000000001"/>
    <n v="61618.66"/>
    <n v="0"/>
    <x v="3"/>
    <n v="149.36000000000001"/>
    <x v="1"/>
    <s v="Paid"/>
    <s v="High"/>
    <s v="L. Chen"/>
    <s v="Asia"/>
    <x v="4"/>
  </r>
  <r>
    <x v="990"/>
    <s v="BK50991"/>
    <d v="2025-11-25T00:00:00"/>
    <d v="2025-11-28T00:00:00"/>
    <d v="2025-12-22T00:00:00"/>
    <x v="6"/>
    <s v="Pharma"/>
    <s v="USA"/>
    <s v="Shanghai"/>
    <s v="Busan"/>
    <x v="1"/>
    <x v="3"/>
    <s v="20FT"/>
    <n v="1"/>
    <s v="Electronics"/>
    <n v="30175.15"/>
    <n v="5196.0200000000004"/>
    <n v="2314.39"/>
    <n v="681.07"/>
    <n v="301.75"/>
    <n v="402.65"/>
    <n v="2127.35"/>
    <n v="19151.919999999998"/>
    <n v="0"/>
    <x v="3"/>
    <n v="43.3"/>
    <x v="1"/>
    <s v="Paid"/>
    <s v="Critical"/>
    <s v="M. Ahmed"/>
    <s v="Asia"/>
    <x v="8"/>
  </r>
  <r>
    <x v="991"/>
    <s v="BK50992"/>
    <d v="2025-09-26T00:00:00"/>
    <d v="2025-09-29T00:00:00"/>
    <d v="2025-10-24T00:00:00"/>
    <x v="3"/>
    <s v="Electronics"/>
    <s v="South Korea"/>
    <s v="Hamburg"/>
    <s v="Shanghai"/>
    <x v="1"/>
    <x v="4"/>
    <s v="High Cube"/>
    <n v="1"/>
    <s v="Auto Parts"/>
    <n v="40537.300000000003"/>
    <n v="7679.41"/>
    <n v="2557.87"/>
    <n v="916.21"/>
    <n v="405.37"/>
    <n v="315.67"/>
    <n v="1192.54"/>
    <n v="27470.23"/>
    <n v="24"/>
    <x v="4"/>
    <n v="64"/>
    <x v="0"/>
    <s v="Pending"/>
    <s v="High"/>
    <s v="R. Mehta"/>
    <s v="Asia"/>
    <x v="3"/>
  </r>
  <r>
    <x v="992"/>
    <s v="BK50993"/>
    <d v="2025-09-25T00:00:00"/>
    <d v="2025-09-26T00:00:00"/>
    <d v="2025-10-16T00:00:00"/>
    <x v="11"/>
    <s v="Automotive"/>
    <s v="Japan"/>
    <s v="Jebel Ali"/>
    <s v="Nhava Sheva"/>
    <x v="2"/>
    <x v="3"/>
    <s v="20FT"/>
    <n v="2"/>
    <s v="Auto Parts"/>
    <n v="45090.49"/>
    <n v="7470.66"/>
    <n v="2671.38"/>
    <n v="750.94"/>
    <n v="450.9"/>
    <n v="298.82"/>
    <n v="1631.67"/>
    <n v="31816.12"/>
    <n v="24"/>
    <x v="4"/>
    <n v="62.26"/>
    <x v="0"/>
    <s v="Pending"/>
    <s v="Standard"/>
    <s v="A. Tan"/>
    <s v="Europe"/>
    <x v="3"/>
  </r>
  <r>
    <x v="993"/>
    <s v="BK50994"/>
    <d v="2025-04-14T00:00:00"/>
    <d v="2025-04-16T00:00:00"/>
    <d v="2025-05-02T00:00:00"/>
    <x v="2"/>
    <s v="Electronics"/>
    <s v="South Korea"/>
    <s v="New York"/>
    <s v="Jebel Ali"/>
    <x v="1"/>
    <x v="1"/>
    <s v="20FT"/>
    <n v="1"/>
    <s v="Chemicals"/>
    <n v="34895.68"/>
    <n v="6373.62"/>
    <n v="2495.14"/>
    <n v="696.51"/>
    <n v="348.96"/>
    <n v="850.33"/>
    <n v="539.79999999999995"/>
    <n v="23591.32"/>
    <n v="0"/>
    <x v="3"/>
    <n v="53.11"/>
    <x v="1"/>
    <s v="Paid"/>
    <s v="Critical"/>
    <s v="L. Chen"/>
    <s v="Asia"/>
    <x v="10"/>
  </r>
  <r>
    <x v="994"/>
    <s v="BK50995"/>
    <d v="2025-01-23T00:00:00"/>
    <d v="2025-01-24T00:00:00"/>
    <d v="2025-02-11T00:00:00"/>
    <x v="7"/>
    <s v="Retail"/>
    <s v="Germany"/>
    <s v="Rotterdam"/>
    <s v="Los Angeles"/>
    <x v="1"/>
    <x v="4"/>
    <s v="40FT"/>
    <n v="4"/>
    <s v="Textiles"/>
    <n v="92211.38"/>
    <n v="20412.38"/>
    <n v="5067.6099999999997"/>
    <n v="2283.7199999999998"/>
    <n v="922.11"/>
    <n v="294.20999999999998"/>
    <n v="2246.8200000000002"/>
    <n v="60984.53"/>
    <n v="0"/>
    <x v="3"/>
    <n v="170.1"/>
    <x v="1"/>
    <s v="Paid"/>
    <s v="Standard"/>
    <s v="L. Chen"/>
    <s v="Asia"/>
    <x v="11"/>
  </r>
  <r>
    <x v="995"/>
    <s v="BK50996"/>
    <d v="2025-09-03T00:00:00"/>
    <d v="2025-09-06T00:00:00"/>
    <d v="2025-09-27T00:00:00"/>
    <x v="2"/>
    <s v="Electronics"/>
    <s v="South Korea"/>
    <s v="Shanghai"/>
    <s v="Rotterdam"/>
    <x v="3"/>
    <x v="4"/>
    <s v="20FT"/>
    <n v="2"/>
    <s v="Machinery"/>
    <n v="68085.460000000006"/>
    <n v="18555.830000000002"/>
    <n v="4709.24"/>
    <n v="1889.82"/>
    <n v="680.85"/>
    <n v="550.07000000000005"/>
    <n v="1650.75"/>
    <n v="40048.9"/>
    <n v="36"/>
    <x v="5"/>
    <n v="154.63"/>
    <x v="0"/>
    <s v="Pending"/>
    <s v="High"/>
    <s v="A. Tan"/>
    <s v="Middle East"/>
    <x v="3"/>
  </r>
  <r>
    <x v="996"/>
    <s v="BK50997"/>
    <d v="2025-12-09T00:00:00"/>
    <d v="2025-12-10T00:00:00"/>
    <d v="2026-01-05T00:00:00"/>
    <x v="0"/>
    <s v="Retail"/>
    <s v="India"/>
    <s v="Colombo"/>
    <s v="Singapore"/>
    <x v="4"/>
    <x v="3"/>
    <s v="High Cube"/>
    <n v="2"/>
    <s v="Machinery"/>
    <n v="26846.6"/>
    <n v="4299.1099999999997"/>
    <n v="1964.36"/>
    <n v="779.4"/>
    <n v="268.47000000000003"/>
    <n v="726.49"/>
    <n v="1610.11"/>
    <n v="17198.66"/>
    <n v="12"/>
    <x v="5"/>
    <n v="35.83"/>
    <x v="0"/>
    <s v="Paid"/>
    <s v="Standard"/>
    <s v="R. Mehta"/>
    <s v="North America"/>
    <x v="2"/>
  </r>
  <r>
    <x v="997"/>
    <s v="BK50998"/>
    <d v="2025-09-11T00:00:00"/>
    <d v="2025-09-14T00:00:00"/>
    <d v="2025-10-12T00:00:00"/>
    <x v="8"/>
    <s v="Retail"/>
    <s v="Sweden"/>
    <s v="Busan"/>
    <s v="Los Angeles"/>
    <x v="0"/>
    <x v="0"/>
    <s v="20FT"/>
    <n v="4"/>
    <s v="Electronics"/>
    <n v="108758.49"/>
    <n v="19461.97"/>
    <n v="6237.12"/>
    <n v="1957.04"/>
    <n v="1087.58"/>
    <n v="193.58"/>
    <n v="1839.95"/>
    <n v="77981.25"/>
    <n v="12"/>
    <x v="2"/>
    <n v="162.18"/>
    <x v="0"/>
    <s v="Pending"/>
    <s v="High"/>
    <s v="R. Mehta"/>
    <s v="Europe"/>
    <x v="3"/>
  </r>
  <r>
    <x v="998"/>
    <s v="BK50999"/>
    <d v="2025-03-14T00:00:00"/>
    <d v="2025-03-15T00:00:00"/>
    <d v="2025-04-12T00:00:00"/>
    <x v="4"/>
    <s v="Manufacturing"/>
    <s v="Germany"/>
    <s v="Shanghai"/>
    <s v="Rotterdam"/>
    <x v="3"/>
    <x v="1"/>
    <s v="40FT"/>
    <n v="1"/>
    <s v="Auto Parts"/>
    <n v="28409.74"/>
    <n v="6430.08"/>
    <n v="1628.26"/>
    <n v="802.71"/>
    <n v="284.10000000000002"/>
    <n v="125.37"/>
    <n v="1921.35"/>
    <n v="17217.87"/>
    <n v="24"/>
    <x v="5"/>
    <n v="53.58"/>
    <x v="0"/>
    <s v="Paid"/>
    <s v="Critical"/>
    <s v="A. Tan"/>
    <s v="Europe"/>
    <x v="5"/>
  </r>
  <r>
    <x v="999"/>
    <s v="BK51000"/>
    <d v="2025-09-26T00:00:00"/>
    <d v="2025-09-28T00:00:00"/>
    <d v="2025-10-21T00:00:00"/>
    <x v="9"/>
    <s v="Engineering"/>
    <s v="Germany"/>
    <s v="Singapore"/>
    <s v="Rotterdam"/>
    <x v="3"/>
    <x v="4"/>
    <s v="High Cube"/>
    <n v="1"/>
    <s v="Electronics"/>
    <n v="16955.740000000002"/>
    <n v="2793.14"/>
    <n v="994.36"/>
    <n v="419.82"/>
    <n v="169.56"/>
    <n v="664.04"/>
    <n v="774.69"/>
    <n v="11140.13"/>
    <n v="48"/>
    <x v="1"/>
    <n v="23.28"/>
    <x v="0"/>
    <s v="Pending"/>
    <s v="Critical"/>
    <s v="M. Ahmed"/>
    <s v="Europe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SHP00086"/>
    <s v="BK50086"/>
    <d v="2025-08-18T00:00:00"/>
    <d v="2025-08-19T00:00:00"/>
    <d v="2025-09-04T00:00:00"/>
    <s v="Nestlé"/>
    <s v="Food"/>
    <s v="Switzerland"/>
    <s v="Jebel Ali"/>
    <s v="Nhava Sheva"/>
    <x v="0"/>
    <s v="Mumbai Maersk"/>
    <s v="40FT"/>
    <n v="1"/>
    <s v="Chemicals"/>
    <n v="6083.45"/>
    <n v="1433.79"/>
    <n v="474.42"/>
    <n v="80.459999999999994"/>
    <n v="60.83"/>
    <n v="462.42"/>
    <n v="779.57"/>
    <n v="2791.96"/>
    <n v="0"/>
    <s v="None"/>
    <n v="11.95"/>
    <s v="Completed"/>
    <s v="Pending"/>
    <s v="Standard"/>
    <s v="A. Tan"/>
    <s v="North America"/>
    <d v="2025-08-01T00:00:00"/>
  </r>
  <r>
    <s v="SHP00142"/>
    <s v="BK50142"/>
    <d v="2025-07-11T00:00:00"/>
    <d v="2025-07-13T00:00:00"/>
    <d v="2025-07-27T00:00:00"/>
    <s v="Adidas"/>
    <s v="Retail"/>
    <s v="Germany"/>
    <s v="Singapore"/>
    <s v="Rotterdam"/>
    <x v="1"/>
    <s v="Ever Ace"/>
    <s v="High Cube"/>
    <n v="1"/>
    <s v="Textiles"/>
    <n v="6256.61"/>
    <n v="1409.5"/>
    <n v="317.45"/>
    <n v="111.46"/>
    <n v="62.57"/>
    <n v="782.05"/>
    <n v="2119.91"/>
    <n v="1453.67"/>
    <n v="0"/>
    <s v="None"/>
    <n v="11.75"/>
    <s v="Completed"/>
    <s v="Pending"/>
    <s v="High"/>
    <s v="J. Smith"/>
    <s v="Asia"/>
    <d v="2025-07-01T00:00:00"/>
  </r>
  <r>
    <s v="SHP00478"/>
    <s v="BK50478"/>
    <d v="2025-03-19T00:00:00"/>
    <d v="2025-03-20T00:00:00"/>
    <d v="2025-04-16T00:00:00"/>
    <s v="Pfizer"/>
    <s v="Pharma"/>
    <s v="USA"/>
    <s v="Jebel Ali"/>
    <s v="Shanghai"/>
    <x v="2"/>
    <s v="Ever Ace"/>
    <s v="Reefer"/>
    <n v="1"/>
    <s v="Auto Parts"/>
    <n v="6364.11"/>
    <n v="1828.11"/>
    <n v="360.24"/>
    <n v="88.46"/>
    <n v="63.64"/>
    <n v="125.19"/>
    <n v="1343.88"/>
    <n v="2554.59"/>
    <n v="0"/>
    <s v="None"/>
    <n v="15.23"/>
    <s v="Completed"/>
    <s v="Paid"/>
    <s v="Critical"/>
    <s v="A. Tan"/>
    <s v="North America"/>
    <d v="2025-03-01T00:00:00"/>
  </r>
  <r>
    <s v="SHP00231"/>
    <s v="BK50231"/>
    <d v="2025-09-20T00:00:00"/>
    <d v="2025-09-23T00:00:00"/>
    <d v="2025-10-19T00:00:00"/>
    <s v="IKEA"/>
    <s v="Retail"/>
    <s v="Sweden"/>
    <s v="Singapore"/>
    <s v="Nhava Sheva"/>
    <x v="2"/>
    <s v="Monaco Maersk"/>
    <s v="High Cube"/>
    <n v="1"/>
    <s v="Textiles"/>
    <n v="6547.87"/>
    <n v="1453.45"/>
    <n v="500.31"/>
    <n v="90.41"/>
    <n v="65.48"/>
    <n v="196.05"/>
    <n v="628.15"/>
    <n v="3614.02"/>
    <n v="0"/>
    <s v="None"/>
    <n v="12.11"/>
    <s v="Completed"/>
    <s v="Paid"/>
    <s v="High"/>
    <s v="A. Tan"/>
    <s v="Middle East"/>
    <d v="2025-09-01T00:00:00"/>
  </r>
  <r>
    <s v="SHP00651"/>
    <s v="BK50651"/>
    <d v="2025-04-14T00:00:00"/>
    <d v="2025-04-15T00:00:00"/>
    <d v="2025-05-12T00:00:00"/>
    <s v="Amazon"/>
    <s v="E-commerce"/>
    <s v="USA"/>
    <s v="Busan"/>
    <s v="Los Angeles"/>
    <x v="3"/>
    <s v="Ever Ace"/>
    <s v="20FT"/>
    <n v="1"/>
    <s v="Textiles"/>
    <n v="6696.65"/>
    <n v="1556.01"/>
    <n v="499.91"/>
    <n v="200.53"/>
    <n v="66.97"/>
    <n v="421.56"/>
    <n v="364.8"/>
    <n v="3586.87"/>
    <n v="0"/>
    <s v="None"/>
    <n v="12.97"/>
    <s v="Completed"/>
    <s v="Paid"/>
    <s v="Standard"/>
    <s v="M. Ahmed"/>
    <s v="Europe"/>
    <d v="2025-04-01T00:00:00"/>
  </r>
  <r>
    <s v="SHP00024"/>
    <s v="BK50024"/>
    <d v="2025-10-30T00:00:00"/>
    <d v="2025-11-02T00:00:00"/>
    <d v="2025-11-24T00:00:00"/>
    <s v="Bosch"/>
    <s v="Manufacturing"/>
    <s v="Germany"/>
    <s v="Shanghai"/>
    <s v="Rotterdam"/>
    <x v="1"/>
    <s v="OOCL Hong Kong"/>
    <s v="20FT"/>
    <n v="1"/>
    <s v="Electronics"/>
    <n v="6831.78"/>
    <n v="1665.16"/>
    <n v="466"/>
    <n v="131.52000000000001"/>
    <n v="68.319999999999993"/>
    <n v="316.54000000000002"/>
    <n v="2373.2600000000002"/>
    <n v="1810.98"/>
    <n v="0"/>
    <s v="None"/>
    <n v="13.88"/>
    <s v="Completed"/>
    <s v="Pending"/>
    <s v="Critical"/>
    <s v="R. Mehta"/>
    <s v="Middle East"/>
    <d v="2025-10-01T00:00:00"/>
  </r>
  <r>
    <s v="SHP00984"/>
    <s v="BK50984"/>
    <d v="2025-03-11T00:00:00"/>
    <d v="2025-03-14T00:00:00"/>
    <d v="2025-03-25T00:00:00"/>
    <s v="Toyota"/>
    <s v="Automotive"/>
    <s v="Japan"/>
    <s v="Colombo"/>
    <s v="Singapore"/>
    <x v="4"/>
    <s v="OOCL Hong Kong"/>
    <s v="Reefer"/>
    <n v="1"/>
    <s v="Chemicals"/>
    <n v="6999.04"/>
    <n v="1447.59"/>
    <n v="530.4"/>
    <n v="70"/>
    <n v="69.989999999999995"/>
    <n v="249.71"/>
    <n v="1684.85"/>
    <n v="2946.5"/>
    <n v="8"/>
    <s v="Weather"/>
    <n v="12.06"/>
    <s v="Delayed"/>
    <s v="Pending"/>
    <s v="High"/>
    <s v="M. Ahmed"/>
    <s v="North America"/>
    <d v="2025-03-01T00:00:00"/>
  </r>
  <r>
    <s v="SHP00127"/>
    <s v="BK50127"/>
    <d v="2025-01-08T00:00:00"/>
    <d v="2025-01-12T00:00:00"/>
    <d v="2025-01-27T00:00:00"/>
    <s v="Nestlé"/>
    <s v="Food"/>
    <s v="Switzerland"/>
    <s v="Busan"/>
    <s v="Los Angeles"/>
    <x v="3"/>
    <s v="CMA CGM Jacques Saadé"/>
    <s v="40FT"/>
    <n v="1"/>
    <s v="Auto Parts"/>
    <n v="7050.89"/>
    <n v="1884.62"/>
    <n v="442.65"/>
    <n v="84.65"/>
    <n v="70.510000000000005"/>
    <n v="800.77"/>
    <n v="1834.02"/>
    <n v="1933.67"/>
    <n v="8"/>
    <s v="Weather"/>
    <n v="15.71"/>
    <s v="Delayed"/>
    <s v="Pending"/>
    <s v="Standard"/>
    <s v="R. Mehta"/>
    <s v="North America"/>
    <d v="2025-01-01T00:00:00"/>
  </r>
  <r>
    <s v="SHP00444"/>
    <s v="BK50444"/>
    <d v="2025-07-09T00:00:00"/>
    <d v="2025-07-12T00:00:00"/>
    <d v="2025-08-04T00:00:00"/>
    <s v="Siemens"/>
    <s v="Engineering"/>
    <s v="Germany"/>
    <s v="Singapore"/>
    <s v="Rotterdam"/>
    <x v="1"/>
    <s v="Mumbai Maersk"/>
    <s v="High Cube"/>
    <n v="1"/>
    <s v="Textiles"/>
    <n v="7263.55"/>
    <n v="1282.6099999999999"/>
    <n v="422.08"/>
    <n v="203.03"/>
    <n v="72.64"/>
    <n v="522.67999999999995"/>
    <n v="2151.63"/>
    <n v="2608.88"/>
    <n v="24"/>
    <s v="Weather"/>
    <n v="10.69"/>
    <s v="Delayed"/>
    <s v="Paid"/>
    <s v="High"/>
    <s v="L. Chen"/>
    <s v="Middle East"/>
    <d v="2025-07-01T00:00:00"/>
  </r>
  <r>
    <s v="SHP00113"/>
    <s v="BK50113"/>
    <d v="2025-11-24T00:00:00"/>
    <d v="2025-11-27T00:00:00"/>
    <d v="2025-12-20T00:00:00"/>
    <s v="LG"/>
    <s v="Electronics"/>
    <s v="South Korea"/>
    <s v="Colombo"/>
    <s v="Singapore"/>
    <x v="4"/>
    <s v="MSC Gülsün"/>
    <s v="20FT"/>
    <n v="1"/>
    <s v="Textiles"/>
    <n v="7466.22"/>
    <n v="1909.84"/>
    <n v="369.25"/>
    <n v="144.55000000000001"/>
    <n v="74.66"/>
    <n v="383.37"/>
    <n v="796.33"/>
    <n v="3788.22"/>
    <n v="36"/>
    <s v="Labor Strike"/>
    <n v="15.92"/>
    <s v="Delayed"/>
    <s v="Paid"/>
    <s v="Critical"/>
    <s v="J. Smith"/>
    <s v="Middle East"/>
    <d v="2025-11-01T00:00:00"/>
  </r>
  <r>
    <s v="SHP00439"/>
    <s v="BK50439"/>
    <d v="2025-10-02T00:00:00"/>
    <d v="2025-10-06T00:00:00"/>
    <d v="2025-10-30T00:00:00"/>
    <s v="Pfizer"/>
    <s v="Pharma"/>
    <s v="USA"/>
    <s v="Singapore"/>
    <s v="Rotterdam"/>
    <x v="1"/>
    <s v="MSC Gülsün"/>
    <s v="20FT"/>
    <n v="1"/>
    <s v="Furniture"/>
    <n v="7525.27"/>
    <n v="1988.29"/>
    <n v="366.84"/>
    <n v="143.02000000000001"/>
    <n v="75.25"/>
    <n v="806.2"/>
    <n v="752.75"/>
    <n v="3392.92"/>
    <n v="0"/>
    <s v="None"/>
    <n v="16.57"/>
    <s v="Completed"/>
    <s v="Pending"/>
    <s v="High"/>
    <s v="R. Mehta"/>
    <s v="Middle East"/>
    <d v="2025-10-01T00:00:00"/>
  </r>
  <r>
    <s v="SHP00068"/>
    <s v="BK50068"/>
    <d v="2025-01-15T00:00:00"/>
    <d v="2025-01-17T00:00:00"/>
    <d v="2025-02-12T00:00:00"/>
    <s v="Adidas"/>
    <s v="Retail"/>
    <s v="Germany"/>
    <s v="Singapore"/>
    <s v="Rotterdam"/>
    <x v="1"/>
    <s v="Mary Maersk"/>
    <s v="Reefer"/>
    <n v="1"/>
    <s v="Textiles"/>
    <n v="7543.88"/>
    <n v="1814.58"/>
    <n v="598.59"/>
    <n v="220.74"/>
    <n v="75.44"/>
    <n v="562.91999999999996"/>
    <n v="802.94"/>
    <n v="3468.67"/>
    <n v="0"/>
    <s v="None"/>
    <n v="15.12"/>
    <s v="Completed"/>
    <s v="Pending"/>
    <s v="High"/>
    <s v="R. Mehta"/>
    <s v="Europe"/>
    <d v="2025-01-01T00:00:00"/>
  </r>
  <r>
    <s v="SHP00350"/>
    <s v="BK50350"/>
    <d v="2025-07-05T00:00:00"/>
    <d v="2025-07-06T00:00:00"/>
    <d v="2025-07-27T00:00:00"/>
    <s v="Unilever"/>
    <s v="FMCG"/>
    <s v="UK"/>
    <s v="Singapore"/>
    <s v="Rotterdam"/>
    <x v="1"/>
    <s v="Mary Maersk"/>
    <s v="High Cube"/>
    <n v="1"/>
    <s v="Auto Parts"/>
    <n v="7773.65"/>
    <n v="1419.42"/>
    <n v="406.02"/>
    <n v="192.76"/>
    <n v="77.739999999999995"/>
    <n v="563.09"/>
    <n v="1396.19"/>
    <n v="3718.43"/>
    <n v="8"/>
    <s v="Labor Strike"/>
    <n v="11.83"/>
    <s v="Delayed"/>
    <s v="Paid"/>
    <s v="High"/>
    <s v="J. Smith"/>
    <s v="North America"/>
    <d v="2025-07-01T00:00:00"/>
  </r>
  <r>
    <s v="SHP00158"/>
    <s v="BK50158"/>
    <d v="2025-08-11T00:00:00"/>
    <d v="2025-08-13T00:00:00"/>
    <d v="2025-09-03T00:00:00"/>
    <s v="Unilever"/>
    <s v="FMCG"/>
    <s v="UK"/>
    <s v="Busan"/>
    <s v="Los Angeles"/>
    <x v="3"/>
    <s v="Mumbai Maersk"/>
    <s v="Reefer"/>
    <n v="1"/>
    <s v="Auto Parts"/>
    <n v="7773.66"/>
    <n v="1675.3"/>
    <n v="372.73"/>
    <n v="169.81"/>
    <n v="77.739999999999995"/>
    <n v="464.56"/>
    <n v="2155.69"/>
    <n v="2857.83"/>
    <n v="36"/>
    <s v="Labor Strike"/>
    <n v="13.96"/>
    <s v="Delayed"/>
    <s v="Paid"/>
    <s v="Standard"/>
    <s v="L. Chen"/>
    <s v="Asia"/>
    <d v="2025-08-01T00:00:00"/>
  </r>
  <r>
    <s v="SHP00449"/>
    <s v="BK50449"/>
    <d v="2025-11-29T00:00:00"/>
    <d v="2025-12-03T00:00:00"/>
    <d v="2025-12-28T00:00:00"/>
    <s v="Bosch"/>
    <s v="Manufacturing"/>
    <s v="Germany"/>
    <s v="Colombo"/>
    <s v="Singapore"/>
    <x v="4"/>
    <s v="Madrid Maersk"/>
    <s v="Reefer"/>
    <n v="1"/>
    <s v="Auto Parts"/>
    <n v="7809.72"/>
    <n v="2330.21"/>
    <n v="510.4"/>
    <n v="161.43"/>
    <n v="78.099999999999994"/>
    <n v="123.6"/>
    <n v="721.06"/>
    <n v="3884.92"/>
    <n v="12"/>
    <s v="Customs"/>
    <n v="19.420000000000002"/>
    <s v="Delayed"/>
    <s v="Pending"/>
    <s v="Critical"/>
    <s v="J. Smith"/>
    <s v="North America"/>
    <d v="2025-11-01T00:00:00"/>
  </r>
  <r>
    <s v="SHP00157"/>
    <s v="BK50157"/>
    <d v="2025-10-05T00:00:00"/>
    <d v="2025-10-09T00:00:00"/>
    <d v="2025-11-01T00:00:00"/>
    <s v="LG"/>
    <s v="Electronics"/>
    <s v="South Korea"/>
    <s v="Jebel Ali"/>
    <s v="Nhava Sheva"/>
    <x v="0"/>
    <s v="Ever Ace"/>
    <s v="Reefer"/>
    <n v="1"/>
    <s v="Machinery"/>
    <n v="7897.79"/>
    <n v="1628.69"/>
    <n v="556.42999999999995"/>
    <n v="224.65"/>
    <n v="78.98"/>
    <n v="444.72"/>
    <n v="2388.11"/>
    <n v="2576.21"/>
    <n v="8"/>
    <s v="Port Congestion"/>
    <n v="13.57"/>
    <s v="Delayed"/>
    <s v="Paid"/>
    <s v="High"/>
    <s v="L. Chen"/>
    <s v="Asia"/>
    <d v="2025-10-01T00:00:00"/>
  </r>
  <r>
    <s v="SHP00925"/>
    <s v="BK50925"/>
    <d v="2025-04-05T00:00:00"/>
    <d v="2025-04-09T00:00:00"/>
    <d v="2025-04-28T00:00:00"/>
    <s v="Bosch"/>
    <s v="Manufacturing"/>
    <s v="Germany"/>
    <s v="Colombo"/>
    <s v="Singapore"/>
    <x v="4"/>
    <s v="MSC Gülsün"/>
    <s v="Reefer"/>
    <n v="1"/>
    <s v="Food"/>
    <n v="8014.74"/>
    <n v="1346.41"/>
    <n v="573.88"/>
    <n v="109.69"/>
    <n v="80.150000000000006"/>
    <n v="458.07"/>
    <n v="1526.76"/>
    <n v="3919.78"/>
    <n v="8"/>
    <s v="Port Congestion"/>
    <n v="11.22"/>
    <s v="Delayed"/>
    <s v="Pending"/>
    <s v="Standard"/>
    <s v="M. Ahmed"/>
    <s v="Europe"/>
    <d v="2025-04-01T00:00:00"/>
  </r>
  <r>
    <s v="SHP00597"/>
    <s v="BK50597"/>
    <d v="2025-01-20T00:00:00"/>
    <d v="2025-01-21T00:00:00"/>
    <d v="2025-02-09T00:00:00"/>
    <s v="Reliance"/>
    <s v="Retail"/>
    <s v="India"/>
    <s v="Singapore"/>
    <s v="Colombo"/>
    <x v="2"/>
    <s v="OOCL Hong Kong"/>
    <s v="High Cube"/>
    <n v="1"/>
    <s v="Furniture"/>
    <n v="8561.08"/>
    <n v="1632.66"/>
    <n v="607.41"/>
    <n v="169.17"/>
    <n v="85.61"/>
    <n v="652.97"/>
    <n v="2255.9299999999998"/>
    <n v="3157.33"/>
    <n v="8"/>
    <s v="Labor Strike"/>
    <n v="13.61"/>
    <s v="Delayed"/>
    <s v="Pending"/>
    <s v="High"/>
    <s v="R. Mehta"/>
    <s v="Asia"/>
    <d v="2025-01-01T00:00:00"/>
  </r>
  <r>
    <s v="SHP00631"/>
    <s v="BK50631"/>
    <d v="2025-02-28T00:00:00"/>
    <d v="2025-03-02T00:00:00"/>
    <d v="2025-03-14T00:00:00"/>
    <s v="Reliance"/>
    <s v="Retail"/>
    <s v="India"/>
    <s v="Busan"/>
    <s v="Los Angeles"/>
    <x v="3"/>
    <s v="Mary Maersk"/>
    <s v="Reefer"/>
    <n v="1"/>
    <s v="Machinery"/>
    <n v="8648.36"/>
    <n v="2567.02"/>
    <n v="359.72"/>
    <n v="220.11"/>
    <n v="86.48"/>
    <n v="896.43"/>
    <n v="1959.49"/>
    <n v="2559.11"/>
    <n v="0"/>
    <s v="None"/>
    <n v="21.39"/>
    <s v="Completed"/>
    <s v="Pending"/>
    <s v="High"/>
    <s v="R. Mehta"/>
    <s v="Europe"/>
    <d v="2025-02-01T00:00:00"/>
  </r>
  <r>
    <s v="SHP00921"/>
    <s v="BK50921"/>
    <d v="2025-08-11T00:00:00"/>
    <d v="2025-08-12T00:00:00"/>
    <d v="2025-09-04T00:00:00"/>
    <s v="Amazon"/>
    <s v="E-commerce"/>
    <s v="USA"/>
    <s v="Busan"/>
    <s v="New York"/>
    <x v="2"/>
    <s v="MSC Gülsün"/>
    <s v="40FT"/>
    <n v="1"/>
    <s v="Electronics"/>
    <n v="8815.0499999999993"/>
    <n v="1896.1"/>
    <n v="541.51"/>
    <n v="94.08"/>
    <n v="88.15"/>
    <n v="395.23"/>
    <n v="1719.63"/>
    <n v="4080.35"/>
    <n v="0"/>
    <s v="None"/>
    <n v="15.8"/>
    <s v="Completed"/>
    <s v="Pending"/>
    <s v="Critical"/>
    <s v="R. Mehta"/>
    <s v="North America"/>
    <d v="2025-08-01T00:00:00"/>
  </r>
  <r>
    <s v="SHP00526"/>
    <s v="BK50526"/>
    <d v="2025-07-20T00:00:00"/>
    <d v="2025-07-23T00:00:00"/>
    <d v="2025-08-04T00:00:00"/>
    <s v="Bosch"/>
    <s v="Manufacturing"/>
    <s v="Germany"/>
    <s v="Jebel Ali"/>
    <s v="Nhava Sheva"/>
    <x v="0"/>
    <s v="Ever Ace"/>
    <s v="Reefer"/>
    <n v="1"/>
    <s v="Textiles"/>
    <n v="9479.27"/>
    <n v="1621.38"/>
    <n v="669.69"/>
    <n v="144.91999999999999"/>
    <n v="94.79"/>
    <n v="773.14"/>
    <n v="609.86"/>
    <n v="5565.49"/>
    <n v="12"/>
    <s v="Mechanical"/>
    <n v="13.51"/>
    <s v="Delayed"/>
    <s v="Pending"/>
    <s v="Critical"/>
    <s v="M. Ahmed"/>
    <s v="Asia"/>
    <d v="2025-07-01T00:00:00"/>
  </r>
  <r>
    <s v="SHP00398"/>
    <s v="BK50398"/>
    <d v="2025-12-05T00:00:00"/>
    <d v="2025-12-06T00:00:00"/>
    <d v="2025-12-21T00:00:00"/>
    <s v="Siemens"/>
    <s v="Engineering"/>
    <s v="Germany"/>
    <s v="Hamburg"/>
    <s v="Rotterdam"/>
    <x v="2"/>
    <s v="OOCL Hong Kong"/>
    <s v="Reefer"/>
    <n v="1"/>
    <s v="Chemicals"/>
    <n v="9581.57"/>
    <n v="1810.16"/>
    <n v="674.98"/>
    <n v="154.68"/>
    <n v="95.82"/>
    <n v="863.05"/>
    <n v="492.4"/>
    <n v="5490.48"/>
    <n v="48"/>
    <s v="Customs"/>
    <n v="15.08"/>
    <s v="Delayed"/>
    <s v="Pending"/>
    <s v="High"/>
    <s v="J. Smith"/>
    <s v="North America"/>
    <d v="2025-12-01T00:00:00"/>
  </r>
  <r>
    <s v="SHP00151"/>
    <s v="BK50151"/>
    <d v="2025-10-18T00:00:00"/>
    <d v="2025-10-21T00:00:00"/>
    <d v="2025-11-03T00:00:00"/>
    <s v="Bosch"/>
    <s v="Manufacturing"/>
    <s v="Germany"/>
    <s v="Shanghai"/>
    <s v="Rotterdam"/>
    <x v="1"/>
    <s v="Ever Ace"/>
    <s v="40FT"/>
    <n v="1"/>
    <s v="Textiles"/>
    <n v="9830.91"/>
    <n v="2508.3000000000002"/>
    <n v="622.15"/>
    <n v="162.82"/>
    <n v="98.31"/>
    <n v="276.27999999999997"/>
    <n v="410.77"/>
    <n v="5752.28"/>
    <n v="0"/>
    <s v="None"/>
    <n v="20.9"/>
    <s v="Completed"/>
    <s v="Paid"/>
    <s v="Critical"/>
    <s v="J. Smith"/>
    <s v="Asia"/>
    <d v="2025-10-01T00:00:00"/>
  </r>
  <r>
    <s v="SHP00855"/>
    <s v="BK50855"/>
    <d v="2025-10-29T00:00:00"/>
    <d v="2025-10-31T00:00:00"/>
    <d v="2025-11-13T00:00:00"/>
    <s v="IKEA"/>
    <s v="Retail"/>
    <s v="Sweden"/>
    <s v="Shanghai"/>
    <s v="Rotterdam"/>
    <x v="1"/>
    <s v="Ever Ace"/>
    <s v="High Cube"/>
    <n v="1"/>
    <s v="Furniture"/>
    <n v="10765.16"/>
    <n v="2999.34"/>
    <n v="847.15"/>
    <n v="169.62"/>
    <n v="107.65"/>
    <n v="725.39"/>
    <n v="2046.55"/>
    <n v="3869.46"/>
    <n v="0"/>
    <s v="None"/>
    <n v="24.99"/>
    <s v="Completed"/>
    <s v="Pending"/>
    <s v="Critical"/>
    <s v="M. Ahmed"/>
    <s v="Asia"/>
    <d v="2025-10-01T00:00:00"/>
  </r>
  <r>
    <s v="SHP00899"/>
    <s v="BK50899"/>
    <d v="2025-03-03T00:00:00"/>
    <d v="2025-03-06T00:00:00"/>
    <d v="2025-03-22T00:00:00"/>
    <s v="Unilever"/>
    <s v="FMCG"/>
    <s v="UK"/>
    <s v="Singapore"/>
    <s v="Rotterdam"/>
    <x v="1"/>
    <s v="Ever Ace"/>
    <s v="High Cube"/>
    <n v="1"/>
    <s v="Textiles"/>
    <n v="10768.39"/>
    <n v="2881.45"/>
    <n v="824.5"/>
    <n v="238.92"/>
    <n v="107.68"/>
    <n v="240.92"/>
    <n v="1273.03"/>
    <n v="5201.8900000000003"/>
    <n v="0"/>
    <s v="None"/>
    <n v="24.01"/>
    <s v="Completed"/>
    <s v="Pending"/>
    <s v="High"/>
    <s v="L. Chen"/>
    <s v="Europe"/>
    <d v="2025-03-01T00:00:00"/>
  </r>
  <r>
    <s v="SHP00079"/>
    <s v="BK50079"/>
    <d v="2025-05-01T00:00:00"/>
    <d v="2025-05-03T00:00:00"/>
    <d v="2025-05-21T00:00:00"/>
    <s v="Unilever"/>
    <s v="FMCG"/>
    <s v="UK"/>
    <s v="Colombo"/>
    <s v="Rotterdam"/>
    <x v="2"/>
    <s v="MSC Gülsün"/>
    <s v="40FT"/>
    <n v="1"/>
    <s v="Furniture"/>
    <n v="10802.64"/>
    <n v="3001.34"/>
    <n v="639.23"/>
    <n v="242.73"/>
    <n v="108.03"/>
    <n v="160.72"/>
    <n v="718.01"/>
    <n v="5932.58"/>
    <n v="0"/>
    <s v="None"/>
    <n v="25.01"/>
    <s v="Completed"/>
    <s v="Pending"/>
    <s v="High"/>
    <s v="R. Mehta"/>
    <s v="Asia"/>
    <d v="2025-05-01T00:00:00"/>
  </r>
  <r>
    <s v="SHP00188"/>
    <s v="BK50188"/>
    <d v="2025-09-28T00:00:00"/>
    <d v="2025-09-30T00:00:00"/>
    <d v="2025-10-27T00:00:00"/>
    <s v="Nestlé"/>
    <s v="Food"/>
    <s v="Switzerland"/>
    <s v="Singapore"/>
    <s v="Nhava Sheva"/>
    <x v="2"/>
    <s v="Ever Ace"/>
    <s v="20FT"/>
    <n v="1"/>
    <s v="Chemicals"/>
    <n v="10977.46"/>
    <n v="2050.42"/>
    <n v="675.03"/>
    <n v="250.97"/>
    <n v="109.77"/>
    <n v="295.14999999999998"/>
    <n v="2052.71"/>
    <n v="5543.41"/>
    <n v="0"/>
    <s v="None"/>
    <n v="17.09"/>
    <s v="Completed"/>
    <s v="Pending"/>
    <s v="High"/>
    <s v="A. Tan"/>
    <s v="North America"/>
    <d v="2025-09-01T00:00:00"/>
  </r>
  <r>
    <s v="SHP00771"/>
    <s v="BK50771"/>
    <d v="2025-11-22T00:00:00"/>
    <d v="2025-11-23T00:00:00"/>
    <d v="2025-12-19T00:00:00"/>
    <s v="Adidas"/>
    <s v="Retail"/>
    <s v="Germany"/>
    <s v="Rotterdam"/>
    <s v="New York"/>
    <x v="2"/>
    <s v="Madrid Maersk"/>
    <s v="High Cube"/>
    <n v="1"/>
    <s v="Textiles"/>
    <n v="11061.23"/>
    <n v="1773.82"/>
    <n v="637.74"/>
    <n v="255.12"/>
    <n v="110.61"/>
    <n v="764.08"/>
    <n v="1984.25"/>
    <n v="5535.61"/>
    <n v="0"/>
    <s v="None"/>
    <n v="14.78"/>
    <s v="Completed"/>
    <s v="Paid"/>
    <s v="Critical"/>
    <s v="M. Ahmed"/>
    <s v="Middle East"/>
    <d v="2025-11-01T00:00:00"/>
  </r>
  <r>
    <s v="SHP00373"/>
    <s v="BK50373"/>
    <d v="2025-04-19T00:00:00"/>
    <d v="2025-04-23T00:00:00"/>
    <d v="2025-05-09T00:00:00"/>
    <s v="LG"/>
    <s v="Electronics"/>
    <s v="South Korea"/>
    <s v="Hamburg"/>
    <s v="Shanghai"/>
    <x v="2"/>
    <s v="OOCL Hong Kong"/>
    <s v="20FT"/>
    <n v="1"/>
    <s v="Machinery"/>
    <n v="11286.29"/>
    <n v="3211.9"/>
    <n v="613.66"/>
    <n v="181.64"/>
    <n v="112.86"/>
    <n v="573.32000000000005"/>
    <n v="1702.93"/>
    <n v="4889.9799999999996"/>
    <n v="0"/>
    <s v="None"/>
    <n v="26.77"/>
    <s v="Completed"/>
    <s v="Paid"/>
    <s v="Critical"/>
    <s v="R. Mehta"/>
    <s v="North America"/>
    <d v="2025-04-01T00:00:00"/>
  </r>
  <r>
    <s v="SHP00752"/>
    <s v="BK50752"/>
    <d v="2025-07-23T00:00:00"/>
    <d v="2025-07-24T00:00:00"/>
    <d v="2025-08-05T00:00:00"/>
    <s v="Toyota"/>
    <s v="Automotive"/>
    <s v="Japan"/>
    <s v="Shanghai"/>
    <s v="Rotterdam"/>
    <x v="1"/>
    <s v="OOCL Hong Kong"/>
    <s v="High Cube"/>
    <n v="1"/>
    <s v="Textiles"/>
    <n v="11291.6"/>
    <n v="2094.6799999999998"/>
    <n v="457.49"/>
    <n v="206.53"/>
    <n v="112.92"/>
    <n v="182.6"/>
    <n v="2288.61"/>
    <n v="5948.77"/>
    <n v="0"/>
    <s v="None"/>
    <n v="17.46"/>
    <s v="Completed"/>
    <s v="Paid"/>
    <s v="High"/>
    <s v="J. Smith"/>
    <s v="Middle East"/>
    <d v="2025-07-01T00:00:00"/>
  </r>
  <r>
    <s v="SHP00807"/>
    <s v="BK50807"/>
    <d v="2025-01-16T00:00:00"/>
    <d v="2025-01-20T00:00:00"/>
    <d v="2025-01-30T00:00:00"/>
    <s v="Amazon"/>
    <s v="E-commerce"/>
    <s v="USA"/>
    <s v="Jebel Ali"/>
    <s v="Nhava Sheva"/>
    <x v="2"/>
    <s v="Mary Maersk"/>
    <s v="Reefer"/>
    <n v="1"/>
    <s v="Machinery"/>
    <n v="11296.83"/>
    <n v="2923.59"/>
    <n v="616.30999999999995"/>
    <n v="275.63"/>
    <n v="112.97"/>
    <n v="417.78"/>
    <n v="797.95"/>
    <n v="6152.6"/>
    <n v="8"/>
    <s v="Labor Strike"/>
    <n v="24.36"/>
    <s v="Delayed"/>
    <s v="Paid"/>
    <s v="Standard"/>
    <s v="L. Chen"/>
    <s v="Europe"/>
    <d v="2025-01-01T00:00:00"/>
  </r>
  <r>
    <s v="SHP00803"/>
    <s v="BK50803"/>
    <d v="2025-07-12T00:00:00"/>
    <d v="2025-07-16T00:00:00"/>
    <d v="2025-08-04T00:00:00"/>
    <s v="IKEA"/>
    <s v="Retail"/>
    <s v="Sweden"/>
    <s v="Singapore"/>
    <s v="Rotterdam"/>
    <x v="1"/>
    <s v="OOCL Hong Kong"/>
    <s v="40FT"/>
    <n v="1"/>
    <s v="Chemicals"/>
    <n v="11651.36"/>
    <n v="3039.06"/>
    <n v="882.27"/>
    <n v="195.93"/>
    <n v="116.51"/>
    <n v="712.61"/>
    <n v="989.36"/>
    <n v="5715.62"/>
    <n v="12"/>
    <s v="Weather"/>
    <n v="25.33"/>
    <s v="Delayed"/>
    <s v="Pending"/>
    <s v="Critical"/>
    <s v="R. Mehta"/>
    <s v="North America"/>
    <d v="2025-07-01T00:00:00"/>
  </r>
  <r>
    <s v="SHP00202"/>
    <s v="BK50202"/>
    <d v="2025-04-17T00:00:00"/>
    <d v="2025-04-18T00:00:00"/>
    <d v="2025-05-14T00:00:00"/>
    <s v="Amazon"/>
    <s v="E-commerce"/>
    <s v="USA"/>
    <s v="Shanghai"/>
    <s v="Nhava Sheva"/>
    <x v="2"/>
    <s v="Madrid Maersk"/>
    <s v="20FT"/>
    <n v="1"/>
    <s v="Auto Parts"/>
    <n v="11823.08"/>
    <n v="2480.19"/>
    <n v="603.64"/>
    <n v="137.72"/>
    <n v="118.23"/>
    <n v="824.84"/>
    <n v="2097.13"/>
    <n v="5561.33"/>
    <n v="8"/>
    <s v="Weather"/>
    <n v="20.67"/>
    <s v="Delayed"/>
    <s v="Pending"/>
    <s v="Standard"/>
    <s v="J. Smith"/>
    <s v="Europe"/>
    <d v="2025-04-01T00:00:00"/>
  </r>
  <r>
    <s v="SHP00912"/>
    <s v="BK50912"/>
    <d v="2025-02-17T00:00:00"/>
    <d v="2025-02-20T00:00:00"/>
    <d v="2025-03-18T00:00:00"/>
    <s v="Adidas"/>
    <s v="Retail"/>
    <s v="Germany"/>
    <s v="Jebel Ali"/>
    <s v="Nhava Sheva"/>
    <x v="0"/>
    <s v="Mumbai Maersk"/>
    <s v="40FT"/>
    <n v="1"/>
    <s v="Auto Parts"/>
    <n v="11896.25"/>
    <n v="2266.8000000000002"/>
    <n v="944.22"/>
    <n v="301.57"/>
    <n v="118.96"/>
    <n v="501.61"/>
    <n v="1317.22"/>
    <n v="6445.87"/>
    <n v="0"/>
    <s v="None"/>
    <n v="18.89"/>
    <s v="Completed"/>
    <s v="Pending"/>
    <s v="Standard"/>
    <s v="R. Mehta"/>
    <s v="North America"/>
    <d v="2025-02-01T00:00:00"/>
  </r>
  <r>
    <s v="SHP00164"/>
    <s v="BK50164"/>
    <d v="2025-12-22T00:00:00"/>
    <d v="2025-12-24T00:00:00"/>
    <d v="2026-01-06T00:00:00"/>
    <s v="Unilever"/>
    <s v="FMCG"/>
    <s v="UK"/>
    <s v="Singapore"/>
    <s v="Rotterdam"/>
    <x v="1"/>
    <s v="Madrid Maersk"/>
    <s v="High Cube"/>
    <n v="1"/>
    <s v="Auto Parts"/>
    <n v="12004.98"/>
    <n v="2243.48"/>
    <n v="694.31"/>
    <n v="229.26"/>
    <n v="120.05"/>
    <n v="770.71"/>
    <n v="1872.61"/>
    <n v="6074.56"/>
    <n v="4"/>
    <s v="Mechanical"/>
    <n v="18.7"/>
    <s v="Delayed"/>
    <s v="Pending"/>
    <s v="Critical"/>
    <s v="R. Mehta"/>
    <s v="Europe"/>
    <d v="2025-12-01T00:00:00"/>
  </r>
  <r>
    <s v="SHP00649"/>
    <s v="BK50649"/>
    <d v="2025-03-01T00:00:00"/>
    <d v="2025-03-05T00:00:00"/>
    <d v="2025-03-18T00:00:00"/>
    <s v="Nestlé"/>
    <s v="Food"/>
    <s v="Switzerland"/>
    <s v="Shanghai"/>
    <s v="Shanghai"/>
    <x v="2"/>
    <s v="Madrid Maersk"/>
    <s v="20FT"/>
    <n v="1"/>
    <s v="Auto Parts"/>
    <n v="12015.64"/>
    <n v="2447.2199999999998"/>
    <n v="829.46"/>
    <n v="275.87"/>
    <n v="120.16"/>
    <n v="837.53"/>
    <n v="1463.48"/>
    <n v="6041.92"/>
    <n v="0"/>
    <s v="None"/>
    <n v="20.39"/>
    <s v="Completed"/>
    <s v="Paid"/>
    <s v="Standard"/>
    <s v="M. Ahmed"/>
    <s v="Europe"/>
    <d v="2025-03-01T00:00:00"/>
  </r>
  <r>
    <s v="SHP00981"/>
    <s v="BK50981"/>
    <d v="2025-09-25T00:00:00"/>
    <d v="2025-09-26T00:00:00"/>
    <d v="2025-10-21T00:00:00"/>
    <s v="IKEA"/>
    <s v="Retail"/>
    <s v="Sweden"/>
    <s v="Busan"/>
    <s v="Los Angeles"/>
    <x v="3"/>
    <s v="OOCL Hong Kong"/>
    <s v="Reefer"/>
    <n v="1"/>
    <s v="Textiles"/>
    <n v="12023.56"/>
    <n v="3309.94"/>
    <n v="575.92999999999995"/>
    <n v="166.62"/>
    <n v="120.24"/>
    <n v="431.82"/>
    <n v="2499.91"/>
    <n v="4919.1000000000004"/>
    <n v="8"/>
    <s v="Labor Strike"/>
    <n v="27.58"/>
    <s v="Delayed"/>
    <s v="Paid"/>
    <s v="High"/>
    <s v="A. Tan"/>
    <s v="Europe"/>
    <d v="2025-09-01T00:00:00"/>
  </r>
  <r>
    <s v="SHP00928"/>
    <s v="BK50928"/>
    <d v="2025-05-06T00:00:00"/>
    <d v="2025-05-08T00:00:00"/>
    <d v="2025-05-21T00:00:00"/>
    <s v="Samsung"/>
    <s v="Electronics"/>
    <s v="South Korea"/>
    <s v="Jebel Ali"/>
    <s v="Nhava Sheva"/>
    <x v="0"/>
    <s v="OOCL Hong Kong"/>
    <s v="20FT"/>
    <n v="1"/>
    <s v="Electronics"/>
    <n v="12256.31"/>
    <n v="2607.08"/>
    <n v="675.07"/>
    <n v="234.46"/>
    <n v="122.56"/>
    <n v="582.42999999999995"/>
    <n v="729.25"/>
    <n v="7305.46"/>
    <n v="0"/>
    <s v="None"/>
    <n v="21.73"/>
    <s v="Completed"/>
    <s v="Paid"/>
    <s v="Standard"/>
    <s v="M. Ahmed"/>
    <s v="Middle East"/>
    <d v="2025-05-01T00:00:00"/>
  </r>
  <r>
    <s v="SHP00331"/>
    <s v="BK50331"/>
    <d v="2025-04-16T00:00:00"/>
    <d v="2025-04-19T00:00:00"/>
    <d v="2025-05-14T00:00:00"/>
    <s v="Nestlé"/>
    <s v="Food"/>
    <s v="Switzerland"/>
    <s v="Rotterdam"/>
    <s v="Jebel Ali"/>
    <x v="2"/>
    <s v="Ever Ace"/>
    <s v="20FT"/>
    <n v="1"/>
    <s v="Food"/>
    <n v="12260.25"/>
    <n v="2814.76"/>
    <n v="563.82000000000005"/>
    <n v="124.69"/>
    <n v="122.6"/>
    <n v="165.59"/>
    <n v="1498.19"/>
    <n v="6970.6"/>
    <n v="0"/>
    <s v="None"/>
    <n v="23.46"/>
    <s v="Completed"/>
    <s v="Pending"/>
    <s v="Standard"/>
    <s v="L. Chen"/>
    <s v="North America"/>
    <d v="2025-04-01T00:00:00"/>
  </r>
  <r>
    <s v="SHP00988"/>
    <s v="BK50988"/>
    <d v="2025-11-03T00:00:00"/>
    <d v="2025-11-04T00:00:00"/>
    <d v="2025-11-16T00:00:00"/>
    <s v="Reliance"/>
    <s v="Retail"/>
    <s v="India"/>
    <s v="Jebel Ali"/>
    <s v="Nhava Sheva"/>
    <x v="0"/>
    <s v="Mary Maersk"/>
    <s v="Reefer"/>
    <n v="1"/>
    <s v="Textiles"/>
    <n v="12294.77"/>
    <n v="2294.77"/>
    <n v="887.97"/>
    <n v="177.3"/>
    <n v="122.95"/>
    <n v="641.78"/>
    <n v="2077.7199999999998"/>
    <n v="6092.28"/>
    <n v="8"/>
    <s v="Port Congestion"/>
    <n v="19.12"/>
    <s v="Delayed"/>
    <s v="Pending"/>
    <s v="Standard"/>
    <s v="L. Chen"/>
    <s v="Asia"/>
    <d v="2025-11-01T00:00:00"/>
  </r>
  <r>
    <s v="SHP00569"/>
    <s v="BK50569"/>
    <d v="2025-03-01T00:00:00"/>
    <d v="2025-03-02T00:00:00"/>
    <d v="2025-03-16T00:00:00"/>
    <s v="Adidas"/>
    <s v="Retail"/>
    <s v="Germany"/>
    <s v="Colombo"/>
    <s v="Singapore"/>
    <x v="4"/>
    <s v="Mary Maersk"/>
    <s v="40FT"/>
    <n v="2"/>
    <s v="Food"/>
    <n v="12347.49"/>
    <n v="2317.04"/>
    <n v="896.33"/>
    <n v="267.44"/>
    <n v="123.47"/>
    <n v="757.53"/>
    <n v="1164.08"/>
    <n v="6821.6"/>
    <n v="24"/>
    <s v="Weather"/>
    <n v="19.309999999999999"/>
    <s v="Delayed"/>
    <s v="Pending"/>
    <s v="High"/>
    <s v="M. Ahmed"/>
    <s v="Middle East"/>
    <d v="2025-03-01T00:00:00"/>
  </r>
  <r>
    <s v="SHP00349"/>
    <s v="BK50349"/>
    <d v="2025-01-19T00:00:00"/>
    <d v="2025-01-21T00:00:00"/>
    <d v="2025-02-04T00:00:00"/>
    <s v="Nestlé"/>
    <s v="Food"/>
    <s v="Switzerland"/>
    <s v="Shanghai"/>
    <s v="Rotterdam"/>
    <x v="1"/>
    <s v="Mary Maersk"/>
    <s v="40FT"/>
    <n v="1"/>
    <s v="Furniture"/>
    <n v="12352.24"/>
    <n v="3321.7"/>
    <n v="525.48"/>
    <n v="136.06"/>
    <n v="123.52"/>
    <n v="551.53"/>
    <n v="2121.4499999999998"/>
    <n v="5572.5"/>
    <n v="4"/>
    <s v="Customs"/>
    <n v="27.68"/>
    <s v="Delayed"/>
    <s v="Pending"/>
    <s v="High"/>
    <s v="J. Smith"/>
    <s v="Europe"/>
    <d v="2025-01-01T00:00:00"/>
  </r>
  <r>
    <s v="SHP00216"/>
    <s v="BK50216"/>
    <d v="2025-05-07T00:00:00"/>
    <d v="2025-05-08T00:00:00"/>
    <d v="2025-05-24T00:00:00"/>
    <s v="Amazon"/>
    <s v="E-commerce"/>
    <s v="USA"/>
    <s v="Rotterdam"/>
    <s v="Busan"/>
    <x v="2"/>
    <s v="CMA CGM Jacques Saadé"/>
    <s v="40FT"/>
    <n v="1"/>
    <s v="Machinery"/>
    <n v="12537.65"/>
    <n v="3491.34"/>
    <n v="811.01"/>
    <n v="183.59"/>
    <n v="125.38"/>
    <n v="112.29"/>
    <n v="2031.33"/>
    <n v="5782.71"/>
    <n v="24"/>
    <s v="Port Congestion"/>
    <n v="29.09"/>
    <s v="Delayed"/>
    <s v="Pending"/>
    <s v="High"/>
    <s v="A. Tan"/>
    <s v="North America"/>
    <d v="2025-05-01T00:00:00"/>
  </r>
  <r>
    <s v="SHP00592"/>
    <s v="BK50592"/>
    <d v="2025-10-25T00:00:00"/>
    <d v="2025-10-28T00:00:00"/>
    <d v="2025-11-17T00:00:00"/>
    <s v="Samsung"/>
    <s v="Electronics"/>
    <s v="South Korea"/>
    <s v="Shanghai"/>
    <s v="Rotterdam"/>
    <x v="1"/>
    <s v="Mary Maersk"/>
    <s v="Reefer"/>
    <n v="2"/>
    <s v="Chemicals"/>
    <n v="12685.82"/>
    <n v="2471.71"/>
    <n v="725.86"/>
    <n v="187.58"/>
    <n v="126.86"/>
    <n v="168.6"/>
    <n v="1098.27"/>
    <n v="7906.94"/>
    <n v="0"/>
    <s v="None"/>
    <n v="20.6"/>
    <s v="Completed"/>
    <s v="Paid"/>
    <s v="Critical"/>
    <s v="L. Chen"/>
    <s v="Asia"/>
    <d v="2025-10-01T00:00:00"/>
  </r>
  <r>
    <s v="SHP00292"/>
    <s v="BK50292"/>
    <d v="2025-10-07T00:00:00"/>
    <d v="2025-10-08T00:00:00"/>
    <d v="2025-11-03T00:00:00"/>
    <s v="Siemens"/>
    <s v="Engineering"/>
    <s v="Germany"/>
    <s v="Busan"/>
    <s v="Los Angeles"/>
    <x v="3"/>
    <s v="Madrid Maersk"/>
    <s v="High Cube"/>
    <n v="2"/>
    <s v="Auto Parts"/>
    <n v="12720.49"/>
    <n v="3288.82"/>
    <n v="974.77"/>
    <n v="334.21"/>
    <n v="127.2"/>
    <n v="650.73"/>
    <n v="2119.06"/>
    <n v="5225.7"/>
    <n v="12"/>
    <s v="Mechanical"/>
    <n v="27.41"/>
    <s v="Delayed"/>
    <s v="Pending"/>
    <s v="Standard"/>
    <s v="M. Ahmed"/>
    <s v="Asia"/>
    <d v="2025-10-01T00:00:00"/>
  </r>
  <r>
    <s v="SHP00987"/>
    <s v="BK50987"/>
    <d v="2025-06-08T00:00:00"/>
    <d v="2025-06-09T00:00:00"/>
    <d v="2025-06-23T00:00:00"/>
    <s v="Bosch"/>
    <s v="Manufacturing"/>
    <s v="Germany"/>
    <s v="Shanghai"/>
    <s v="Rotterdam"/>
    <x v="1"/>
    <s v="MSC Gülsün"/>
    <s v="40FT"/>
    <n v="1"/>
    <s v="Textiles"/>
    <n v="12762.59"/>
    <n v="2445.5700000000002"/>
    <n v="638.04"/>
    <n v="208.12"/>
    <n v="127.63"/>
    <n v="119.16"/>
    <n v="1736.81"/>
    <n v="7487.26"/>
    <n v="36"/>
    <s v="Customs"/>
    <n v="20.38"/>
    <s v="Delayed"/>
    <s v="Paid"/>
    <s v="High"/>
    <s v="J. Smith"/>
    <s v="Middle East"/>
    <d v="2025-06-01T00:00:00"/>
  </r>
  <r>
    <s v="SHP00057"/>
    <s v="BK50057"/>
    <d v="2025-10-20T00:00:00"/>
    <d v="2025-10-22T00:00:00"/>
    <d v="2025-11-03T00:00:00"/>
    <s v="Bosch"/>
    <s v="Manufacturing"/>
    <s v="Germany"/>
    <s v="Hamburg"/>
    <s v="Busan"/>
    <x v="2"/>
    <s v="Mary Maersk"/>
    <s v="High Cube"/>
    <n v="2"/>
    <s v="Food"/>
    <n v="12794.03"/>
    <n v="2379"/>
    <n v="845.71"/>
    <n v="376.03"/>
    <n v="127.94"/>
    <n v="829.32"/>
    <n v="2387.39"/>
    <n v="5848.64"/>
    <n v="8"/>
    <s v="Customs"/>
    <n v="19.82"/>
    <s v="Delayed"/>
    <s v="Pending"/>
    <s v="Standard"/>
    <s v="R. Mehta"/>
    <s v="Asia"/>
    <d v="2025-10-01T00:00:00"/>
  </r>
  <r>
    <s v="SHP00690"/>
    <s v="BK50690"/>
    <d v="2025-04-05T00:00:00"/>
    <d v="2025-04-08T00:00:00"/>
    <d v="2025-05-05T00:00:00"/>
    <s v="Siemens"/>
    <s v="Engineering"/>
    <s v="Germany"/>
    <s v="Shanghai"/>
    <s v="Rotterdam"/>
    <x v="1"/>
    <s v="Mumbai Maersk"/>
    <s v="High Cube"/>
    <n v="2"/>
    <s v="Textiles"/>
    <n v="12813"/>
    <n v="2411.06"/>
    <n v="950.19"/>
    <n v="220.53"/>
    <n v="128.13"/>
    <n v="281.91000000000003"/>
    <n v="1476.45"/>
    <n v="7344.73"/>
    <n v="0"/>
    <s v="None"/>
    <n v="20.09"/>
    <s v="Completed"/>
    <s v="Paid"/>
    <s v="Standard"/>
    <s v="L. Chen"/>
    <s v="Asia"/>
    <d v="2025-04-01T00:00:00"/>
  </r>
  <r>
    <s v="SHP00915"/>
    <s v="BK50915"/>
    <d v="2025-11-24T00:00:00"/>
    <d v="2025-11-27T00:00:00"/>
    <d v="2025-12-08T00:00:00"/>
    <s v="IKEA"/>
    <s v="Retail"/>
    <s v="Sweden"/>
    <s v="Shanghai"/>
    <s v="Shanghai"/>
    <x v="2"/>
    <s v="Mumbai Maersk"/>
    <s v="20FT"/>
    <n v="1"/>
    <s v="Furniture"/>
    <n v="12841.27"/>
    <n v="2399.35"/>
    <n v="895.49"/>
    <n v="360.78"/>
    <n v="128.41"/>
    <n v="410.26"/>
    <n v="2214.91"/>
    <n v="6432.07"/>
    <n v="24"/>
    <s v="Labor Strike"/>
    <n v="19.989999999999998"/>
    <s v="Delayed"/>
    <s v="Pending"/>
    <s v="Critical"/>
    <s v="M. Ahmed"/>
    <s v="Middle East"/>
    <d v="2025-11-01T00:00:00"/>
  </r>
  <r>
    <s v="SHP00520"/>
    <s v="BK50520"/>
    <d v="2025-07-18T00:00:00"/>
    <d v="2025-07-22T00:00:00"/>
    <d v="2025-08-05T00:00:00"/>
    <s v="Toyota"/>
    <s v="Automotive"/>
    <s v="Japan"/>
    <s v="Rotterdam"/>
    <s v="Shanghai"/>
    <x v="2"/>
    <s v="OOCL Hong Kong"/>
    <s v="Reefer"/>
    <n v="1"/>
    <s v="Auto Parts"/>
    <n v="12864.98"/>
    <n v="3690.24"/>
    <n v="784.14"/>
    <n v="308.04000000000002"/>
    <n v="128.65"/>
    <n v="873.13"/>
    <n v="1654.8"/>
    <n v="5425.98"/>
    <n v="12"/>
    <s v="Weather"/>
    <n v="30.75"/>
    <s v="Delayed"/>
    <s v="Pending"/>
    <s v="High"/>
    <s v="M. Ahmed"/>
    <s v="North America"/>
    <d v="2025-07-01T00:00:00"/>
  </r>
  <r>
    <s v="SHP00579"/>
    <s v="BK50579"/>
    <d v="2025-05-14T00:00:00"/>
    <d v="2025-05-15T00:00:00"/>
    <d v="2025-06-05T00:00:00"/>
    <s v="Amazon"/>
    <s v="E-commerce"/>
    <s v="USA"/>
    <s v="Hamburg"/>
    <s v="Singapore"/>
    <x v="2"/>
    <s v="Monaco Maersk"/>
    <s v="40FT"/>
    <n v="1"/>
    <s v="Auto Parts"/>
    <n v="12916.82"/>
    <n v="2502.7600000000002"/>
    <n v="910.62"/>
    <n v="331.93"/>
    <n v="129.16999999999999"/>
    <n v="726.51"/>
    <n v="1584.97"/>
    <n v="6730.86"/>
    <n v="0"/>
    <s v="None"/>
    <n v="20.86"/>
    <s v="Completed"/>
    <s v="Paid"/>
    <s v="Critical"/>
    <s v="A. Tan"/>
    <s v="North America"/>
    <d v="2025-05-01T00:00:00"/>
  </r>
  <r>
    <s v="SHP00982"/>
    <s v="BK50982"/>
    <d v="2025-09-03T00:00:00"/>
    <d v="2025-09-05T00:00:00"/>
    <d v="2025-09-20T00:00:00"/>
    <s v="Adidas"/>
    <s v="Retail"/>
    <s v="Germany"/>
    <s v="Nhava Sheva"/>
    <s v="Hamburg"/>
    <x v="2"/>
    <s v="Madrid Maersk"/>
    <s v="Reefer"/>
    <n v="2"/>
    <s v="Machinery"/>
    <n v="12934.53"/>
    <n v="3631.72"/>
    <n v="891.86"/>
    <n v="374.47"/>
    <n v="129.35"/>
    <n v="583.91999999999996"/>
    <n v="1881.43"/>
    <n v="5441.78"/>
    <n v="48"/>
    <s v="Port Congestion"/>
    <n v="30.26"/>
    <s v="Delayed"/>
    <s v="Paid"/>
    <s v="Standard"/>
    <s v="A. Tan"/>
    <s v="Asia"/>
    <d v="2025-09-01T00:00:00"/>
  </r>
  <r>
    <s v="SHP00522"/>
    <s v="BK50522"/>
    <d v="2025-06-04T00:00:00"/>
    <d v="2025-06-07T00:00:00"/>
    <d v="2025-06-19T00:00:00"/>
    <s v="Siemens"/>
    <s v="Engineering"/>
    <s v="Germany"/>
    <s v="Colombo"/>
    <s v="Singapore"/>
    <x v="4"/>
    <s v="Mary Maersk"/>
    <s v="Reefer"/>
    <n v="1"/>
    <s v="Auto Parts"/>
    <n v="13014.53"/>
    <n v="2355.88"/>
    <n v="857.06"/>
    <n v="388.34"/>
    <n v="130.15"/>
    <n v="403.17"/>
    <n v="1404.73"/>
    <n v="7475.2"/>
    <n v="12"/>
    <s v="Port Congestion"/>
    <n v="19.63"/>
    <s v="Delayed"/>
    <s v="Paid"/>
    <s v="Standard"/>
    <s v="M. Ahmed"/>
    <s v="Europe"/>
    <d v="2025-06-01T00:00:00"/>
  </r>
  <r>
    <s v="SHP00812"/>
    <s v="BK50812"/>
    <d v="2025-10-07T00:00:00"/>
    <d v="2025-10-10T00:00:00"/>
    <d v="2025-10-23T00:00:00"/>
    <s v="Toyota"/>
    <s v="Automotive"/>
    <s v="Japan"/>
    <s v="Colombo"/>
    <s v="Shanghai"/>
    <x v="2"/>
    <s v="Mumbai Maersk"/>
    <s v="20FT"/>
    <n v="2"/>
    <s v="Food"/>
    <n v="13029.46"/>
    <n v="2752.88"/>
    <n v="542.21"/>
    <n v="341.25"/>
    <n v="130.29"/>
    <n v="746.65"/>
    <n v="667.73"/>
    <n v="7848.45"/>
    <n v="48"/>
    <s v="Weather"/>
    <n v="22.94"/>
    <s v="Delayed"/>
    <s v="Pending"/>
    <s v="Standard"/>
    <s v="M. Ahmed"/>
    <s v="North America"/>
    <d v="2025-10-01T00:00:00"/>
  </r>
  <r>
    <s v="SHP00118"/>
    <s v="BK50118"/>
    <d v="2025-09-13T00:00:00"/>
    <d v="2025-09-17T00:00:00"/>
    <d v="2025-10-01T00:00:00"/>
    <s v="Samsung"/>
    <s v="Electronics"/>
    <s v="South Korea"/>
    <s v="Colombo"/>
    <s v="Rotterdam"/>
    <x v="2"/>
    <s v="Mary Maersk"/>
    <s v="High Cube"/>
    <n v="1"/>
    <s v="Textiles"/>
    <n v="13076.28"/>
    <n v="2389.67"/>
    <n v="566.41"/>
    <n v="193.18"/>
    <n v="130.76"/>
    <n v="203.39"/>
    <n v="1167.44"/>
    <n v="8425.43"/>
    <n v="24"/>
    <s v="Customs"/>
    <n v="19.91"/>
    <s v="Delayed"/>
    <s v="Paid"/>
    <s v="Standard"/>
    <s v="R. Mehta"/>
    <s v="Middle East"/>
    <d v="2025-09-01T00:00:00"/>
  </r>
  <r>
    <s v="SHP00318"/>
    <s v="BK50318"/>
    <d v="2025-10-15T00:00:00"/>
    <d v="2025-10-19T00:00:00"/>
    <d v="2025-11-04T00:00:00"/>
    <s v="IKEA"/>
    <s v="Retail"/>
    <s v="Sweden"/>
    <s v="Singapore"/>
    <s v="Rotterdam"/>
    <x v="1"/>
    <s v="Madrid Maersk"/>
    <s v="40FT"/>
    <n v="2"/>
    <s v="Furniture"/>
    <n v="13088.93"/>
    <n v="3612.8"/>
    <n v="733.78"/>
    <n v="181.58"/>
    <n v="130.88999999999999"/>
    <n v="782.73"/>
    <n v="2101.9699999999998"/>
    <n v="5545.18"/>
    <n v="48"/>
    <s v="Weather"/>
    <n v="30.11"/>
    <s v="Delayed"/>
    <s v="Paid"/>
    <s v="Critical"/>
    <s v="J. Smith"/>
    <s v="Europe"/>
    <d v="2025-10-01T00:00:00"/>
  </r>
  <r>
    <s v="SHP00582"/>
    <s v="BK50582"/>
    <d v="2025-12-27T00:00:00"/>
    <d v="2025-12-30T00:00:00"/>
    <d v="2026-01-10T00:00:00"/>
    <s v="Pfizer"/>
    <s v="Pharma"/>
    <s v="USA"/>
    <s v="Busan"/>
    <s v="Jebel Ali"/>
    <x v="2"/>
    <s v="CMA CGM Jacques Saadé"/>
    <s v="40FT"/>
    <n v="2"/>
    <s v="Furniture"/>
    <n v="13115.8"/>
    <n v="2680.41"/>
    <n v="896.13"/>
    <n v="222.27"/>
    <n v="131.16"/>
    <n v="790.26"/>
    <n v="658.65"/>
    <n v="7736.92"/>
    <n v="0"/>
    <s v="None"/>
    <n v="22.34"/>
    <s v="Completed"/>
    <s v="Pending"/>
    <s v="Standard"/>
    <s v="R. Mehta"/>
    <s v="North America"/>
    <d v="2025-12-01T00:00:00"/>
  </r>
  <r>
    <s v="SHP00094"/>
    <s v="BK50094"/>
    <d v="2025-03-16T00:00:00"/>
    <d v="2025-03-19T00:00:00"/>
    <d v="2025-04-06T00:00:00"/>
    <s v="Toyota"/>
    <s v="Automotive"/>
    <s v="Japan"/>
    <s v="Colombo"/>
    <s v="Singapore"/>
    <x v="4"/>
    <s v="Mary Maersk"/>
    <s v="Reefer"/>
    <n v="2"/>
    <s v="Machinery"/>
    <n v="13167.36"/>
    <n v="3339.51"/>
    <n v="1035.7"/>
    <n v="377.58"/>
    <n v="131.66999999999999"/>
    <n v="766.98"/>
    <n v="778.43"/>
    <n v="6737.49"/>
    <n v="12"/>
    <s v="Port Congestion"/>
    <n v="27.83"/>
    <s v="Delayed"/>
    <s v="Paid"/>
    <s v="Critical"/>
    <s v="A. Tan"/>
    <s v="Middle East"/>
    <d v="2025-03-01T00:00:00"/>
  </r>
  <r>
    <s v="SHP00782"/>
    <s v="BK50782"/>
    <d v="2025-03-05T00:00:00"/>
    <d v="2025-03-06T00:00:00"/>
    <d v="2025-03-28T00:00:00"/>
    <s v="Pfizer"/>
    <s v="Pharma"/>
    <s v="USA"/>
    <s v="Busan"/>
    <s v="Los Angeles"/>
    <x v="3"/>
    <s v="Mumbai Maersk"/>
    <s v="20FT"/>
    <n v="1"/>
    <s v="Furniture"/>
    <n v="13181.05"/>
    <n v="3712.59"/>
    <n v="708.16"/>
    <n v="339.9"/>
    <n v="131.81"/>
    <n v="847.44"/>
    <n v="1429.36"/>
    <n v="6011.79"/>
    <n v="48"/>
    <s v="Customs"/>
    <n v="30.94"/>
    <s v="Delayed"/>
    <s v="Pending"/>
    <s v="Critical"/>
    <s v="J. Smith"/>
    <s v="Middle East"/>
    <d v="2025-03-01T00:00:00"/>
  </r>
  <r>
    <s v="SHP00260"/>
    <s v="BK50260"/>
    <d v="2025-05-07T00:00:00"/>
    <d v="2025-05-11T00:00:00"/>
    <d v="2025-05-30T00:00:00"/>
    <s v="Samsung"/>
    <s v="Electronics"/>
    <s v="South Korea"/>
    <s v="Shanghai"/>
    <s v="Rotterdam"/>
    <x v="1"/>
    <s v="Mary Maersk"/>
    <s v="40FT"/>
    <n v="2"/>
    <s v="Food"/>
    <n v="13241.86"/>
    <n v="3302.3"/>
    <n v="848.21"/>
    <n v="223.84"/>
    <n v="132.41999999999999"/>
    <n v="119.9"/>
    <n v="2278.66"/>
    <n v="6336.53"/>
    <n v="0"/>
    <s v="None"/>
    <n v="27.52"/>
    <s v="Completed"/>
    <s v="Paid"/>
    <s v="High"/>
    <s v="J. Smith"/>
    <s v="Middle East"/>
    <d v="2025-05-01T00:00:00"/>
  </r>
  <r>
    <s v="SHP00275"/>
    <s v="BK50275"/>
    <d v="2025-03-29T00:00:00"/>
    <d v="2025-04-01T00:00:00"/>
    <d v="2025-04-29T00:00:00"/>
    <s v="Pfizer"/>
    <s v="Pharma"/>
    <s v="USA"/>
    <s v="Singapore"/>
    <s v="Rotterdam"/>
    <x v="1"/>
    <s v="Mary Maersk"/>
    <s v="High Cube"/>
    <n v="1"/>
    <s v="Electronics"/>
    <n v="13319.06"/>
    <n v="2662.25"/>
    <n v="1008.2"/>
    <n v="158.72999999999999"/>
    <n v="133.19"/>
    <n v="594.29999999999995"/>
    <n v="1625.21"/>
    <n v="7137.18"/>
    <n v="36"/>
    <s v="Customs"/>
    <n v="22.19"/>
    <s v="Delayed"/>
    <s v="Paid"/>
    <s v="Standard"/>
    <s v="J. Smith"/>
    <s v="North America"/>
    <d v="2025-03-01T00:00:00"/>
  </r>
  <r>
    <s v="SHP00035"/>
    <s v="BK50035"/>
    <d v="2025-04-10T00:00:00"/>
    <d v="2025-04-11T00:00:00"/>
    <d v="2025-05-05T00:00:00"/>
    <s v="Bosch"/>
    <s v="Manufacturing"/>
    <s v="Germany"/>
    <s v="Singapore"/>
    <s v="Los Angeles"/>
    <x v="2"/>
    <s v="MSC Gülsün"/>
    <s v="20FT"/>
    <n v="1"/>
    <s v="Textiles"/>
    <n v="13328.12"/>
    <n v="2843.78"/>
    <n v="597.96"/>
    <n v="312.3"/>
    <n v="133.28"/>
    <n v="587.47"/>
    <n v="789.91"/>
    <n v="8063.42"/>
    <n v="0"/>
    <s v="None"/>
    <n v="23.7"/>
    <s v="Completed"/>
    <s v="Pending"/>
    <s v="Standard"/>
    <s v="L. Chen"/>
    <s v="North America"/>
    <d v="2025-04-01T00:00:00"/>
  </r>
  <r>
    <s v="SHP00482"/>
    <s v="BK50482"/>
    <d v="2025-07-20T00:00:00"/>
    <d v="2025-07-22T00:00:00"/>
    <d v="2025-08-01T00:00:00"/>
    <s v="Adidas"/>
    <s v="Retail"/>
    <s v="Germany"/>
    <s v="Singapore"/>
    <s v="New York"/>
    <x v="2"/>
    <s v="OOCL Hong Kong"/>
    <s v="High Cube"/>
    <n v="1"/>
    <s v="Chemicals"/>
    <n v="13382.07"/>
    <n v="3895.94"/>
    <n v="1022.81"/>
    <n v="376.82"/>
    <n v="133.82"/>
    <n v="794.43"/>
    <n v="1827.42"/>
    <n v="5330.83"/>
    <n v="0"/>
    <s v="None"/>
    <n v="32.47"/>
    <s v="Completed"/>
    <s v="Pending"/>
    <s v="Critical"/>
    <s v="M. Ahmed"/>
    <s v="Asia"/>
    <d v="2025-07-01T00:00:00"/>
  </r>
  <r>
    <s v="SHP00080"/>
    <s v="BK50080"/>
    <d v="2025-11-19T00:00:00"/>
    <d v="2025-11-21T00:00:00"/>
    <d v="2025-12-14T00:00:00"/>
    <s v="Pfizer"/>
    <s v="Pharma"/>
    <s v="USA"/>
    <s v="Busan"/>
    <s v="Los Angeles"/>
    <x v="3"/>
    <s v="Madrid Maersk"/>
    <s v="20FT"/>
    <n v="1"/>
    <s v="Furniture"/>
    <n v="13391.78"/>
    <n v="2541.91"/>
    <n v="914.12"/>
    <n v="375.71"/>
    <n v="133.91999999999999"/>
    <n v="388.69"/>
    <n v="2150.02"/>
    <n v="6887.41"/>
    <n v="4"/>
    <s v="Port Congestion"/>
    <n v="21.18"/>
    <s v="Delayed"/>
    <s v="Pending"/>
    <s v="Critical"/>
    <s v="M. Ahmed"/>
    <s v="Europe"/>
    <d v="2025-11-01T00:00:00"/>
  </r>
  <r>
    <s v="SHP00392"/>
    <s v="BK50392"/>
    <d v="2025-09-24T00:00:00"/>
    <d v="2025-09-25T00:00:00"/>
    <d v="2025-10-15T00:00:00"/>
    <s v="Reliance"/>
    <s v="Retail"/>
    <s v="India"/>
    <s v="Busan"/>
    <s v="Los Angeles"/>
    <x v="3"/>
    <s v="Ever Ace"/>
    <s v="40FT"/>
    <n v="2"/>
    <s v="Chemicals"/>
    <n v="13392.16"/>
    <n v="3556.35"/>
    <n v="922.91"/>
    <n v="146.5"/>
    <n v="133.91999999999999"/>
    <n v="773.11"/>
    <n v="2329.54"/>
    <n v="5529.83"/>
    <n v="8"/>
    <s v="Labor Strike"/>
    <n v="29.64"/>
    <s v="Delayed"/>
    <s v="Pending"/>
    <s v="Standard"/>
    <s v="R. Mehta"/>
    <s v="Europe"/>
    <d v="2025-09-01T00:00:00"/>
  </r>
  <r>
    <s v="SHP00555"/>
    <s v="BK50555"/>
    <d v="2025-03-29T00:00:00"/>
    <d v="2025-03-31T00:00:00"/>
    <d v="2025-04-24T00:00:00"/>
    <s v="Pfizer"/>
    <s v="Pharma"/>
    <s v="USA"/>
    <s v="Singapore"/>
    <s v="Rotterdam"/>
    <x v="1"/>
    <s v="Madrid Maersk"/>
    <s v="40FT"/>
    <n v="2"/>
    <s v="Electronics"/>
    <n v="13532.37"/>
    <n v="3052.81"/>
    <n v="823.01"/>
    <n v="195.34"/>
    <n v="135.32"/>
    <n v="481.2"/>
    <n v="2010.86"/>
    <n v="6833.83"/>
    <n v="0"/>
    <s v="None"/>
    <n v="25.44"/>
    <s v="Completed"/>
    <s v="Paid"/>
    <s v="Critical"/>
    <s v="A. Tan"/>
    <s v="Middle East"/>
    <d v="2025-03-01T00:00:00"/>
  </r>
  <r>
    <s v="SHP00900"/>
    <s v="BK50900"/>
    <d v="2025-12-24T00:00:00"/>
    <d v="2025-12-25T00:00:00"/>
    <d v="2026-01-12T00:00:00"/>
    <s v="LG"/>
    <s v="Electronics"/>
    <s v="South Korea"/>
    <s v="Busan"/>
    <s v="Los Angeles"/>
    <x v="3"/>
    <s v="OOCL Hong Kong"/>
    <s v="High Cube"/>
    <n v="2"/>
    <s v="Chemicals"/>
    <n v="13587.42"/>
    <n v="3973.9"/>
    <n v="687.74"/>
    <n v="262.20999999999998"/>
    <n v="135.87"/>
    <n v="801.89"/>
    <n v="468.12"/>
    <n v="7257.69"/>
    <n v="0"/>
    <s v="None"/>
    <n v="33.119999999999997"/>
    <s v="Completed"/>
    <s v="Paid"/>
    <s v="Critical"/>
    <s v="M. Ahmed"/>
    <s v="Europe"/>
    <d v="2025-12-01T00:00:00"/>
  </r>
  <r>
    <s v="SHP00845"/>
    <s v="BK50845"/>
    <d v="2025-11-19T00:00:00"/>
    <d v="2025-11-20T00:00:00"/>
    <d v="2025-12-15T00:00:00"/>
    <s v="IKEA"/>
    <s v="Retail"/>
    <s v="Sweden"/>
    <s v="Singapore"/>
    <s v="Rotterdam"/>
    <x v="1"/>
    <s v="Mary Maersk"/>
    <s v="20FT"/>
    <n v="2"/>
    <s v="Textiles"/>
    <n v="13608.36"/>
    <n v="2660.58"/>
    <n v="828.41"/>
    <n v="272.67"/>
    <n v="136.08000000000001"/>
    <n v="639.30999999999995"/>
    <n v="1060.3800000000001"/>
    <n v="8010.93"/>
    <n v="36"/>
    <s v="Port Congestion"/>
    <n v="22.17"/>
    <s v="Delayed"/>
    <s v="Paid"/>
    <s v="Critical"/>
    <s v="M. Ahmed"/>
    <s v="Middle East"/>
    <d v="2025-11-01T00:00:00"/>
  </r>
  <r>
    <s v="SHP00122"/>
    <s v="BK50122"/>
    <d v="2025-11-27T00:00:00"/>
    <d v="2025-12-01T00:00:00"/>
    <d v="2025-12-25T00:00:00"/>
    <s v="LG"/>
    <s v="Electronics"/>
    <s v="South Korea"/>
    <s v="Jebel Ali"/>
    <s v="Hamburg"/>
    <x v="2"/>
    <s v="Mumbai Maersk"/>
    <s v="Reefer"/>
    <n v="2"/>
    <s v="Electronics"/>
    <n v="13836.82"/>
    <n v="2856.25"/>
    <n v="988.3"/>
    <n v="354.91"/>
    <n v="138.37"/>
    <n v="687.34"/>
    <n v="1767.11"/>
    <n v="7044.54"/>
    <n v="8"/>
    <s v="Port Congestion"/>
    <n v="23.8"/>
    <s v="Delayed"/>
    <s v="Paid"/>
    <s v="High"/>
    <s v="M. Ahmed"/>
    <s v="Asia"/>
    <d v="2025-11-01T00:00:00"/>
  </r>
  <r>
    <s v="SHP00043"/>
    <s v="BK50043"/>
    <d v="2025-04-23T00:00:00"/>
    <d v="2025-04-27T00:00:00"/>
    <d v="2025-05-23T00:00:00"/>
    <s v="Unilever"/>
    <s v="FMCG"/>
    <s v="UK"/>
    <s v="Singapore"/>
    <s v="New York"/>
    <x v="2"/>
    <s v="OOCL Hong Kong"/>
    <s v="Reefer"/>
    <n v="2"/>
    <s v="Chemicals"/>
    <n v="13871.36"/>
    <n v="2720.23"/>
    <n v="966.73"/>
    <n v="204.53"/>
    <n v="138.71"/>
    <n v="853.27"/>
    <n v="1354.49"/>
    <n v="7633.4"/>
    <n v="24"/>
    <s v="Weather"/>
    <n v="22.67"/>
    <s v="Delayed"/>
    <s v="Paid"/>
    <s v="High"/>
    <s v="A. Tan"/>
    <s v="Middle East"/>
    <d v="2025-04-01T00:00:00"/>
  </r>
  <r>
    <s v="SHP00405"/>
    <s v="BK50405"/>
    <d v="2025-11-24T00:00:00"/>
    <d v="2025-11-28T00:00:00"/>
    <d v="2025-12-18T00:00:00"/>
    <s v="Toyota"/>
    <s v="Automotive"/>
    <s v="Japan"/>
    <s v="Rotterdam"/>
    <s v="Singapore"/>
    <x v="2"/>
    <s v="MSC Gülsün"/>
    <s v="40FT"/>
    <n v="1"/>
    <s v="Auto Parts"/>
    <n v="13886.26"/>
    <n v="3571.77"/>
    <n v="725.07"/>
    <n v="322.04000000000002"/>
    <n v="138.86000000000001"/>
    <n v="602.29"/>
    <n v="2031.07"/>
    <n v="6495.16"/>
    <n v="0"/>
    <s v="None"/>
    <n v="29.76"/>
    <s v="Completed"/>
    <s v="Pending"/>
    <s v="Standard"/>
    <s v="R. Mehta"/>
    <s v="Europe"/>
    <d v="2025-11-01T00:00:00"/>
  </r>
  <r>
    <s v="SHP00021"/>
    <s v="BK50021"/>
    <d v="2025-11-06T00:00:00"/>
    <d v="2025-11-07T00:00:00"/>
    <d v="2025-11-27T00:00:00"/>
    <s v="Adidas"/>
    <s v="Retail"/>
    <s v="Germany"/>
    <s v="Busan"/>
    <s v="Los Angeles"/>
    <x v="3"/>
    <s v="MSC Gülsün"/>
    <s v="20FT"/>
    <n v="2"/>
    <s v="Auto Parts"/>
    <n v="13896.53"/>
    <n v="2348.77"/>
    <n v="621.23"/>
    <n v="237.04"/>
    <n v="138.97"/>
    <n v="139.88"/>
    <n v="770.1"/>
    <n v="9640.5400000000009"/>
    <n v="12"/>
    <s v="Customs"/>
    <n v="19.57"/>
    <s v="Delayed"/>
    <s v="Paid"/>
    <s v="High"/>
    <s v="L. Chen"/>
    <s v="Middle East"/>
    <d v="2025-11-01T00:00:00"/>
  </r>
  <r>
    <s v="SHP00319"/>
    <s v="BK50319"/>
    <d v="2025-03-22T00:00:00"/>
    <d v="2025-03-23T00:00:00"/>
    <d v="2025-04-06T00:00:00"/>
    <s v="Unilever"/>
    <s v="FMCG"/>
    <s v="UK"/>
    <s v="Singapore"/>
    <s v="Rotterdam"/>
    <x v="1"/>
    <s v="OOCL Hong Kong"/>
    <s v="High Cube"/>
    <n v="1"/>
    <s v="Auto Parts"/>
    <n v="13958.92"/>
    <n v="2519.16"/>
    <n v="866.17"/>
    <n v="267.8"/>
    <n v="139.59"/>
    <n v="428.55"/>
    <n v="411.54"/>
    <n v="9326.11"/>
    <n v="0"/>
    <s v="None"/>
    <n v="20.99"/>
    <s v="Completed"/>
    <s v="Pending"/>
    <s v="Standard"/>
    <s v="M. Ahmed"/>
    <s v="Europe"/>
    <d v="2025-03-01T00:00:00"/>
  </r>
  <r>
    <s v="SHP00645"/>
    <s v="BK50645"/>
    <d v="2025-06-17T00:00:00"/>
    <d v="2025-06-20T00:00:00"/>
    <d v="2025-07-11T00:00:00"/>
    <s v="Toyota"/>
    <s v="Automotive"/>
    <s v="Japan"/>
    <s v="Los Angeles"/>
    <s v="Hamburg"/>
    <x v="2"/>
    <s v="Ever Ace"/>
    <s v="20FT"/>
    <n v="2"/>
    <s v="Electronics"/>
    <n v="14007.37"/>
    <n v="2758"/>
    <n v="600.71"/>
    <n v="304.91000000000003"/>
    <n v="140.07"/>
    <n v="143.08000000000001"/>
    <n v="1743.22"/>
    <n v="8317.3799999999992"/>
    <n v="4"/>
    <s v="Labor Strike"/>
    <n v="22.98"/>
    <s v="Delayed"/>
    <s v="Pending"/>
    <s v="Standard"/>
    <s v="L. Chen"/>
    <s v="North America"/>
    <d v="2025-06-01T00:00:00"/>
  </r>
  <r>
    <s v="SHP00200"/>
    <s v="BK50200"/>
    <d v="2025-08-03T00:00:00"/>
    <d v="2025-08-04T00:00:00"/>
    <d v="2025-08-19T00:00:00"/>
    <s v="LG"/>
    <s v="Electronics"/>
    <s v="South Korea"/>
    <s v="Hamburg"/>
    <s v="Singapore"/>
    <x v="2"/>
    <s v="MSC Gülsün"/>
    <s v="40FT"/>
    <n v="2"/>
    <s v="Textiles"/>
    <n v="14035.03"/>
    <n v="3598.17"/>
    <n v="1092.5"/>
    <n v="366.82"/>
    <n v="140.35"/>
    <n v="456.43"/>
    <n v="593.77"/>
    <n v="7786.99"/>
    <n v="0"/>
    <s v="None"/>
    <n v="29.98"/>
    <s v="Completed"/>
    <s v="Pending"/>
    <s v="Critical"/>
    <s v="R. Mehta"/>
    <s v="North America"/>
    <d v="2025-08-01T00:00:00"/>
  </r>
  <r>
    <s v="SHP00757"/>
    <s v="BK50757"/>
    <d v="2025-03-29T00:00:00"/>
    <d v="2025-03-31T00:00:00"/>
    <d v="2025-04-14T00:00:00"/>
    <s v="Amazon"/>
    <s v="E-commerce"/>
    <s v="USA"/>
    <s v="Colombo"/>
    <s v="Singapore"/>
    <x v="4"/>
    <s v="MSC Gülsün"/>
    <s v="High Cube"/>
    <n v="2"/>
    <s v="Auto Parts"/>
    <n v="14093"/>
    <n v="2431.1799999999998"/>
    <n v="865.39"/>
    <n v="378.75"/>
    <n v="140.93"/>
    <n v="523.36"/>
    <n v="2372.41"/>
    <n v="7380.98"/>
    <n v="0"/>
    <s v="None"/>
    <n v="20.260000000000002"/>
    <s v="Completed"/>
    <s v="Pending"/>
    <s v="Critical"/>
    <s v="R. Mehta"/>
    <s v="Middle East"/>
    <d v="2025-03-01T00:00:00"/>
  </r>
  <r>
    <s v="SHP00163"/>
    <s v="BK50163"/>
    <d v="2025-10-03T00:00:00"/>
    <d v="2025-10-05T00:00:00"/>
    <d v="2025-10-27T00:00:00"/>
    <s v="Siemens"/>
    <s v="Engineering"/>
    <s v="Germany"/>
    <s v="New York"/>
    <s v="Rotterdam"/>
    <x v="2"/>
    <s v="MSC Gülsün"/>
    <s v="20FT"/>
    <n v="2"/>
    <s v="Food"/>
    <n v="14162.46"/>
    <n v="4006.47"/>
    <n v="566.91"/>
    <n v="158.88999999999999"/>
    <n v="141.62"/>
    <n v="305.91000000000003"/>
    <n v="2270.73"/>
    <n v="6711.93"/>
    <n v="0"/>
    <s v="None"/>
    <n v="33.39"/>
    <s v="Completed"/>
    <s v="Pending"/>
    <s v="Critical"/>
    <s v="A. Tan"/>
    <s v="North America"/>
    <d v="2025-10-01T00:00:00"/>
  </r>
  <r>
    <s v="SHP00538"/>
    <s v="BK50538"/>
    <d v="2025-02-27T00:00:00"/>
    <d v="2025-02-28T00:00:00"/>
    <d v="2025-03-23T00:00:00"/>
    <s v="LG"/>
    <s v="Electronics"/>
    <s v="South Korea"/>
    <s v="New York"/>
    <s v="Los Angeles"/>
    <x v="2"/>
    <s v="Mary Maersk"/>
    <s v="40FT"/>
    <n v="2"/>
    <s v="Furniture"/>
    <n v="14240.03"/>
    <n v="2579.5"/>
    <n v="859.3"/>
    <n v="222.1"/>
    <n v="142.4"/>
    <n v="262"/>
    <n v="2016.32"/>
    <n v="8158.41"/>
    <n v="12"/>
    <s v="Labor Strike"/>
    <n v="21.5"/>
    <s v="Delayed"/>
    <s v="Pending"/>
    <s v="Standard"/>
    <s v="R. Mehta"/>
    <s v="North America"/>
    <d v="2025-02-01T00:00:00"/>
  </r>
  <r>
    <s v="SHP00111"/>
    <s v="BK50111"/>
    <d v="2025-02-26T00:00:00"/>
    <d v="2025-02-27T00:00:00"/>
    <d v="2025-03-21T00:00:00"/>
    <s v="Toyota"/>
    <s v="Automotive"/>
    <s v="Japan"/>
    <s v="Colombo"/>
    <s v="Singapore"/>
    <x v="4"/>
    <s v="MSC Gülsün"/>
    <s v="High Cube"/>
    <n v="2"/>
    <s v="Chemicals"/>
    <n v="14617.15"/>
    <n v="3326.26"/>
    <n v="1040.2"/>
    <n v="160.78"/>
    <n v="146.16999999999999"/>
    <n v="872.36"/>
    <n v="2439.9299999999998"/>
    <n v="6631.45"/>
    <n v="0"/>
    <s v="None"/>
    <n v="27.72"/>
    <s v="Completed"/>
    <s v="Paid"/>
    <s v="Standard"/>
    <s v="R. Mehta"/>
    <s v="Europe"/>
    <d v="2025-02-01T00:00:00"/>
  </r>
  <r>
    <s v="SHP00174"/>
    <s v="BK50174"/>
    <d v="2025-09-17T00:00:00"/>
    <d v="2025-09-18T00:00:00"/>
    <d v="2025-10-13T00:00:00"/>
    <s v="IKEA"/>
    <s v="Retail"/>
    <s v="Sweden"/>
    <s v="Jebel Ali"/>
    <s v="Nhava Sheva"/>
    <x v="0"/>
    <s v="Madrid Maersk"/>
    <s v="40FT"/>
    <n v="2"/>
    <s v="Auto Parts"/>
    <n v="14632.44"/>
    <n v="3672.71"/>
    <n v="1071.19"/>
    <n v="330.45"/>
    <n v="146.32"/>
    <n v="442.06"/>
    <n v="1807.84"/>
    <n v="7161.87"/>
    <n v="24"/>
    <s v="Labor Strike"/>
    <n v="30.61"/>
    <s v="Delayed"/>
    <s v="Paid"/>
    <s v="Critical"/>
    <s v="L. Chen"/>
    <s v="Europe"/>
    <d v="2025-09-01T00:00:00"/>
  </r>
  <r>
    <s v="SHP00953"/>
    <s v="BK50953"/>
    <d v="2025-09-03T00:00:00"/>
    <d v="2025-09-06T00:00:00"/>
    <d v="2025-09-16T00:00:00"/>
    <s v="Amazon"/>
    <s v="E-commerce"/>
    <s v="USA"/>
    <s v="Colombo"/>
    <s v="Singapore"/>
    <x v="4"/>
    <s v="MSC Gülsün"/>
    <s v="40FT"/>
    <n v="2"/>
    <s v="Machinery"/>
    <n v="14739.93"/>
    <n v="4062.99"/>
    <n v="917.26"/>
    <n v="215.85"/>
    <n v="147.4"/>
    <n v="358.36"/>
    <n v="894.5"/>
    <n v="8143.57"/>
    <n v="0"/>
    <s v="None"/>
    <n v="33.86"/>
    <s v="Completed"/>
    <s v="Paid"/>
    <s v="Standard"/>
    <s v="A. Tan"/>
    <s v="North America"/>
    <d v="2025-09-01T00:00:00"/>
  </r>
  <r>
    <s v="SHP00861"/>
    <s v="BK50861"/>
    <d v="2025-10-23T00:00:00"/>
    <d v="2025-10-25T00:00:00"/>
    <d v="2025-11-17T00:00:00"/>
    <s v="Toyota"/>
    <s v="Automotive"/>
    <s v="Japan"/>
    <s v="Singapore"/>
    <s v="Rotterdam"/>
    <x v="1"/>
    <s v="Monaco Maersk"/>
    <s v="Reefer"/>
    <n v="1"/>
    <s v="Electronics"/>
    <n v="14762.71"/>
    <n v="3399.73"/>
    <n v="867.71"/>
    <n v="340.47"/>
    <n v="147.63"/>
    <n v="588.58000000000004"/>
    <n v="1015.98"/>
    <n v="8402.61"/>
    <n v="36"/>
    <s v="Port Congestion"/>
    <n v="28.33"/>
    <s v="Delayed"/>
    <s v="Paid"/>
    <s v="High"/>
    <s v="M. Ahmed"/>
    <s v="Middle East"/>
    <d v="2025-10-01T00:00:00"/>
  </r>
  <r>
    <s v="SHP00844"/>
    <s v="BK50844"/>
    <d v="2025-06-14T00:00:00"/>
    <d v="2025-06-15T00:00:00"/>
    <d v="2025-07-03T00:00:00"/>
    <s v="Amazon"/>
    <s v="E-commerce"/>
    <s v="USA"/>
    <s v="Colombo"/>
    <s v="Singapore"/>
    <x v="4"/>
    <s v="Mumbai Maersk"/>
    <s v="Reefer"/>
    <n v="1"/>
    <s v="Electronics"/>
    <n v="15009.73"/>
    <n v="2586.89"/>
    <n v="715.23"/>
    <n v="294.16000000000003"/>
    <n v="150.1"/>
    <n v="875"/>
    <n v="2256.2399999999998"/>
    <n v="8132.11"/>
    <n v="36"/>
    <s v="Labor Strike"/>
    <n v="21.56"/>
    <s v="Delayed"/>
    <s v="Pending"/>
    <s v="Critical"/>
    <s v="L. Chen"/>
    <s v="North America"/>
    <d v="2025-06-01T00:00:00"/>
  </r>
  <r>
    <s v="SHP00191"/>
    <s v="BK50191"/>
    <d v="2025-03-24T00:00:00"/>
    <d v="2025-03-26T00:00:00"/>
    <d v="2025-04-17T00:00:00"/>
    <s v="LG"/>
    <s v="Electronics"/>
    <s v="South Korea"/>
    <s v="Jebel Ali"/>
    <s v="Nhava Sheva"/>
    <x v="0"/>
    <s v="MSC Gülsün"/>
    <s v="20FT"/>
    <n v="1"/>
    <s v="Electronics"/>
    <n v="15023.82"/>
    <n v="4079.37"/>
    <n v="741.07"/>
    <n v="262.86"/>
    <n v="150.24"/>
    <n v="286.22000000000003"/>
    <n v="1097.21"/>
    <n v="8406.85"/>
    <n v="0"/>
    <s v="None"/>
    <n v="33.99"/>
    <s v="Completed"/>
    <s v="Paid"/>
    <s v="Standard"/>
    <s v="A. Tan"/>
    <s v="Middle East"/>
    <d v="2025-03-01T00:00:00"/>
  </r>
  <r>
    <s v="SHP00715"/>
    <s v="BK50715"/>
    <d v="2025-10-19T00:00:00"/>
    <d v="2025-10-20T00:00:00"/>
    <d v="2025-11-05T00:00:00"/>
    <s v="Bosch"/>
    <s v="Manufacturing"/>
    <s v="Germany"/>
    <s v="Hamburg"/>
    <s v="Busan"/>
    <x v="2"/>
    <s v="Ever Ace"/>
    <s v="Reefer"/>
    <n v="2"/>
    <s v="Furniture"/>
    <n v="15285"/>
    <n v="4219.3"/>
    <n v="890.18"/>
    <n v="221.52"/>
    <n v="152.85"/>
    <n v="276.79000000000002"/>
    <n v="768.98"/>
    <n v="8755.3799999999992"/>
    <n v="0"/>
    <s v="None"/>
    <n v="35.159999999999997"/>
    <s v="Completed"/>
    <s v="Paid"/>
    <s v="Critical"/>
    <s v="L. Chen"/>
    <s v="Middle East"/>
    <d v="2025-10-01T00:00:00"/>
  </r>
  <r>
    <s v="SHP00665"/>
    <s v="BK50665"/>
    <d v="2025-02-21T00:00:00"/>
    <d v="2025-02-23T00:00:00"/>
    <d v="2025-03-18T00:00:00"/>
    <s v="LG"/>
    <s v="Electronics"/>
    <s v="South Korea"/>
    <s v="Singapore"/>
    <s v="Rotterdam"/>
    <x v="1"/>
    <s v="Mumbai Maersk"/>
    <s v="High Cube"/>
    <n v="1"/>
    <s v="Textiles"/>
    <n v="15313.31"/>
    <n v="3600.58"/>
    <n v="825.07"/>
    <n v="208.13"/>
    <n v="153.13"/>
    <n v="387.55"/>
    <n v="617.59"/>
    <n v="9521.26"/>
    <n v="4"/>
    <s v="Customs"/>
    <n v="30"/>
    <s v="Delayed"/>
    <s v="Pending"/>
    <s v="Critical"/>
    <s v="M. Ahmed"/>
    <s v="Asia"/>
    <d v="2025-02-01T00:00:00"/>
  </r>
  <r>
    <s v="SHP00703"/>
    <s v="BK50703"/>
    <d v="2025-11-27T00:00:00"/>
    <d v="2025-11-29T00:00:00"/>
    <d v="2025-12-18T00:00:00"/>
    <s v="Reliance"/>
    <s v="Retail"/>
    <s v="India"/>
    <s v="Jebel Ali"/>
    <s v="Nhava Sheva"/>
    <x v="0"/>
    <s v="CMA CGM Jacques Saadé"/>
    <s v="High Cube"/>
    <n v="2"/>
    <s v="Machinery"/>
    <n v="15370.16"/>
    <n v="2936.67"/>
    <n v="706.17"/>
    <n v="222.69"/>
    <n v="153.69999999999999"/>
    <n v="739.29"/>
    <n v="1098.77"/>
    <n v="9512.8700000000008"/>
    <n v="48"/>
    <s v="Labor Strike"/>
    <n v="24.47"/>
    <s v="Delayed"/>
    <s v="Paid"/>
    <s v="Critical"/>
    <s v="J. Smith"/>
    <s v="Asia"/>
    <d v="2025-11-01T00:00:00"/>
  </r>
  <r>
    <s v="SHP00309"/>
    <s v="BK50309"/>
    <d v="2025-02-04T00:00:00"/>
    <d v="2025-02-08T00:00:00"/>
    <d v="2025-03-07T00:00:00"/>
    <s v="LG"/>
    <s v="Electronics"/>
    <s v="South Korea"/>
    <s v="Colombo"/>
    <s v="Los Angeles"/>
    <x v="2"/>
    <s v="Madrid Maersk"/>
    <s v="High Cube"/>
    <n v="2"/>
    <s v="Furniture"/>
    <n v="15466.69"/>
    <n v="4072.65"/>
    <n v="963.59"/>
    <n v="178.33"/>
    <n v="154.66999999999999"/>
    <n v="811.62"/>
    <n v="926.81"/>
    <n v="8359.02"/>
    <n v="12"/>
    <s v="Weather"/>
    <n v="33.94"/>
    <s v="Delayed"/>
    <s v="Paid"/>
    <s v="Standard"/>
    <s v="A. Tan"/>
    <s v="Europe"/>
    <d v="2025-02-01T00:00:00"/>
  </r>
  <r>
    <s v="SHP00368"/>
    <s v="BK50368"/>
    <d v="2025-09-04T00:00:00"/>
    <d v="2025-09-08T00:00:00"/>
    <d v="2025-10-06T00:00:00"/>
    <s v="Pfizer"/>
    <s v="Pharma"/>
    <s v="USA"/>
    <s v="Busan"/>
    <s v="Los Angeles"/>
    <x v="3"/>
    <s v="Ever Ace"/>
    <s v="20FT"/>
    <n v="2"/>
    <s v="Auto Parts"/>
    <n v="15594.43"/>
    <n v="2858.69"/>
    <n v="1163.52"/>
    <n v="440.33"/>
    <n v="155.94"/>
    <n v="217.44"/>
    <n v="1673.21"/>
    <n v="9085.2999999999993"/>
    <n v="0"/>
    <s v="None"/>
    <n v="23.82"/>
    <s v="Completed"/>
    <s v="Paid"/>
    <s v="Critical"/>
    <s v="A. Tan"/>
    <s v="Europe"/>
    <d v="2025-09-01T00:00:00"/>
  </r>
  <r>
    <s v="SHP00534"/>
    <s v="BK50534"/>
    <d v="2025-02-17T00:00:00"/>
    <d v="2025-02-21T00:00:00"/>
    <d v="2025-03-19T00:00:00"/>
    <s v="Adidas"/>
    <s v="Retail"/>
    <s v="Germany"/>
    <s v="Los Angeles"/>
    <s v="New York"/>
    <x v="2"/>
    <s v="CMA CGM Jacques Saadé"/>
    <s v="High Cube"/>
    <n v="2"/>
    <s v="Machinery"/>
    <n v="15735.15"/>
    <n v="3106.13"/>
    <n v="1157.24"/>
    <n v="214.34"/>
    <n v="157.35"/>
    <n v="613.65"/>
    <n v="1669.47"/>
    <n v="8816.9699999999993"/>
    <n v="0"/>
    <s v="None"/>
    <n v="25.88"/>
    <s v="Completed"/>
    <s v="Pending"/>
    <s v="Critical"/>
    <s v="A. Tan"/>
    <s v="Middle East"/>
    <d v="2025-02-01T00:00:00"/>
  </r>
  <r>
    <s v="SHP00250"/>
    <s v="BK50250"/>
    <d v="2025-10-20T00:00:00"/>
    <d v="2025-10-24T00:00:00"/>
    <d v="2025-11-03T00:00:00"/>
    <s v="Siemens"/>
    <s v="Engineering"/>
    <s v="Germany"/>
    <s v="New York"/>
    <s v="Los Angeles"/>
    <x v="2"/>
    <s v="MSC Gülsün"/>
    <s v="40FT"/>
    <n v="2"/>
    <s v="Auto Parts"/>
    <n v="15748.19"/>
    <n v="3928.56"/>
    <n v="1258.06"/>
    <n v="187.4"/>
    <n v="157.47999999999999"/>
    <n v="428.02"/>
    <n v="2320.0700000000002"/>
    <n v="7468.6"/>
    <n v="0"/>
    <s v="None"/>
    <n v="32.74"/>
    <s v="Completed"/>
    <s v="Pending"/>
    <s v="High"/>
    <s v="J. Smith"/>
    <s v="Asia"/>
    <d v="2025-10-01T00:00:00"/>
  </r>
  <r>
    <s v="SHP00294"/>
    <s v="BK50294"/>
    <d v="2025-02-21T00:00:00"/>
    <d v="2025-02-25T00:00:00"/>
    <d v="2025-03-18T00:00:00"/>
    <s v="Nestlé"/>
    <s v="Food"/>
    <s v="Switzerland"/>
    <s v="Colombo"/>
    <s v="Singapore"/>
    <x v="4"/>
    <s v="Monaco Maersk"/>
    <s v="40FT"/>
    <n v="2"/>
    <s v="Auto Parts"/>
    <n v="15765.77"/>
    <n v="3474.81"/>
    <n v="921.76"/>
    <n v="196.04"/>
    <n v="157.66"/>
    <n v="599"/>
    <n v="2295.48"/>
    <n v="8121.02"/>
    <n v="0"/>
    <s v="None"/>
    <n v="28.96"/>
    <s v="Completed"/>
    <s v="Pending"/>
    <s v="Standard"/>
    <s v="L. Chen"/>
    <s v="Middle East"/>
    <d v="2025-02-01T00:00:00"/>
  </r>
  <r>
    <s v="SHP00804"/>
    <s v="BK50804"/>
    <d v="2025-06-15T00:00:00"/>
    <d v="2025-06-19T00:00:00"/>
    <d v="2025-07-06T00:00:00"/>
    <s v="Unilever"/>
    <s v="FMCG"/>
    <s v="UK"/>
    <s v="Colombo"/>
    <s v="Singapore"/>
    <x v="4"/>
    <s v="Mary Maersk"/>
    <s v="Reefer"/>
    <n v="2"/>
    <s v="Food"/>
    <n v="15779.64"/>
    <n v="4284.22"/>
    <n v="1167.07"/>
    <n v="316.38"/>
    <n v="157.80000000000001"/>
    <n v="787.16"/>
    <n v="2220.2600000000002"/>
    <n v="6846.75"/>
    <n v="4"/>
    <s v="Weather"/>
    <n v="35.700000000000003"/>
    <s v="Delayed"/>
    <s v="Pending"/>
    <s v="High"/>
    <s v="R. Mehta"/>
    <s v="Asia"/>
    <d v="2025-06-01T00:00:00"/>
  </r>
  <r>
    <s v="SHP00374"/>
    <s v="BK50374"/>
    <d v="2025-02-04T00:00:00"/>
    <d v="2025-02-08T00:00:00"/>
    <d v="2025-02-20T00:00:00"/>
    <s v="Bosch"/>
    <s v="Manufacturing"/>
    <s v="Germany"/>
    <s v="Rotterdam"/>
    <s v="Hamburg"/>
    <x v="2"/>
    <s v="CMA CGM Jacques Saadé"/>
    <s v="High Cube"/>
    <n v="1"/>
    <s v="Electronics"/>
    <n v="15796.15"/>
    <n v="2857.73"/>
    <n v="977.41"/>
    <n v="393.03"/>
    <n v="157.96"/>
    <n v="840.83"/>
    <n v="613.96"/>
    <n v="9955.23"/>
    <n v="48"/>
    <s v="Labor Strike"/>
    <n v="23.81"/>
    <s v="Delayed"/>
    <s v="Pending"/>
    <s v="Standard"/>
    <s v="L. Chen"/>
    <s v="Europe"/>
    <d v="2025-02-01T00:00:00"/>
  </r>
  <r>
    <s v="SHP00236"/>
    <s v="BK50236"/>
    <d v="2025-01-26T00:00:00"/>
    <d v="2025-01-27T00:00:00"/>
    <d v="2025-02-18T00:00:00"/>
    <s v="Bosch"/>
    <s v="Manufacturing"/>
    <s v="Germany"/>
    <s v="Singapore"/>
    <s v="Rotterdam"/>
    <x v="1"/>
    <s v="Mary Maersk"/>
    <s v="High Cube"/>
    <n v="1"/>
    <s v="Electronics"/>
    <n v="15802.5"/>
    <n v="3756.92"/>
    <n v="1224.05"/>
    <n v="453.26"/>
    <n v="158.03"/>
    <n v="521.85"/>
    <n v="1152.29"/>
    <n v="8536.1"/>
    <n v="0"/>
    <s v="None"/>
    <n v="31.31"/>
    <s v="Completed"/>
    <s v="Pending"/>
    <s v="Critical"/>
    <s v="M. Ahmed"/>
    <s v="Asia"/>
    <d v="2025-01-01T00:00:00"/>
  </r>
  <r>
    <s v="SHP00619"/>
    <s v="BK50619"/>
    <d v="2025-07-06T00:00:00"/>
    <d v="2025-07-08T00:00:00"/>
    <d v="2025-07-27T00:00:00"/>
    <s v="Toyota"/>
    <s v="Automotive"/>
    <s v="Japan"/>
    <s v="Shanghai"/>
    <s v="Rotterdam"/>
    <x v="1"/>
    <s v="Mary Maersk"/>
    <s v="High Cube"/>
    <n v="2"/>
    <s v="Auto Parts"/>
    <n v="15859.35"/>
    <n v="3752.72"/>
    <n v="716.46"/>
    <n v="387.92"/>
    <n v="158.59"/>
    <n v="793.74"/>
    <n v="1292.3900000000001"/>
    <n v="8757.5300000000007"/>
    <n v="24"/>
    <s v="Mechanical"/>
    <n v="31.27"/>
    <s v="Delayed"/>
    <s v="Paid"/>
    <s v="Critical"/>
    <s v="M. Ahmed"/>
    <s v="Asia"/>
    <d v="2025-07-01T00:00:00"/>
  </r>
  <r>
    <s v="SHP00642"/>
    <s v="BK50642"/>
    <d v="2025-12-31T00:00:00"/>
    <d v="2026-01-03T00:00:00"/>
    <d v="2026-01-26T00:00:00"/>
    <s v="IKEA"/>
    <s v="Retail"/>
    <s v="Sweden"/>
    <s v="Busan"/>
    <s v="Los Angeles"/>
    <x v="3"/>
    <s v="Madrid Maersk"/>
    <s v="20FT"/>
    <n v="1"/>
    <s v="Food"/>
    <n v="15885.06"/>
    <n v="3212.85"/>
    <n v="1219.92"/>
    <n v="199.18"/>
    <n v="158.85"/>
    <n v="795.02"/>
    <n v="1998.32"/>
    <n v="8300.92"/>
    <n v="0"/>
    <s v="None"/>
    <n v="26.77"/>
    <s v="Completed"/>
    <s v="Pending"/>
    <s v="High"/>
    <s v="R. Mehta"/>
    <s v="Middle East"/>
    <d v="2025-12-01T00:00:00"/>
  </r>
  <r>
    <s v="SHP00124"/>
    <s v="BK50124"/>
    <d v="2025-04-10T00:00:00"/>
    <d v="2025-04-11T00:00:00"/>
    <d v="2025-04-28T00:00:00"/>
    <s v="Pfizer"/>
    <s v="Pharma"/>
    <s v="USA"/>
    <s v="Jebel Ali"/>
    <s v="Nhava Sheva"/>
    <x v="0"/>
    <s v="Madrid Maersk"/>
    <s v="Reefer"/>
    <n v="1"/>
    <s v="Furniture"/>
    <n v="16090.92"/>
    <n v="3265.24"/>
    <n v="876.81"/>
    <n v="257.29000000000002"/>
    <n v="160.91"/>
    <n v="603.52"/>
    <n v="2327.16"/>
    <n v="8599.99"/>
    <n v="8"/>
    <s v="Mechanical"/>
    <n v="27.21"/>
    <s v="Delayed"/>
    <s v="Pending"/>
    <s v="Standard"/>
    <s v="A. Tan"/>
    <s v="North America"/>
    <d v="2025-04-01T00:00:00"/>
  </r>
  <r>
    <s v="SHP00884"/>
    <s v="BK50884"/>
    <d v="2025-10-27T00:00:00"/>
    <d v="2025-10-31T00:00:00"/>
    <d v="2025-11-10T00:00:00"/>
    <s v="IKEA"/>
    <s v="Retail"/>
    <s v="Sweden"/>
    <s v="Colombo"/>
    <s v="Singapore"/>
    <x v="4"/>
    <s v="Mary Maersk"/>
    <s v="20FT"/>
    <n v="1"/>
    <s v="Textiles"/>
    <n v="16095.38"/>
    <n v="2617.5500000000002"/>
    <n v="1268.95"/>
    <n v="259.41000000000003"/>
    <n v="160.94999999999999"/>
    <n v="590.35"/>
    <n v="2407.42"/>
    <n v="8790.75"/>
    <n v="0"/>
    <s v="None"/>
    <n v="21.81"/>
    <s v="Completed"/>
    <s v="Pending"/>
    <s v="Critical"/>
    <s v="J. Smith"/>
    <s v="North America"/>
    <d v="2025-10-01T00:00:00"/>
  </r>
  <r>
    <s v="SHP00234"/>
    <s v="BK50234"/>
    <d v="2025-10-14T00:00:00"/>
    <d v="2025-10-15T00:00:00"/>
    <d v="2025-11-11T00:00:00"/>
    <s v="Pfizer"/>
    <s v="Pharma"/>
    <s v="USA"/>
    <s v="Jebel Ali"/>
    <s v="Nhava Sheva"/>
    <x v="0"/>
    <s v="Ever Ace"/>
    <s v="40FT"/>
    <n v="1"/>
    <s v="Chemicals"/>
    <n v="16223.06"/>
    <n v="3624.39"/>
    <n v="971.9"/>
    <n v="480.09"/>
    <n v="162.22999999999999"/>
    <n v="217.72"/>
    <n v="591.66999999999996"/>
    <n v="10175.06"/>
    <n v="48"/>
    <s v="Customs"/>
    <n v="30.2"/>
    <s v="Delayed"/>
    <s v="Paid"/>
    <s v="High"/>
    <s v="L. Chen"/>
    <s v="Asia"/>
    <d v="2025-10-01T00:00:00"/>
  </r>
  <r>
    <s v="SHP00638"/>
    <s v="BK50638"/>
    <d v="2025-02-26T00:00:00"/>
    <d v="2025-02-27T00:00:00"/>
    <d v="2025-03-11T00:00:00"/>
    <s v="Siemens"/>
    <s v="Engineering"/>
    <s v="Germany"/>
    <s v="Nhava Sheva"/>
    <s v="Nhava Sheva"/>
    <x v="2"/>
    <s v="Mary Maersk"/>
    <s v="20FT"/>
    <n v="1"/>
    <s v="Electronics"/>
    <n v="16255.3"/>
    <n v="2858.29"/>
    <n v="1289.54"/>
    <n v="164.61"/>
    <n v="162.55000000000001"/>
    <n v="449.93"/>
    <n v="2362.8000000000002"/>
    <n v="8967.58"/>
    <n v="0"/>
    <s v="None"/>
    <n v="23.82"/>
    <s v="Completed"/>
    <s v="Pending"/>
    <s v="High"/>
    <s v="A. Tan"/>
    <s v="Europe"/>
    <d v="2025-02-01T00:00:00"/>
  </r>
  <r>
    <s v="SHP00408"/>
    <s v="BK50408"/>
    <d v="2025-12-23T00:00:00"/>
    <d v="2025-12-26T00:00:00"/>
    <d v="2026-01-05T00:00:00"/>
    <s v="Reliance"/>
    <s v="Retail"/>
    <s v="India"/>
    <s v="Rotterdam"/>
    <s v="Hamburg"/>
    <x v="2"/>
    <s v="MSC Gülsün"/>
    <s v="Reefer"/>
    <n v="2"/>
    <s v="Food"/>
    <n v="16278.69"/>
    <n v="3973.69"/>
    <n v="714.09"/>
    <n v="477.89"/>
    <n v="162.79"/>
    <n v="233.87"/>
    <n v="583.89"/>
    <n v="10132.469999999999"/>
    <n v="12"/>
    <s v="Customs"/>
    <n v="33.11"/>
    <s v="Delayed"/>
    <s v="Paid"/>
    <s v="Critical"/>
    <s v="R. Mehta"/>
    <s v="Middle East"/>
    <d v="2025-12-01T00:00:00"/>
  </r>
  <r>
    <s v="SHP00908"/>
    <s v="BK50908"/>
    <d v="2025-11-07T00:00:00"/>
    <d v="2025-11-10T00:00:00"/>
    <d v="2025-11-25T00:00:00"/>
    <s v="Siemens"/>
    <s v="Engineering"/>
    <s v="Germany"/>
    <s v="Jebel Ali"/>
    <s v="Nhava Sheva"/>
    <x v="0"/>
    <s v="MSC Gülsün"/>
    <s v="40FT"/>
    <n v="1"/>
    <s v="Auto Parts"/>
    <n v="16279.26"/>
    <n v="4328.2299999999996"/>
    <n v="1279.5"/>
    <n v="252.75"/>
    <n v="162.79"/>
    <n v="536.13"/>
    <n v="1619.71"/>
    <n v="8100.15"/>
    <n v="4"/>
    <s v="Weather"/>
    <n v="36.07"/>
    <s v="Delayed"/>
    <s v="Paid"/>
    <s v="Critical"/>
    <s v="M. Ahmed"/>
    <s v="Europe"/>
    <d v="2025-11-01T00:00:00"/>
  </r>
  <r>
    <s v="SHP00704"/>
    <s v="BK50704"/>
    <d v="2025-02-02T00:00:00"/>
    <d v="2025-02-03T00:00:00"/>
    <d v="2025-02-28T00:00:00"/>
    <s v="Adidas"/>
    <s v="Retail"/>
    <s v="Germany"/>
    <s v="Shanghai"/>
    <s v="Rotterdam"/>
    <x v="1"/>
    <s v="Monaco Maersk"/>
    <s v="40FT"/>
    <n v="1"/>
    <s v="Furniture"/>
    <n v="16282.94"/>
    <n v="4320.59"/>
    <n v="955.47"/>
    <n v="453.48"/>
    <n v="162.83000000000001"/>
    <n v="168.57"/>
    <n v="919.79"/>
    <n v="9302.2099999999991"/>
    <n v="0"/>
    <s v="None"/>
    <n v="36"/>
    <s v="Completed"/>
    <s v="Paid"/>
    <s v="High"/>
    <s v="L. Chen"/>
    <s v="North America"/>
    <d v="2025-02-01T00:00:00"/>
  </r>
  <r>
    <s v="SHP00920"/>
    <s v="BK50920"/>
    <d v="2025-11-22T00:00:00"/>
    <d v="2025-11-25T00:00:00"/>
    <d v="2025-12-06T00:00:00"/>
    <s v="Amazon"/>
    <s v="E-commerce"/>
    <s v="USA"/>
    <s v="Busan"/>
    <s v="Los Angeles"/>
    <x v="3"/>
    <s v="MSC Gülsün"/>
    <s v="40FT"/>
    <n v="2"/>
    <s v="Chemicals"/>
    <n v="16445.43"/>
    <n v="3229.56"/>
    <n v="976.03"/>
    <n v="383.12"/>
    <n v="164.45"/>
    <n v="140.19999999999999"/>
    <n v="1714.77"/>
    <n v="9837.2999999999993"/>
    <n v="0"/>
    <s v="None"/>
    <n v="26.91"/>
    <s v="Completed"/>
    <s v="Pending"/>
    <s v="Critical"/>
    <s v="A. Tan"/>
    <s v="Asia"/>
    <d v="2025-11-01T00:00:00"/>
  </r>
  <r>
    <s v="SHP00359"/>
    <s v="BK50359"/>
    <d v="2025-04-05T00:00:00"/>
    <d v="2025-04-08T00:00:00"/>
    <d v="2025-05-06T00:00:00"/>
    <s v="Toyota"/>
    <s v="Automotive"/>
    <s v="Japan"/>
    <s v="Busan"/>
    <s v="Los Angeles"/>
    <x v="3"/>
    <s v="MSC Gülsün"/>
    <s v="20FT"/>
    <n v="2"/>
    <s v="Textiles"/>
    <n v="16542.330000000002"/>
    <n v="3774.38"/>
    <n v="930.49"/>
    <n v="421.43"/>
    <n v="165.42"/>
    <n v="383.34"/>
    <n v="1674.52"/>
    <n v="9192.75"/>
    <n v="0"/>
    <s v="None"/>
    <n v="31.45"/>
    <s v="Completed"/>
    <s v="Paid"/>
    <s v="Standard"/>
    <s v="J. Smith"/>
    <s v="Middle East"/>
    <d v="2025-04-01T00:00:00"/>
  </r>
  <r>
    <s v="SHP00672"/>
    <s v="BK50672"/>
    <d v="2025-11-23T00:00:00"/>
    <d v="2025-11-25T00:00:00"/>
    <d v="2025-12-12T00:00:00"/>
    <s v="Adidas"/>
    <s v="Retail"/>
    <s v="Germany"/>
    <s v="Singapore"/>
    <s v="Rotterdam"/>
    <x v="1"/>
    <s v="OOCL Hong Kong"/>
    <s v="40FT"/>
    <n v="2"/>
    <s v="Food"/>
    <n v="16738.95"/>
    <n v="3367.19"/>
    <n v="1030.44"/>
    <n v="287.91000000000003"/>
    <n v="167.39"/>
    <n v="199.11"/>
    <n v="2415.7399999999998"/>
    <n v="9271.17"/>
    <n v="4"/>
    <s v="Labor Strike"/>
    <n v="28.06"/>
    <s v="Delayed"/>
    <s v="Paid"/>
    <s v="High"/>
    <s v="R. Mehta"/>
    <s v="Europe"/>
    <d v="2025-11-01T00:00:00"/>
  </r>
  <r>
    <s v="SHP01000"/>
    <s v="BK51000"/>
    <d v="2025-09-26T00:00:00"/>
    <d v="2025-09-28T00:00:00"/>
    <d v="2025-10-21T00:00:00"/>
    <s v="Siemens"/>
    <s v="Engineering"/>
    <s v="Germany"/>
    <s v="Singapore"/>
    <s v="Rotterdam"/>
    <x v="1"/>
    <s v="CMA CGM Jacques Saadé"/>
    <s v="High Cube"/>
    <n v="1"/>
    <s v="Electronics"/>
    <n v="16955.740000000002"/>
    <n v="2793.14"/>
    <n v="994.36"/>
    <n v="419.82"/>
    <n v="169.56"/>
    <n v="664.04"/>
    <n v="774.69"/>
    <n v="11140.13"/>
    <n v="48"/>
    <s v="Mechanical"/>
    <n v="23.28"/>
    <s v="Delayed"/>
    <s v="Pending"/>
    <s v="Critical"/>
    <s v="M. Ahmed"/>
    <s v="Europe"/>
    <d v="2025-09-01T00:00:00"/>
  </r>
  <r>
    <s v="SHP00603"/>
    <s v="BK50603"/>
    <d v="2025-06-29T00:00:00"/>
    <d v="2025-06-30T00:00:00"/>
    <d v="2025-07-12T00:00:00"/>
    <s v="Samsung"/>
    <s v="Electronics"/>
    <s v="South Korea"/>
    <s v="Singapore"/>
    <s v="Rotterdam"/>
    <x v="1"/>
    <s v="CMA CGM Jacques Saadé"/>
    <s v="High Cube"/>
    <n v="2"/>
    <s v="Furniture"/>
    <n v="16980.48"/>
    <n v="3208.73"/>
    <n v="884.19"/>
    <n v="241.45"/>
    <n v="169.8"/>
    <n v="395.54"/>
    <n v="1157.96"/>
    <n v="10922.81"/>
    <n v="0"/>
    <s v="None"/>
    <n v="26.74"/>
    <s v="Completed"/>
    <s v="Paid"/>
    <s v="High"/>
    <s v="R. Mehta"/>
    <s v="North America"/>
    <d v="2025-06-01T00:00:00"/>
  </r>
  <r>
    <s v="SHP00870"/>
    <s v="BK50870"/>
    <d v="2025-11-29T00:00:00"/>
    <d v="2025-12-02T00:00:00"/>
    <d v="2025-12-22T00:00:00"/>
    <s v="Toyota"/>
    <s v="Automotive"/>
    <s v="Japan"/>
    <s v="Jebel Ali"/>
    <s v="Nhava Sheva"/>
    <x v="0"/>
    <s v="Madrid Maersk"/>
    <s v="Reefer"/>
    <n v="1"/>
    <s v="Food"/>
    <n v="17193.88"/>
    <n v="2927.84"/>
    <n v="1219.46"/>
    <n v="329.05"/>
    <n v="171.94"/>
    <n v="596.20000000000005"/>
    <n v="1481.98"/>
    <n v="10467.41"/>
    <n v="0"/>
    <s v="None"/>
    <n v="24.4"/>
    <s v="Completed"/>
    <s v="Pending"/>
    <s v="Standard"/>
    <s v="M. Ahmed"/>
    <s v="Middle East"/>
    <d v="2025-11-01T00:00:00"/>
  </r>
  <r>
    <s v="SHP00045"/>
    <s v="BK50045"/>
    <d v="2025-04-27T00:00:00"/>
    <d v="2025-04-29T00:00:00"/>
    <d v="2025-05-22T00:00:00"/>
    <s v="Samsung"/>
    <s v="Electronics"/>
    <s v="South Korea"/>
    <s v="Jebel Ali"/>
    <s v="Jebel Ali"/>
    <x v="2"/>
    <s v="Mumbai Maersk"/>
    <s v="40FT"/>
    <n v="2"/>
    <s v="Food"/>
    <n v="17444.18"/>
    <n v="3675.9"/>
    <n v="901.35"/>
    <n v="283.12"/>
    <n v="174.44"/>
    <n v="692.77"/>
    <n v="945"/>
    <n v="10771.6"/>
    <n v="4"/>
    <s v="Weather"/>
    <n v="30.63"/>
    <s v="Delayed"/>
    <s v="Pending"/>
    <s v="Critical"/>
    <s v="R. Mehta"/>
    <s v="Europe"/>
    <d v="2025-04-01T00:00:00"/>
  </r>
  <r>
    <s v="SHP00041"/>
    <s v="BK50041"/>
    <d v="2025-03-24T00:00:00"/>
    <d v="2025-03-28T00:00:00"/>
    <d v="2025-04-14T00:00:00"/>
    <s v="Toyota"/>
    <s v="Automotive"/>
    <s v="Japan"/>
    <s v="Shanghai"/>
    <s v="Rotterdam"/>
    <x v="1"/>
    <s v="Madrid Maersk"/>
    <s v="40FT"/>
    <n v="2"/>
    <s v="Food"/>
    <n v="17572.900000000001"/>
    <n v="4201.7299999999996"/>
    <n v="912.58"/>
    <n v="452.94"/>
    <n v="175.73"/>
    <n v="810.49"/>
    <n v="1830.25"/>
    <n v="9189.18"/>
    <n v="12"/>
    <s v="Labor Strike"/>
    <n v="35.01"/>
    <s v="Delayed"/>
    <s v="Paid"/>
    <s v="High"/>
    <s v="A. Tan"/>
    <s v="North America"/>
    <d v="2025-03-01T00:00:00"/>
  </r>
  <r>
    <s v="SHP00091"/>
    <s v="BK50091"/>
    <d v="2025-02-12T00:00:00"/>
    <d v="2025-02-14T00:00:00"/>
    <d v="2025-03-04T00:00:00"/>
    <s v="Siemens"/>
    <s v="Engineering"/>
    <s v="Germany"/>
    <s v="Jebel Ali"/>
    <s v="Nhava Sheva"/>
    <x v="0"/>
    <s v="OOCL Hong Kong"/>
    <s v="Reefer"/>
    <n v="1"/>
    <s v="Electronics"/>
    <n v="17640.400000000001"/>
    <n v="4519.5600000000004"/>
    <n v="1006.62"/>
    <n v="359.47"/>
    <n v="176.4"/>
    <n v="730.01"/>
    <n v="2428.73"/>
    <n v="8419.61"/>
    <n v="0"/>
    <s v="None"/>
    <n v="37.659999999999997"/>
    <s v="Completed"/>
    <s v="Paid"/>
    <s v="High"/>
    <s v="A. Tan"/>
    <s v="Asia"/>
    <d v="2025-02-01T00:00:00"/>
  </r>
  <r>
    <s v="SHP00894"/>
    <s v="BK50894"/>
    <d v="2025-07-01T00:00:00"/>
    <d v="2025-07-04T00:00:00"/>
    <d v="2025-07-25T00:00:00"/>
    <s v="IKEA"/>
    <s v="Retail"/>
    <s v="Sweden"/>
    <s v="Shanghai"/>
    <s v="Rotterdam"/>
    <x v="1"/>
    <s v="Madrid Maersk"/>
    <s v="Reefer"/>
    <n v="1"/>
    <s v="Furniture"/>
    <n v="17853.3"/>
    <n v="4994.93"/>
    <n v="942.87"/>
    <n v="371.32"/>
    <n v="178.53"/>
    <n v="777.85"/>
    <n v="2119.59"/>
    <n v="8468.2099999999991"/>
    <n v="24"/>
    <s v="Labor Strike"/>
    <n v="41.62"/>
    <s v="Delayed"/>
    <s v="Paid"/>
    <s v="Critical"/>
    <s v="J. Smith"/>
    <s v="Asia"/>
    <d v="2025-07-01T00:00:00"/>
  </r>
  <r>
    <s v="SHP00979"/>
    <s v="BK50979"/>
    <d v="2025-01-10T00:00:00"/>
    <d v="2025-01-13T00:00:00"/>
    <d v="2025-01-30T00:00:00"/>
    <s v="Siemens"/>
    <s v="Engineering"/>
    <s v="Germany"/>
    <s v="Singapore"/>
    <s v="Rotterdam"/>
    <x v="1"/>
    <s v="Madrid Maersk"/>
    <s v="Reefer"/>
    <n v="1"/>
    <s v="Electronics"/>
    <n v="17867.45"/>
    <n v="4135.7700000000004"/>
    <n v="1196.22"/>
    <n v="349.13"/>
    <n v="178.67"/>
    <n v="735.46"/>
    <n v="1288.18"/>
    <n v="9984.02"/>
    <n v="48"/>
    <s v="Weather"/>
    <n v="34.46"/>
    <s v="Delayed"/>
    <s v="Paid"/>
    <s v="High"/>
    <s v="A. Tan"/>
    <s v="North America"/>
    <d v="2025-01-01T00:00:00"/>
  </r>
  <r>
    <s v="SHP00650"/>
    <s v="BK50650"/>
    <d v="2025-07-30T00:00:00"/>
    <d v="2025-07-31T00:00:00"/>
    <d v="2025-08-17T00:00:00"/>
    <s v="Siemens"/>
    <s v="Engineering"/>
    <s v="Germany"/>
    <s v="Busan"/>
    <s v="Los Angeles"/>
    <x v="3"/>
    <s v="Ever Ace"/>
    <s v="20FT"/>
    <n v="1"/>
    <s v="Furniture"/>
    <n v="17936.54"/>
    <n v="3853.75"/>
    <n v="1021.52"/>
    <n v="228.89"/>
    <n v="179.37"/>
    <n v="546.24"/>
    <n v="2176.79"/>
    <n v="9929.98"/>
    <n v="12"/>
    <s v="Labor Strike"/>
    <n v="32.11"/>
    <s v="Delayed"/>
    <s v="Paid"/>
    <s v="Standard"/>
    <s v="J. Smith"/>
    <s v="Asia"/>
    <d v="2025-07-01T00:00:00"/>
  </r>
  <r>
    <s v="SHP00549"/>
    <s v="BK50549"/>
    <d v="2025-02-13T00:00:00"/>
    <d v="2025-02-16T00:00:00"/>
    <d v="2025-03-01T00:00:00"/>
    <s v="Amazon"/>
    <s v="E-commerce"/>
    <s v="USA"/>
    <s v="Jebel Ali"/>
    <s v="Nhava Sheva"/>
    <x v="0"/>
    <s v="MSC Gülsün"/>
    <s v="High Cube"/>
    <n v="1"/>
    <s v="Electronics"/>
    <n v="17940.36"/>
    <n v="3185.61"/>
    <n v="1223.19"/>
    <n v="509.31"/>
    <n v="179.4"/>
    <n v="456.44"/>
    <n v="1945.35"/>
    <n v="10441.06"/>
    <n v="0"/>
    <s v="None"/>
    <n v="26.55"/>
    <s v="Completed"/>
    <s v="Paid"/>
    <s v="Critical"/>
    <s v="R. Mehta"/>
    <s v="North America"/>
    <d v="2025-02-01T00:00:00"/>
  </r>
  <r>
    <s v="SHP00946"/>
    <s v="BK50946"/>
    <d v="2025-11-23T00:00:00"/>
    <d v="2025-11-26T00:00:00"/>
    <d v="2025-12-06T00:00:00"/>
    <s v="Toyota"/>
    <s v="Automotive"/>
    <s v="Japan"/>
    <s v="Colombo"/>
    <s v="Singapore"/>
    <x v="4"/>
    <s v="Mary Maersk"/>
    <s v="40FT"/>
    <n v="1"/>
    <s v="Chemicals"/>
    <n v="18163.32"/>
    <n v="5365.23"/>
    <n v="777.19"/>
    <n v="281.60000000000002"/>
    <n v="181.63"/>
    <n v="380.69"/>
    <n v="551.78"/>
    <n v="10625.2"/>
    <n v="12"/>
    <s v="Port Congestion"/>
    <n v="44.71"/>
    <s v="Delayed"/>
    <s v="Paid"/>
    <s v="Standard"/>
    <s v="L. Chen"/>
    <s v="Middle East"/>
    <d v="2025-11-01T00:00:00"/>
  </r>
  <r>
    <s v="SHP00914"/>
    <s v="BK50914"/>
    <d v="2025-01-21T00:00:00"/>
    <d v="2025-01-22T00:00:00"/>
    <d v="2025-02-19T00:00:00"/>
    <s v="IKEA"/>
    <s v="Retail"/>
    <s v="Sweden"/>
    <s v="Shanghai"/>
    <s v="Rotterdam"/>
    <x v="1"/>
    <s v="OOCL Hong Kong"/>
    <s v="Reefer"/>
    <n v="1"/>
    <s v="Food"/>
    <n v="18268.810000000001"/>
    <n v="4307.3599999999997"/>
    <n v="1028.6099999999999"/>
    <n v="349.7"/>
    <n v="182.69"/>
    <n v="636.34"/>
    <n v="497.2"/>
    <n v="11266.91"/>
    <n v="0"/>
    <s v="None"/>
    <n v="35.89"/>
    <s v="Completed"/>
    <s v="Paid"/>
    <s v="High"/>
    <s v="A. Tan"/>
    <s v="Middle East"/>
    <d v="2025-01-01T00:00:00"/>
  </r>
  <r>
    <s v="SHP00371"/>
    <s v="BK50371"/>
    <d v="2025-01-31T00:00:00"/>
    <d v="2025-02-03T00:00:00"/>
    <d v="2025-02-15T00:00:00"/>
    <s v="Reliance"/>
    <s v="Retail"/>
    <s v="India"/>
    <s v="Singapore"/>
    <s v="Rotterdam"/>
    <x v="1"/>
    <s v="MSC Gülsün"/>
    <s v="20FT"/>
    <n v="1"/>
    <s v="Food"/>
    <n v="18352.849999999999"/>
    <n v="4401.49"/>
    <n v="1418.83"/>
    <n v="400.41"/>
    <n v="183.53"/>
    <n v="415.97"/>
    <n v="1558.63"/>
    <n v="9973.99"/>
    <n v="36"/>
    <s v="Weather"/>
    <n v="36.68"/>
    <s v="Delayed"/>
    <s v="Paid"/>
    <s v="High"/>
    <s v="A. Tan"/>
    <s v="Europe"/>
    <d v="2025-01-01T00:00:00"/>
  </r>
  <r>
    <s v="SHP00789"/>
    <s v="BK50789"/>
    <d v="2025-04-26T00:00:00"/>
    <d v="2025-04-27T00:00:00"/>
    <d v="2025-05-25T00:00:00"/>
    <s v="Adidas"/>
    <s v="Retail"/>
    <s v="Germany"/>
    <s v="Colombo"/>
    <s v="Singapore"/>
    <x v="4"/>
    <s v="OOCL Hong Kong"/>
    <s v="Reefer"/>
    <n v="2"/>
    <s v="Chemicals"/>
    <n v="18388.07"/>
    <n v="4867.59"/>
    <n v="768.17"/>
    <n v="342.81"/>
    <n v="183.88"/>
    <n v="555.15"/>
    <n v="2151.9299999999998"/>
    <n v="9518.5400000000009"/>
    <n v="4"/>
    <s v="Port Congestion"/>
    <n v="40.56"/>
    <s v="Delayed"/>
    <s v="Paid"/>
    <s v="High"/>
    <s v="R. Mehta"/>
    <s v="Europe"/>
    <d v="2025-04-01T00:00:00"/>
  </r>
  <r>
    <s v="SHP00031"/>
    <s v="BK50031"/>
    <d v="2025-12-18T00:00:00"/>
    <d v="2025-12-22T00:00:00"/>
    <d v="2026-01-07T00:00:00"/>
    <s v="Amazon"/>
    <s v="E-commerce"/>
    <s v="USA"/>
    <s v="Colombo"/>
    <s v="Singapore"/>
    <x v="4"/>
    <s v="Madrid Maersk"/>
    <s v="High Cube"/>
    <n v="2"/>
    <s v="Food"/>
    <n v="18593.64"/>
    <n v="4980.78"/>
    <n v="1072.5999999999999"/>
    <n v="213.11"/>
    <n v="185.94"/>
    <n v="736.59"/>
    <n v="1441.42"/>
    <n v="9963.2000000000007"/>
    <n v="0"/>
    <s v="None"/>
    <n v="41.51"/>
    <s v="Completed"/>
    <s v="Paid"/>
    <s v="High"/>
    <s v="L. Chen"/>
    <s v="Asia"/>
    <d v="2025-12-01T00:00:00"/>
  </r>
  <r>
    <s v="SHP00001"/>
    <s v="BK50001"/>
    <d v="2025-06-28T00:00:00"/>
    <d v="2025-07-02T00:00:00"/>
    <d v="2025-07-25T00:00:00"/>
    <s v="Reliance"/>
    <s v="Retail"/>
    <s v="India"/>
    <s v="Busan"/>
    <s v="Los Angeles"/>
    <x v="3"/>
    <s v="Mumbai Maersk"/>
    <s v="High Cube"/>
    <n v="2"/>
    <s v="Furniture"/>
    <n v="18690"/>
    <n v="5394.26"/>
    <n v="1311.49"/>
    <n v="221.44"/>
    <n v="186.9"/>
    <n v="801.45"/>
    <n v="2070.34"/>
    <n v="8704.1200000000008"/>
    <n v="24"/>
    <s v="Labor Strike"/>
    <n v="44.95"/>
    <s v="Delayed"/>
    <s v="Pending"/>
    <s v="Critical"/>
    <s v="R. Mehta"/>
    <s v="North America"/>
    <d v="2025-06-01T00:00:00"/>
  </r>
  <r>
    <s v="SHP00253"/>
    <s v="BK50253"/>
    <d v="2025-09-12T00:00:00"/>
    <d v="2025-09-14T00:00:00"/>
    <d v="2025-09-25T00:00:00"/>
    <s v="IKEA"/>
    <s v="Retail"/>
    <s v="Sweden"/>
    <s v="Colombo"/>
    <s v="Singapore"/>
    <x v="4"/>
    <s v="Ever Ace"/>
    <s v="40FT"/>
    <n v="1"/>
    <s v="Electronics"/>
    <n v="18763.25"/>
    <n v="3734.29"/>
    <n v="1344.14"/>
    <n v="464.46"/>
    <n v="187.63"/>
    <n v="737.44"/>
    <n v="310.7"/>
    <n v="11984.59"/>
    <n v="12"/>
    <s v="Mechanical"/>
    <n v="31.12"/>
    <s v="Delayed"/>
    <s v="Pending"/>
    <s v="High"/>
    <s v="J. Smith"/>
    <s v="Asia"/>
    <d v="2025-09-01T00:00:00"/>
  </r>
  <r>
    <s v="SHP00930"/>
    <s v="BK50930"/>
    <d v="2025-06-06T00:00:00"/>
    <d v="2025-06-10T00:00:00"/>
    <d v="2025-06-22T00:00:00"/>
    <s v="Unilever"/>
    <s v="FMCG"/>
    <s v="UK"/>
    <s v="Rotterdam"/>
    <s v="Shanghai"/>
    <x v="2"/>
    <s v="MSC Gülsün"/>
    <s v="High Cube"/>
    <n v="2"/>
    <s v="Textiles"/>
    <n v="18827.03"/>
    <n v="3330.42"/>
    <n v="877.09"/>
    <n v="296.66000000000003"/>
    <n v="188.27"/>
    <n v="308.44"/>
    <n v="866.51"/>
    <n v="12959.64"/>
    <n v="12"/>
    <s v="Weather"/>
    <n v="27.75"/>
    <s v="Delayed"/>
    <s v="Paid"/>
    <s v="Standard"/>
    <s v="M. Ahmed"/>
    <s v="Europe"/>
    <d v="2025-06-01T00:00:00"/>
  </r>
  <r>
    <s v="SHP00327"/>
    <s v="BK50327"/>
    <d v="2025-09-26T00:00:00"/>
    <d v="2025-09-29T00:00:00"/>
    <d v="2025-10-20T00:00:00"/>
    <s v="Samsung"/>
    <s v="Electronics"/>
    <s v="South Korea"/>
    <s v="Colombo"/>
    <s v="Singapore"/>
    <x v="4"/>
    <s v="Mary Maersk"/>
    <s v="High Cube"/>
    <n v="1"/>
    <s v="Auto Parts"/>
    <n v="18925.62"/>
    <n v="3766.19"/>
    <n v="1087.97"/>
    <n v="241.94"/>
    <n v="189.26"/>
    <n v="621.37"/>
    <n v="1864.76"/>
    <n v="11154.13"/>
    <n v="24"/>
    <s v="Mechanical"/>
    <n v="31.38"/>
    <s v="Delayed"/>
    <s v="Pending"/>
    <s v="Critical"/>
    <s v="A. Tan"/>
    <s v="Europe"/>
    <d v="2025-09-01T00:00:00"/>
  </r>
  <r>
    <s v="SHP00951"/>
    <s v="BK50951"/>
    <d v="2025-06-02T00:00:00"/>
    <d v="2025-06-05T00:00:00"/>
    <d v="2025-06-24T00:00:00"/>
    <s v="Unilever"/>
    <s v="FMCG"/>
    <s v="UK"/>
    <s v="Hamburg"/>
    <s v="Busan"/>
    <x v="2"/>
    <s v="Monaco Maersk"/>
    <s v="High Cube"/>
    <n v="1"/>
    <s v="Electronics"/>
    <n v="19128.36"/>
    <n v="4341.6499999999996"/>
    <n v="981.29"/>
    <n v="276.72000000000003"/>
    <n v="191.28"/>
    <n v="703.32"/>
    <n v="2479.8000000000002"/>
    <n v="10154.299999999999"/>
    <n v="24"/>
    <s v="Mechanical"/>
    <n v="36.18"/>
    <s v="Delayed"/>
    <s v="Pending"/>
    <s v="Standard"/>
    <s v="L. Chen"/>
    <s v="Middle East"/>
    <d v="2025-06-01T00:00:00"/>
  </r>
  <r>
    <s v="SHP00097"/>
    <s v="BK50097"/>
    <d v="2025-08-13T00:00:00"/>
    <d v="2025-08-17T00:00:00"/>
    <d v="2025-09-02T00:00:00"/>
    <s v="Pfizer"/>
    <s v="Pharma"/>
    <s v="USA"/>
    <s v="Colombo"/>
    <s v="Singapore"/>
    <x v="4"/>
    <s v="Monaco Maersk"/>
    <s v="20FT"/>
    <n v="1"/>
    <s v="Auto Parts"/>
    <n v="19160.18"/>
    <n v="5099.66"/>
    <n v="1406.94"/>
    <n v="295.10000000000002"/>
    <n v="191.6"/>
    <n v="783.72"/>
    <n v="1369.81"/>
    <n v="10013.35"/>
    <n v="0"/>
    <s v="None"/>
    <n v="42.5"/>
    <s v="Completed"/>
    <s v="Pending"/>
    <s v="High"/>
    <s v="J. Smith"/>
    <s v="Asia"/>
    <d v="2025-08-01T00:00:00"/>
  </r>
  <r>
    <s v="SHP00578"/>
    <s v="BK50578"/>
    <d v="2025-02-28T00:00:00"/>
    <d v="2025-03-01T00:00:00"/>
    <d v="2025-03-17T00:00:00"/>
    <s v="Siemens"/>
    <s v="Engineering"/>
    <s v="Germany"/>
    <s v="Shanghai"/>
    <s v="Rotterdam"/>
    <x v="1"/>
    <s v="Mumbai Maersk"/>
    <s v="20FT"/>
    <n v="2"/>
    <s v="Food"/>
    <n v="19449.560000000001"/>
    <n v="5811.7"/>
    <n v="1331.18"/>
    <n v="324.14"/>
    <n v="194.5"/>
    <n v="843.61"/>
    <n v="826.21"/>
    <n v="10118.219999999999"/>
    <n v="4"/>
    <s v="Port Congestion"/>
    <n v="48.43"/>
    <s v="Delayed"/>
    <s v="Pending"/>
    <s v="High"/>
    <s v="J. Smith"/>
    <s v="Europe"/>
    <d v="2025-02-01T00:00:00"/>
  </r>
  <r>
    <s v="SHP00913"/>
    <s v="BK50913"/>
    <d v="2025-07-07T00:00:00"/>
    <d v="2025-07-10T00:00:00"/>
    <d v="2025-07-24T00:00:00"/>
    <s v="Bosch"/>
    <s v="Manufacturing"/>
    <s v="Germany"/>
    <s v="Colombo"/>
    <s v="Singapore"/>
    <x v="4"/>
    <s v="OOCL Hong Kong"/>
    <s v="40FT"/>
    <n v="1"/>
    <s v="Electronics"/>
    <n v="19641.53"/>
    <n v="4436.5200000000004"/>
    <n v="1345.13"/>
    <n v="258.45999999999998"/>
    <n v="196.42"/>
    <n v="250.04"/>
    <n v="2499.9499999999998"/>
    <n v="10655.01"/>
    <n v="36"/>
    <s v="Labor Strike"/>
    <n v="36.97"/>
    <s v="Delayed"/>
    <s v="Paid"/>
    <s v="High"/>
    <s v="L. Chen"/>
    <s v="Middle East"/>
    <d v="2025-07-01T00:00:00"/>
  </r>
  <r>
    <s v="SHP00390"/>
    <s v="BK50390"/>
    <d v="2025-06-24T00:00:00"/>
    <d v="2025-06-26T00:00:00"/>
    <d v="2025-07-26T00:00:00"/>
    <s v="Toyota"/>
    <s v="Automotive"/>
    <s v="Japan"/>
    <s v="Shanghai"/>
    <s v="Rotterdam"/>
    <x v="1"/>
    <s v="Ever Ace"/>
    <s v="20FT"/>
    <n v="2"/>
    <s v="Machinery"/>
    <n v="19782.63"/>
    <n v="3750.28"/>
    <n v="1574.65"/>
    <n v="320.82"/>
    <n v="197.83"/>
    <n v="682.25"/>
    <n v="1188.75"/>
    <n v="12068.05"/>
    <n v="48"/>
    <s v="Port Congestion"/>
    <n v="31.25"/>
    <s v="Delayed"/>
    <s v="Paid"/>
    <s v="Standard"/>
    <s v="M. Ahmed"/>
    <s v="Middle East"/>
    <d v="2025-06-01T00:00:00"/>
  </r>
  <r>
    <s v="SHP00623"/>
    <s v="BK50623"/>
    <d v="2025-06-06T00:00:00"/>
    <d v="2025-06-10T00:00:00"/>
    <d v="2025-06-29T00:00:00"/>
    <s v="Adidas"/>
    <s v="Retail"/>
    <s v="Germany"/>
    <s v="Colombo"/>
    <s v="Singapore"/>
    <x v="4"/>
    <s v="Mumbai Maersk"/>
    <s v="Reefer"/>
    <n v="1"/>
    <s v="Auto Parts"/>
    <n v="19791.740000000002"/>
    <n v="5227.28"/>
    <n v="1231.3499999999999"/>
    <n v="207.59"/>
    <n v="197.92"/>
    <n v="861.55"/>
    <n v="2026.18"/>
    <n v="10039.870000000001"/>
    <n v="8"/>
    <s v="Customs"/>
    <n v="43.56"/>
    <s v="Delayed"/>
    <s v="Paid"/>
    <s v="Standard"/>
    <s v="A. Tan"/>
    <s v="North America"/>
    <d v="2025-06-01T00:00:00"/>
  </r>
  <r>
    <s v="SHP00816"/>
    <s v="BK50816"/>
    <d v="2025-06-25T00:00:00"/>
    <d v="2025-06-28T00:00:00"/>
    <d v="2025-07-24T00:00:00"/>
    <s v="Reliance"/>
    <s v="Retail"/>
    <s v="India"/>
    <s v="Jebel Ali"/>
    <s v="Nhava Sheva"/>
    <x v="0"/>
    <s v="Madrid Maersk"/>
    <s v="20FT"/>
    <n v="2"/>
    <s v="Textiles"/>
    <n v="19888.439999999999"/>
    <n v="5862.39"/>
    <n v="1034.7"/>
    <n v="222.83"/>
    <n v="198.88"/>
    <n v="385.92"/>
    <n v="776.76"/>
    <n v="11406.96"/>
    <n v="48"/>
    <s v="Mechanical"/>
    <n v="48.85"/>
    <s v="Delayed"/>
    <s v="Paid"/>
    <s v="Standard"/>
    <s v="A. Tan"/>
    <s v="Middle East"/>
    <d v="2025-06-01T00:00:00"/>
  </r>
  <r>
    <s v="SHP00039"/>
    <s v="BK50039"/>
    <d v="2025-04-06T00:00:00"/>
    <d v="2025-04-09T00:00:00"/>
    <d v="2025-04-23T00:00:00"/>
    <s v="Siemens"/>
    <s v="Engineering"/>
    <s v="Germany"/>
    <s v="Shanghai"/>
    <s v="Rotterdam"/>
    <x v="1"/>
    <s v="Monaco Maersk"/>
    <s v="Reefer"/>
    <n v="2"/>
    <s v="Electronics"/>
    <n v="20005.150000000001"/>
    <n v="3447.11"/>
    <n v="836.62"/>
    <n v="281.95"/>
    <n v="200.05"/>
    <n v="415.96"/>
    <n v="978.42"/>
    <n v="13845.04"/>
    <n v="0"/>
    <s v="None"/>
    <n v="28.73"/>
    <s v="Completed"/>
    <s v="Pending"/>
    <s v="High"/>
    <s v="J. Smith"/>
    <s v="Asia"/>
    <d v="2025-04-01T00:00:00"/>
  </r>
  <r>
    <s v="SHP00563"/>
    <s v="BK50563"/>
    <d v="2025-09-19T00:00:00"/>
    <d v="2025-09-22T00:00:00"/>
    <d v="2025-10-14T00:00:00"/>
    <s v="Unilever"/>
    <s v="FMCG"/>
    <s v="UK"/>
    <s v="Colombo"/>
    <s v="New York"/>
    <x v="2"/>
    <s v="MSC Gülsün"/>
    <s v="Reefer"/>
    <n v="2"/>
    <s v="Machinery"/>
    <n v="20014.189999999999"/>
    <n v="4576.26"/>
    <n v="1134.32"/>
    <n v="238.4"/>
    <n v="200.14"/>
    <n v="121.82"/>
    <n v="1838.51"/>
    <n v="11904.74"/>
    <n v="48"/>
    <s v="Customs"/>
    <n v="38.14"/>
    <s v="Delayed"/>
    <s v="Pending"/>
    <s v="Standard"/>
    <s v="L. Chen"/>
    <s v="Middle East"/>
    <d v="2025-09-01T00:00:00"/>
  </r>
  <r>
    <s v="SHP00854"/>
    <s v="BK50854"/>
    <d v="2025-06-04T00:00:00"/>
    <d v="2025-06-05T00:00:00"/>
    <d v="2025-06-21T00:00:00"/>
    <s v="Pfizer"/>
    <s v="Pharma"/>
    <s v="USA"/>
    <s v="Shanghai"/>
    <s v="Rotterdam"/>
    <x v="1"/>
    <s v="MSC Gülsün"/>
    <s v="Reefer"/>
    <n v="2"/>
    <s v="Furniture"/>
    <n v="20242.98"/>
    <n v="5852.84"/>
    <n v="969.76"/>
    <n v="366.75"/>
    <n v="202.43"/>
    <n v="473.21"/>
    <n v="787.7"/>
    <n v="11590.29"/>
    <n v="24"/>
    <s v="Weather"/>
    <n v="48.77"/>
    <s v="Delayed"/>
    <s v="Paid"/>
    <s v="High"/>
    <s v="L. Chen"/>
    <s v="Middle East"/>
    <d v="2025-06-01T00:00:00"/>
  </r>
  <r>
    <s v="SHP00213"/>
    <s v="BK50213"/>
    <d v="2025-08-02T00:00:00"/>
    <d v="2025-08-04T00:00:00"/>
    <d v="2025-08-20T00:00:00"/>
    <s v="Toyota"/>
    <s v="Automotive"/>
    <s v="Japan"/>
    <s v="Colombo"/>
    <s v="Singapore"/>
    <x v="4"/>
    <s v="Ever Ace"/>
    <s v="40FT"/>
    <n v="1"/>
    <s v="Furniture"/>
    <n v="20276.63"/>
    <n v="6048.06"/>
    <n v="1467.58"/>
    <n v="215.86"/>
    <n v="202.77"/>
    <n v="175.42"/>
    <n v="1726.6"/>
    <n v="10440.34"/>
    <n v="24"/>
    <s v="Mechanical"/>
    <n v="50.4"/>
    <s v="Delayed"/>
    <s v="Paid"/>
    <s v="Standard"/>
    <s v="M. Ahmed"/>
    <s v="Europe"/>
    <d v="2025-08-01T00:00:00"/>
  </r>
  <r>
    <s v="SHP00055"/>
    <s v="BK50055"/>
    <d v="2025-12-04T00:00:00"/>
    <d v="2025-12-05T00:00:00"/>
    <d v="2025-12-24T00:00:00"/>
    <s v="LG"/>
    <s v="Electronics"/>
    <s v="South Korea"/>
    <s v="Busan"/>
    <s v="Los Angeles"/>
    <x v="3"/>
    <s v="Mary Maersk"/>
    <s v="Reefer"/>
    <n v="1"/>
    <s v="Furniture"/>
    <n v="20328.48"/>
    <n v="5294.13"/>
    <n v="1331.37"/>
    <n v="326.81"/>
    <n v="203.28"/>
    <n v="590.48"/>
    <n v="2067.5"/>
    <n v="10514.91"/>
    <n v="12"/>
    <s v="Labor Strike"/>
    <n v="44.12"/>
    <s v="Delayed"/>
    <s v="Paid"/>
    <s v="Critical"/>
    <s v="L. Chen"/>
    <s v="Asia"/>
    <d v="2025-12-01T00:00:00"/>
  </r>
  <r>
    <s v="SHP00896"/>
    <s v="BK50896"/>
    <d v="2025-09-05T00:00:00"/>
    <d v="2025-09-09T00:00:00"/>
    <d v="2025-09-24T00:00:00"/>
    <s v="Adidas"/>
    <s v="Retail"/>
    <s v="Germany"/>
    <s v="Singapore"/>
    <s v="Rotterdam"/>
    <x v="1"/>
    <s v="Madrid Maersk"/>
    <s v="Reefer"/>
    <n v="1"/>
    <s v="Auto Parts"/>
    <n v="20408"/>
    <n v="5925.09"/>
    <n v="1148.1300000000001"/>
    <n v="464.72"/>
    <n v="204.08"/>
    <n v="733.39"/>
    <n v="2095.6799999999998"/>
    <n v="9836.91"/>
    <n v="4"/>
    <s v="Weather"/>
    <n v="49.38"/>
    <s v="Delayed"/>
    <s v="Paid"/>
    <s v="Critical"/>
    <s v="L. Chen"/>
    <s v="North America"/>
    <d v="2025-09-01T00:00:00"/>
  </r>
  <r>
    <s v="SHP00835"/>
    <s v="BK50835"/>
    <d v="2025-03-14T00:00:00"/>
    <d v="2025-03-16T00:00:00"/>
    <d v="2025-03-30T00:00:00"/>
    <s v="Bosch"/>
    <s v="Manufacturing"/>
    <s v="Germany"/>
    <s v="Singapore"/>
    <s v="Rotterdam"/>
    <x v="1"/>
    <s v="CMA CGM Jacques Saadé"/>
    <s v="40FT"/>
    <n v="1"/>
    <s v="Chemicals"/>
    <n v="20483.509999999998"/>
    <n v="3336.72"/>
    <n v="1286.53"/>
    <n v="469.33"/>
    <n v="204.84"/>
    <n v="499.42"/>
    <n v="2297.9699999999998"/>
    <n v="12388.7"/>
    <n v="36"/>
    <s v="Mechanical"/>
    <n v="27.81"/>
    <s v="Delayed"/>
    <s v="Paid"/>
    <s v="Standard"/>
    <s v="M. Ahmed"/>
    <s v="North America"/>
    <d v="2025-03-01T00:00:00"/>
  </r>
  <r>
    <s v="SHP00149"/>
    <s v="BK50149"/>
    <d v="2025-08-10T00:00:00"/>
    <d v="2025-08-11T00:00:00"/>
    <d v="2025-09-08T00:00:00"/>
    <s v="Samsung"/>
    <s v="Electronics"/>
    <s v="South Korea"/>
    <s v="Busan"/>
    <s v="Los Angeles"/>
    <x v="3"/>
    <s v="Mary Maersk"/>
    <s v="High Cube"/>
    <n v="2"/>
    <s v="Electronics"/>
    <n v="20650.38"/>
    <n v="4110.3"/>
    <n v="1139.3800000000001"/>
    <n v="577.03"/>
    <n v="206.5"/>
    <n v="321.54000000000002"/>
    <n v="1600.13"/>
    <n v="12695.5"/>
    <n v="4"/>
    <s v="Mechanical"/>
    <n v="34.25"/>
    <s v="Delayed"/>
    <s v="Paid"/>
    <s v="High"/>
    <s v="R. Mehta"/>
    <s v="Middle East"/>
    <d v="2025-08-01T00:00:00"/>
  </r>
  <r>
    <s v="SHP00768"/>
    <s v="BK50768"/>
    <d v="2025-07-27T00:00:00"/>
    <d v="2025-07-29T00:00:00"/>
    <d v="2025-08-25T00:00:00"/>
    <s v="Bosch"/>
    <s v="Manufacturing"/>
    <s v="Germany"/>
    <s v="Busan"/>
    <s v="Los Angeles"/>
    <x v="3"/>
    <s v="OOCL Hong Kong"/>
    <s v="40FT"/>
    <n v="1"/>
    <s v="Food"/>
    <n v="20738.599999999999"/>
    <n v="3983.15"/>
    <n v="903.99"/>
    <n v="386.23"/>
    <n v="207.39"/>
    <n v="698.72"/>
    <n v="724.85"/>
    <n v="13834.27"/>
    <n v="0"/>
    <s v="None"/>
    <n v="33.19"/>
    <s v="Completed"/>
    <s v="Pending"/>
    <s v="High"/>
    <s v="J. Smith"/>
    <s v="Europe"/>
    <d v="2025-07-01T00:00:00"/>
  </r>
  <r>
    <s v="SHP00573"/>
    <s v="BK50573"/>
    <d v="2025-04-10T00:00:00"/>
    <d v="2025-04-13T00:00:00"/>
    <d v="2025-05-08T00:00:00"/>
    <s v="Toyota"/>
    <s v="Automotive"/>
    <s v="Japan"/>
    <s v="Colombo"/>
    <s v="New York"/>
    <x v="2"/>
    <s v="Monaco Maersk"/>
    <s v="Reefer"/>
    <n v="1"/>
    <s v="Auto Parts"/>
    <n v="20818.48"/>
    <n v="5562.69"/>
    <n v="967.04"/>
    <n v="602.04999999999995"/>
    <n v="208.18"/>
    <n v="300.36"/>
    <n v="2335.4899999999998"/>
    <n v="10842.67"/>
    <n v="8"/>
    <s v="Customs"/>
    <n v="46.36"/>
    <s v="Delayed"/>
    <s v="Pending"/>
    <s v="Standard"/>
    <s v="M. Ahmed"/>
    <s v="North America"/>
    <d v="2025-04-01T00:00:00"/>
  </r>
  <r>
    <s v="SHP00823"/>
    <s v="BK50823"/>
    <d v="2025-03-22T00:00:00"/>
    <d v="2025-03-23T00:00:00"/>
    <d v="2025-04-04T00:00:00"/>
    <s v="IKEA"/>
    <s v="Retail"/>
    <s v="Sweden"/>
    <s v="Shanghai"/>
    <s v="Rotterdam"/>
    <x v="1"/>
    <s v="Monaco Maersk"/>
    <s v="High Cube"/>
    <n v="2"/>
    <s v="Textiles"/>
    <n v="20905.66"/>
    <n v="5275.86"/>
    <n v="1588.5"/>
    <n v="397.39"/>
    <n v="209.06"/>
    <n v="114.88"/>
    <n v="1294.3399999999999"/>
    <n v="12025.63"/>
    <n v="8"/>
    <s v="Labor Strike"/>
    <n v="43.97"/>
    <s v="Delayed"/>
    <s v="Pending"/>
    <s v="Critical"/>
    <s v="M. Ahmed"/>
    <s v="North America"/>
    <d v="2025-03-01T00:00:00"/>
  </r>
  <r>
    <s v="SHP00256"/>
    <s v="BK50256"/>
    <d v="2025-03-19T00:00:00"/>
    <d v="2025-03-23T00:00:00"/>
    <d v="2025-04-13T00:00:00"/>
    <s v="Bosch"/>
    <s v="Manufacturing"/>
    <s v="Germany"/>
    <s v="Rotterdam"/>
    <s v="Shanghai"/>
    <x v="2"/>
    <s v="MSC Gülsün"/>
    <s v="40FT"/>
    <n v="2"/>
    <s v="Auto Parts"/>
    <n v="20948.669999999998"/>
    <n v="5178.97"/>
    <n v="999.8"/>
    <n v="475.7"/>
    <n v="209.49"/>
    <n v="196.16"/>
    <n v="1908.31"/>
    <n v="11980.24"/>
    <n v="0"/>
    <s v="None"/>
    <n v="43.16"/>
    <s v="Completed"/>
    <s v="Pending"/>
    <s v="High"/>
    <s v="M. Ahmed"/>
    <s v="North America"/>
    <d v="2025-03-01T00:00:00"/>
  </r>
  <r>
    <s v="SHP00367"/>
    <s v="BK50367"/>
    <d v="2025-08-09T00:00:00"/>
    <d v="2025-08-10T00:00:00"/>
    <d v="2025-08-23T00:00:00"/>
    <s v="Samsung"/>
    <s v="Electronics"/>
    <s v="South Korea"/>
    <s v="Shanghai"/>
    <s v="Rotterdam"/>
    <x v="1"/>
    <s v="Monaco Maersk"/>
    <s v="High Cube"/>
    <n v="2"/>
    <s v="Chemicals"/>
    <n v="21107.919999999998"/>
    <n v="5665.07"/>
    <n v="1102.3599999999999"/>
    <n v="233.93"/>
    <n v="211.08"/>
    <n v="734.33"/>
    <n v="2162.77"/>
    <n v="10998.38"/>
    <n v="24"/>
    <s v="Mechanical"/>
    <n v="47.21"/>
    <s v="Delayed"/>
    <s v="Pending"/>
    <s v="High"/>
    <s v="R. Mehta"/>
    <s v="Europe"/>
    <d v="2025-08-01T00:00:00"/>
  </r>
  <r>
    <s v="SHP00769"/>
    <s v="BK50769"/>
    <d v="2025-01-19T00:00:00"/>
    <d v="2025-01-23T00:00:00"/>
    <d v="2025-02-10T00:00:00"/>
    <s v="Siemens"/>
    <s v="Engineering"/>
    <s v="Germany"/>
    <s v="Shanghai"/>
    <s v="New York"/>
    <x v="2"/>
    <s v="CMA CGM Jacques Saadé"/>
    <s v="High Cube"/>
    <n v="1"/>
    <s v="Auto Parts"/>
    <n v="21139.23"/>
    <n v="3640.77"/>
    <n v="1521.24"/>
    <n v="281.13"/>
    <n v="211.39"/>
    <n v="141.4"/>
    <n v="2010.04"/>
    <n v="13333.26"/>
    <n v="0"/>
    <s v="None"/>
    <n v="30.34"/>
    <s v="Completed"/>
    <s v="Pending"/>
    <s v="Standard"/>
    <s v="R. Mehta"/>
    <s v="Asia"/>
    <d v="2025-01-01T00:00:00"/>
  </r>
  <r>
    <s v="SHP00049"/>
    <s v="BK50049"/>
    <d v="2025-08-29T00:00:00"/>
    <d v="2025-08-30T00:00:00"/>
    <d v="2025-09-25T00:00:00"/>
    <s v="IKEA"/>
    <s v="Retail"/>
    <s v="Sweden"/>
    <s v="Singapore"/>
    <s v="Rotterdam"/>
    <x v="1"/>
    <s v="Mumbai Maersk"/>
    <s v="High Cube"/>
    <n v="2"/>
    <s v="Furniture"/>
    <n v="21164.45"/>
    <n v="4042.24"/>
    <n v="1253.18"/>
    <n v="455.25"/>
    <n v="211.64"/>
    <n v="130.22999999999999"/>
    <n v="1196.05"/>
    <n v="13875.86"/>
    <n v="48"/>
    <s v="Weather"/>
    <n v="33.69"/>
    <s v="Delayed"/>
    <s v="Paid"/>
    <s v="Standard"/>
    <s v="R. Mehta"/>
    <s v="Asia"/>
    <d v="2025-08-01T00:00:00"/>
  </r>
  <r>
    <s v="SHP00527"/>
    <s v="BK50527"/>
    <d v="2025-04-18T00:00:00"/>
    <d v="2025-04-21T00:00:00"/>
    <d v="2025-05-17T00:00:00"/>
    <s v="Amazon"/>
    <s v="E-commerce"/>
    <s v="USA"/>
    <s v="Colombo"/>
    <s v="Hamburg"/>
    <x v="2"/>
    <s v="Monaco Maersk"/>
    <s v="Reefer"/>
    <n v="2"/>
    <s v="Machinery"/>
    <n v="21528.81"/>
    <n v="3579.86"/>
    <n v="1377.99"/>
    <n v="618.04999999999995"/>
    <n v="215.29"/>
    <n v="820.96"/>
    <n v="646.62"/>
    <n v="14270.04"/>
    <n v="36"/>
    <s v="Customs"/>
    <n v="29.83"/>
    <s v="Delayed"/>
    <s v="Pending"/>
    <s v="High"/>
    <s v="L. Chen"/>
    <s v="North America"/>
    <d v="2025-04-01T00:00:00"/>
  </r>
  <r>
    <s v="SHP00472"/>
    <s v="BK50472"/>
    <d v="2025-02-06T00:00:00"/>
    <d v="2025-02-08T00:00:00"/>
    <d v="2025-03-08T00:00:00"/>
    <s v="Nestlé"/>
    <s v="Food"/>
    <s v="Switzerland"/>
    <s v="Shanghai"/>
    <s v="Rotterdam"/>
    <x v="1"/>
    <s v="CMA CGM Jacques Saadé"/>
    <s v="20FT"/>
    <n v="1"/>
    <s v="Machinery"/>
    <n v="21533.67"/>
    <n v="3886.93"/>
    <n v="1681.82"/>
    <n v="351.63"/>
    <n v="215.34"/>
    <n v="783.64"/>
    <n v="1380.71"/>
    <n v="13233.6"/>
    <n v="0"/>
    <s v="None"/>
    <n v="32.39"/>
    <s v="Completed"/>
    <s v="Pending"/>
    <s v="High"/>
    <s v="R. Mehta"/>
    <s v="North America"/>
    <d v="2025-02-01T00:00:00"/>
  </r>
  <r>
    <s v="SHP00090"/>
    <s v="BK50090"/>
    <d v="2025-01-01T00:00:00"/>
    <d v="2025-01-04T00:00:00"/>
    <d v="2025-01-27T00:00:00"/>
    <s v="Nestlé"/>
    <s v="Food"/>
    <s v="Switzerland"/>
    <s v="Colombo"/>
    <s v="Singapore"/>
    <x v="4"/>
    <s v="OOCL Hong Kong"/>
    <s v="20FT"/>
    <n v="1"/>
    <s v="Chemicals"/>
    <n v="21591.19"/>
    <n v="4173.34"/>
    <n v="1023.26"/>
    <n v="464.09"/>
    <n v="215.91"/>
    <n v="438.15"/>
    <n v="1616.95"/>
    <n v="13659.49"/>
    <n v="0"/>
    <s v="None"/>
    <n v="34.78"/>
    <s v="Completed"/>
    <s v="Paid"/>
    <s v="High"/>
    <s v="R. Mehta"/>
    <s v="North America"/>
    <d v="2025-01-01T00:00:00"/>
  </r>
  <r>
    <s v="SHP00495"/>
    <s v="BK50495"/>
    <d v="2025-01-27T00:00:00"/>
    <d v="2025-01-29T00:00:00"/>
    <d v="2025-02-17T00:00:00"/>
    <s v="LG"/>
    <s v="Electronics"/>
    <s v="South Korea"/>
    <s v="Busan"/>
    <s v="Los Angeles"/>
    <x v="3"/>
    <s v="Mumbai Maersk"/>
    <s v="Reefer"/>
    <n v="1"/>
    <s v="Electronics"/>
    <n v="21660.560000000001"/>
    <n v="4060.24"/>
    <n v="883.29"/>
    <n v="271.95"/>
    <n v="216.61"/>
    <n v="348.7"/>
    <n v="774.5"/>
    <n v="15105.27"/>
    <n v="0"/>
    <s v="None"/>
    <n v="33.840000000000003"/>
    <s v="Completed"/>
    <s v="Paid"/>
    <s v="High"/>
    <s v="J. Smith"/>
    <s v="North America"/>
    <d v="2025-01-01T00:00:00"/>
  </r>
  <r>
    <s v="SHP00193"/>
    <s v="BK50193"/>
    <d v="2025-04-01T00:00:00"/>
    <d v="2025-04-03T00:00:00"/>
    <d v="2025-04-17T00:00:00"/>
    <s v="Reliance"/>
    <s v="Retail"/>
    <s v="India"/>
    <s v="Jebel Ali"/>
    <s v="Nhava Sheva"/>
    <x v="0"/>
    <s v="Ever Ace"/>
    <s v="Reefer"/>
    <n v="2"/>
    <s v="Chemicals"/>
    <n v="21668.61"/>
    <n v="4178.18"/>
    <n v="1414.25"/>
    <n v="256.95"/>
    <n v="216.69"/>
    <n v="210.25"/>
    <n v="2461.4299999999998"/>
    <n v="12930.86"/>
    <n v="24"/>
    <s v="Customs"/>
    <n v="34.82"/>
    <s v="Delayed"/>
    <s v="Paid"/>
    <s v="High"/>
    <s v="R. Mehta"/>
    <s v="North America"/>
    <d v="2025-04-01T00:00:00"/>
  </r>
  <r>
    <s v="SHP00018"/>
    <s v="BK50018"/>
    <d v="2025-03-28T00:00:00"/>
    <d v="2025-03-31T00:00:00"/>
    <d v="2025-04-12T00:00:00"/>
    <s v="Adidas"/>
    <s v="Retail"/>
    <s v="Germany"/>
    <s v="Rotterdam"/>
    <s v="Colombo"/>
    <x v="2"/>
    <s v="CMA CGM Jacques Saadé"/>
    <s v="High Cube"/>
    <n v="2"/>
    <s v="Furniture"/>
    <n v="21713.85"/>
    <n v="5945.2"/>
    <n v="1205.9100000000001"/>
    <n v="302.70999999999998"/>
    <n v="217.14"/>
    <n v="767.97"/>
    <n v="1388.37"/>
    <n v="11886.55"/>
    <n v="36"/>
    <s v="Port Congestion"/>
    <n v="49.54"/>
    <s v="Delayed"/>
    <s v="Pending"/>
    <s v="Standard"/>
    <s v="M. Ahmed"/>
    <s v="Middle East"/>
    <d v="2025-03-01T00:00:00"/>
  </r>
  <r>
    <s v="SHP00685"/>
    <s v="BK50685"/>
    <d v="2025-10-08T00:00:00"/>
    <d v="2025-10-10T00:00:00"/>
    <d v="2025-10-20T00:00:00"/>
    <s v="Siemens"/>
    <s v="Engineering"/>
    <s v="Germany"/>
    <s v="Colombo"/>
    <s v="Singapore"/>
    <x v="4"/>
    <s v="MSC Gülsün"/>
    <s v="20FT"/>
    <n v="2"/>
    <s v="Food"/>
    <n v="21801.23"/>
    <n v="4737.41"/>
    <n v="1499.31"/>
    <n v="515.12"/>
    <n v="218.01"/>
    <n v="792.07"/>
    <n v="537.54999999999995"/>
    <n v="13501.76"/>
    <n v="0"/>
    <s v="None"/>
    <n v="39.479999999999997"/>
    <s v="Completed"/>
    <s v="Paid"/>
    <s v="Critical"/>
    <s v="M. Ahmed"/>
    <s v="North America"/>
    <d v="2025-10-01T00:00:00"/>
  </r>
  <r>
    <s v="SHP00379"/>
    <s v="BK50379"/>
    <d v="2025-10-06T00:00:00"/>
    <d v="2025-10-07T00:00:00"/>
    <d v="2025-11-05T00:00:00"/>
    <s v="Samsung"/>
    <s v="Electronics"/>
    <s v="South Korea"/>
    <s v="Shanghai"/>
    <s v="Rotterdam"/>
    <x v="1"/>
    <s v="Monaco Maersk"/>
    <s v="40FT"/>
    <n v="2"/>
    <s v="Electronics"/>
    <n v="21915.17"/>
    <n v="5197.57"/>
    <n v="1024.18"/>
    <n v="401.22"/>
    <n v="219.15"/>
    <n v="166.79"/>
    <n v="1382.72"/>
    <n v="13523.54"/>
    <n v="24"/>
    <s v="Customs"/>
    <n v="43.31"/>
    <s v="Delayed"/>
    <s v="Paid"/>
    <s v="High"/>
    <s v="L. Chen"/>
    <s v="Middle East"/>
    <d v="2025-10-01T00:00:00"/>
  </r>
  <r>
    <s v="SHP00333"/>
    <s v="BK50333"/>
    <d v="2025-09-08T00:00:00"/>
    <d v="2025-09-11T00:00:00"/>
    <d v="2025-09-22T00:00:00"/>
    <s v="Amazon"/>
    <s v="E-commerce"/>
    <s v="USA"/>
    <s v="Shanghai"/>
    <s v="Jebel Ali"/>
    <x v="2"/>
    <s v="OOCL Hong Kong"/>
    <s v="High Cube"/>
    <n v="1"/>
    <s v="Chemicals"/>
    <n v="22095.77"/>
    <n v="5542.93"/>
    <n v="1120.55"/>
    <n v="577.16999999999996"/>
    <n v="220.96"/>
    <n v="871.47"/>
    <n v="2142.35"/>
    <n v="11620.34"/>
    <n v="0"/>
    <s v="None"/>
    <n v="46.19"/>
    <s v="Completed"/>
    <s v="Pending"/>
    <s v="High"/>
    <s v="R. Mehta"/>
    <s v="Middle East"/>
    <d v="2025-09-01T00:00:00"/>
  </r>
  <r>
    <s v="SHP00565"/>
    <s v="BK50565"/>
    <d v="2025-08-24T00:00:00"/>
    <d v="2025-08-25T00:00:00"/>
    <d v="2025-09-18T00:00:00"/>
    <s v="Siemens"/>
    <s v="Engineering"/>
    <s v="Germany"/>
    <s v="Singapore"/>
    <s v="Busan"/>
    <x v="2"/>
    <s v="Monaco Maersk"/>
    <s v="20FT"/>
    <n v="2"/>
    <s v="Auto Parts"/>
    <n v="22257.08"/>
    <n v="3995.17"/>
    <n v="1456.54"/>
    <n v="604.78"/>
    <n v="222.57"/>
    <n v="625.95000000000005"/>
    <n v="556.5"/>
    <n v="14795.57"/>
    <n v="8"/>
    <s v="Customs"/>
    <n v="33.29"/>
    <s v="Delayed"/>
    <s v="Pending"/>
    <s v="Standard"/>
    <s v="L. Chen"/>
    <s v="Europe"/>
    <d v="2025-08-01T00:00:00"/>
  </r>
  <r>
    <s v="SHP00510"/>
    <s v="BK50510"/>
    <d v="2025-09-08T00:00:00"/>
    <d v="2025-09-09T00:00:00"/>
    <d v="2025-09-21T00:00:00"/>
    <s v="Unilever"/>
    <s v="FMCG"/>
    <s v="UK"/>
    <s v="Colombo"/>
    <s v="Singapore"/>
    <x v="4"/>
    <s v="CMA CGM Jacques Saadé"/>
    <s v="High Cube"/>
    <n v="2"/>
    <s v="Electronics"/>
    <n v="22257.73"/>
    <n v="4818.8100000000004"/>
    <n v="1095.17"/>
    <n v="584.89"/>
    <n v="222.58"/>
    <n v="542.19000000000005"/>
    <n v="1020.64"/>
    <n v="13973.45"/>
    <n v="24"/>
    <s v="Customs"/>
    <n v="40.159999999999997"/>
    <s v="Delayed"/>
    <s v="Paid"/>
    <s v="Critical"/>
    <s v="M. Ahmed"/>
    <s v="Middle East"/>
    <d v="2025-09-01T00:00:00"/>
  </r>
  <r>
    <s v="SHP00548"/>
    <s v="BK50548"/>
    <d v="2025-12-18T00:00:00"/>
    <d v="2025-12-20T00:00:00"/>
    <d v="2026-01-10T00:00:00"/>
    <s v="Pfizer"/>
    <s v="Pharma"/>
    <s v="USA"/>
    <s v="Colombo"/>
    <s v="Hamburg"/>
    <x v="2"/>
    <s v="MSC Gülsün"/>
    <s v="High Cube"/>
    <n v="1"/>
    <s v="Textiles"/>
    <n v="22306.080000000002"/>
    <n v="4340.8100000000004"/>
    <n v="998.44"/>
    <n v="290.45999999999998"/>
    <n v="223.06"/>
    <n v="387.91"/>
    <n v="1590.31"/>
    <n v="14475.09"/>
    <n v="36"/>
    <s v="Labor Strike"/>
    <n v="36.17"/>
    <s v="Delayed"/>
    <s v="Paid"/>
    <s v="Standard"/>
    <s v="J. Smith"/>
    <s v="Middle East"/>
    <d v="2025-12-01T00:00:00"/>
  </r>
  <r>
    <s v="SHP00707"/>
    <s v="BK50707"/>
    <d v="2025-06-14T00:00:00"/>
    <d v="2025-06-16T00:00:00"/>
    <d v="2025-07-02T00:00:00"/>
    <s v="Pfizer"/>
    <s v="Pharma"/>
    <s v="USA"/>
    <s v="Singapore"/>
    <s v="Shanghai"/>
    <x v="2"/>
    <s v="Mary Maersk"/>
    <s v="High Cube"/>
    <n v="1"/>
    <s v="Furniture"/>
    <n v="22379.7"/>
    <n v="5441.39"/>
    <n v="1298.8"/>
    <n v="625.1"/>
    <n v="223.8"/>
    <n v="615.46"/>
    <n v="2214.98"/>
    <n v="11960.17"/>
    <n v="12"/>
    <s v="Mechanical"/>
    <n v="45.34"/>
    <s v="Delayed"/>
    <s v="Paid"/>
    <s v="High"/>
    <s v="M. Ahmed"/>
    <s v="Europe"/>
    <d v="2025-06-01T00:00:00"/>
  </r>
  <r>
    <s v="SHP00093"/>
    <s v="BK50093"/>
    <d v="2025-02-21T00:00:00"/>
    <d v="2025-02-24T00:00:00"/>
    <d v="2025-03-18T00:00:00"/>
    <s v="Unilever"/>
    <s v="FMCG"/>
    <s v="UK"/>
    <s v="Jebel Ali"/>
    <s v="Nhava Sheva"/>
    <x v="0"/>
    <s v="Mumbai Maersk"/>
    <s v="High Cube"/>
    <n v="1"/>
    <s v="Auto Parts"/>
    <n v="22503.47"/>
    <n v="4659.72"/>
    <n v="1671.42"/>
    <n v="290.43"/>
    <n v="225.03"/>
    <n v="406.32"/>
    <n v="1083.5899999999999"/>
    <n v="14166.96"/>
    <n v="4"/>
    <s v="Weather"/>
    <n v="38.83"/>
    <s v="Delayed"/>
    <s v="Paid"/>
    <s v="Critical"/>
    <s v="R. Mehta"/>
    <s v="North America"/>
    <d v="2025-02-01T00:00:00"/>
  </r>
  <r>
    <s v="SHP00726"/>
    <s v="BK50726"/>
    <d v="2025-05-18T00:00:00"/>
    <d v="2025-05-19T00:00:00"/>
    <d v="2025-05-29T00:00:00"/>
    <s v="Amazon"/>
    <s v="E-commerce"/>
    <s v="USA"/>
    <s v="Shanghai"/>
    <s v="Hamburg"/>
    <x v="2"/>
    <s v="MSC Gülsün"/>
    <s v="High Cube"/>
    <n v="1"/>
    <s v="Textiles"/>
    <n v="22529.8"/>
    <n v="4430.43"/>
    <n v="1110.96"/>
    <n v="262.66000000000003"/>
    <n v="225.3"/>
    <n v="716.99"/>
    <n v="2333.8200000000002"/>
    <n v="13449.64"/>
    <n v="8"/>
    <s v="Weather"/>
    <n v="36.92"/>
    <s v="Delayed"/>
    <s v="Pending"/>
    <s v="Standard"/>
    <s v="A. Tan"/>
    <s v="Middle East"/>
    <d v="2025-05-01T00:00:00"/>
  </r>
  <r>
    <s v="SHP00919"/>
    <s v="BK50919"/>
    <d v="2025-04-24T00:00:00"/>
    <d v="2025-04-27T00:00:00"/>
    <d v="2025-05-22T00:00:00"/>
    <s v="Pfizer"/>
    <s v="Pharma"/>
    <s v="USA"/>
    <s v="Jebel Ali"/>
    <s v="Nhava Sheva"/>
    <x v="0"/>
    <s v="Monaco Maersk"/>
    <s v="40FT"/>
    <n v="1"/>
    <s v="Food"/>
    <n v="22870.47"/>
    <n v="4831.84"/>
    <n v="1560.14"/>
    <n v="586.79"/>
    <n v="228.7"/>
    <n v="545.64"/>
    <n v="996.45"/>
    <n v="14120.91"/>
    <n v="0"/>
    <s v="None"/>
    <n v="40.270000000000003"/>
    <s v="Completed"/>
    <s v="Pending"/>
    <s v="High"/>
    <s v="L. Chen"/>
    <s v="North America"/>
    <d v="2025-04-01T00:00:00"/>
  </r>
  <r>
    <s v="SHP00641"/>
    <s v="BK50641"/>
    <d v="2025-11-18T00:00:00"/>
    <d v="2025-11-19T00:00:00"/>
    <d v="2025-12-16T00:00:00"/>
    <s v="Toyota"/>
    <s v="Automotive"/>
    <s v="Japan"/>
    <s v="Busan"/>
    <s v="Los Angeles"/>
    <x v="3"/>
    <s v="OOCL Hong Kong"/>
    <s v="Reefer"/>
    <n v="1"/>
    <s v="Machinery"/>
    <n v="22926.77"/>
    <n v="5392.04"/>
    <n v="1660.26"/>
    <n v="293.10000000000002"/>
    <n v="229.27"/>
    <n v="415.57"/>
    <n v="2253.9"/>
    <n v="12682.63"/>
    <n v="0"/>
    <s v="None"/>
    <n v="44.93"/>
    <s v="Completed"/>
    <s v="Paid"/>
    <s v="High"/>
    <s v="L. Chen"/>
    <s v="Asia"/>
    <d v="2025-11-01T00:00:00"/>
  </r>
  <r>
    <s v="SHP00190"/>
    <s v="BK50190"/>
    <d v="2025-12-19T00:00:00"/>
    <d v="2025-12-20T00:00:00"/>
    <d v="2026-01-11T00:00:00"/>
    <s v="Pfizer"/>
    <s v="Pharma"/>
    <s v="USA"/>
    <s v="Shanghai"/>
    <s v="Rotterdam"/>
    <x v="1"/>
    <s v="CMA CGM Jacques Saadé"/>
    <s v="Reefer"/>
    <n v="1"/>
    <s v="Textiles"/>
    <n v="22936.34"/>
    <n v="4032.74"/>
    <n v="936.07"/>
    <n v="440.44"/>
    <n v="229.36"/>
    <n v="648.55999999999995"/>
    <n v="1343"/>
    <n v="15306.17"/>
    <n v="48"/>
    <s v="Weather"/>
    <n v="33.61"/>
    <s v="Delayed"/>
    <s v="Paid"/>
    <s v="High"/>
    <s v="A. Tan"/>
    <s v="North America"/>
    <d v="2025-12-01T00:00:00"/>
  </r>
  <r>
    <s v="SHP00007"/>
    <s v="BK50007"/>
    <d v="2025-03-26T00:00:00"/>
    <d v="2025-03-30T00:00:00"/>
    <d v="2025-04-26T00:00:00"/>
    <s v="Nestlé"/>
    <s v="Food"/>
    <s v="Switzerland"/>
    <s v="Jebel Ali"/>
    <s v="New York"/>
    <x v="2"/>
    <s v="CMA CGM Jacques Saadé"/>
    <s v="40FT"/>
    <n v="2"/>
    <s v="Electronics"/>
    <n v="23004.7"/>
    <n v="6214.21"/>
    <n v="1594.33"/>
    <n v="564.61"/>
    <n v="230.05"/>
    <n v="522.48"/>
    <n v="1800.25"/>
    <n v="12078.77"/>
    <n v="0"/>
    <s v="None"/>
    <n v="51.79"/>
    <s v="Completed"/>
    <s v="Pending"/>
    <s v="Critical"/>
    <s v="A. Tan"/>
    <s v="Asia"/>
    <d v="2025-03-01T00:00:00"/>
  </r>
  <r>
    <s v="SHP00153"/>
    <s v="BK50153"/>
    <d v="2025-10-17T00:00:00"/>
    <d v="2025-10-19T00:00:00"/>
    <d v="2025-11-11T00:00:00"/>
    <s v="Pfizer"/>
    <s v="Pharma"/>
    <s v="USA"/>
    <s v="Shanghai"/>
    <s v="Hamburg"/>
    <x v="2"/>
    <s v="Ever Ace"/>
    <s v="40FT"/>
    <n v="1"/>
    <s v="Auto Parts"/>
    <n v="23121.05"/>
    <n v="4979.18"/>
    <n v="1761.12"/>
    <n v="651.42999999999995"/>
    <n v="231.21"/>
    <n v="256.01"/>
    <n v="2188.0500000000002"/>
    <n v="13054.05"/>
    <n v="36"/>
    <s v="Customs"/>
    <n v="41.49"/>
    <s v="Delayed"/>
    <s v="Pending"/>
    <s v="Standard"/>
    <s v="J. Smith"/>
    <s v="North America"/>
    <d v="2025-10-01T00:00:00"/>
  </r>
  <r>
    <s v="SHP00744"/>
    <s v="BK50744"/>
    <d v="2025-11-21T00:00:00"/>
    <d v="2025-11-24T00:00:00"/>
    <d v="2025-12-04T00:00:00"/>
    <s v="LG"/>
    <s v="Electronics"/>
    <s v="South Korea"/>
    <s v="Nhava Sheva"/>
    <s v="New York"/>
    <x v="2"/>
    <s v="Mary Maersk"/>
    <s v="20FT"/>
    <n v="1"/>
    <s v="Auto Parts"/>
    <n v="23148.720000000001"/>
    <n v="6833.19"/>
    <n v="1341.31"/>
    <n v="634.09"/>
    <n v="231.49"/>
    <n v="490.29"/>
    <n v="2104.25"/>
    <n v="11514.1"/>
    <n v="12"/>
    <s v="Weather"/>
    <n v="56.94"/>
    <s v="Delayed"/>
    <s v="Paid"/>
    <s v="Standard"/>
    <s v="A. Tan"/>
    <s v="Middle East"/>
    <d v="2025-11-01T00:00:00"/>
  </r>
  <r>
    <s v="SHP00967"/>
    <s v="BK50967"/>
    <d v="2025-10-27T00:00:00"/>
    <d v="2025-10-28T00:00:00"/>
    <d v="2025-11-20T00:00:00"/>
    <s v="IKEA"/>
    <s v="Retail"/>
    <s v="Sweden"/>
    <s v="Singapore"/>
    <s v="Nhava Sheva"/>
    <x v="2"/>
    <s v="OOCL Hong Kong"/>
    <s v="Reefer"/>
    <n v="2"/>
    <s v="Furniture"/>
    <n v="23161.88"/>
    <n v="5754.79"/>
    <n v="1509.7"/>
    <n v="452.81"/>
    <n v="231.62"/>
    <n v="294.14999999999998"/>
    <n v="980.28"/>
    <n v="13938.53"/>
    <n v="24"/>
    <s v="Labor Strike"/>
    <n v="47.96"/>
    <s v="Delayed"/>
    <s v="Paid"/>
    <s v="Critical"/>
    <s v="A. Tan"/>
    <s v="Middle East"/>
    <d v="2025-10-01T00:00:00"/>
  </r>
  <r>
    <s v="SHP00509"/>
    <s v="BK50509"/>
    <d v="2025-01-17T00:00:00"/>
    <d v="2025-01-19T00:00:00"/>
    <d v="2025-02-13T00:00:00"/>
    <s v="Unilever"/>
    <s v="FMCG"/>
    <s v="UK"/>
    <s v="Busan"/>
    <s v="Los Angeles"/>
    <x v="3"/>
    <s v="Ever Ace"/>
    <s v="Reefer"/>
    <n v="2"/>
    <s v="Auto Parts"/>
    <n v="23166.080000000002"/>
    <n v="4245.45"/>
    <n v="1537.53"/>
    <n v="575.41999999999996"/>
    <n v="231.66"/>
    <n v="162.56"/>
    <n v="574.64"/>
    <n v="15838.82"/>
    <n v="0"/>
    <s v="None"/>
    <n v="35.380000000000003"/>
    <s v="Completed"/>
    <s v="Paid"/>
    <s v="Critical"/>
    <s v="J. Smith"/>
    <s v="North America"/>
    <d v="2025-01-01T00:00:00"/>
  </r>
  <r>
    <s v="SHP00401"/>
    <s v="BK50401"/>
    <d v="2025-04-22T00:00:00"/>
    <d v="2025-04-23T00:00:00"/>
    <d v="2025-05-12T00:00:00"/>
    <s v="LG"/>
    <s v="Electronics"/>
    <s v="South Korea"/>
    <s v="Busan"/>
    <s v="Nhava Sheva"/>
    <x v="2"/>
    <s v="Ever Ace"/>
    <s v="40FT"/>
    <n v="1"/>
    <s v="Textiles"/>
    <n v="23268.74"/>
    <n v="6847.1"/>
    <n v="1410.76"/>
    <n v="696.78"/>
    <n v="232.69"/>
    <n v="628.20000000000005"/>
    <n v="2276.4499999999998"/>
    <n v="11176.76"/>
    <n v="8"/>
    <s v="Mechanical"/>
    <n v="57.06"/>
    <s v="Delayed"/>
    <s v="Paid"/>
    <s v="Standard"/>
    <s v="A. Tan"/>
    <s v="Asia"/>
    <d v="2025-04-01T00:00:00"/>
  </r>
  <r>
    <s v="SHP00976"/>
    <s v="BK50976"/>
    <d v="2025-12-16T00:00:00"/>
    <d v="2025-12-19T00:00:00"/>
    <d v="2026-01-13T00:00:00"/>
    <s v="IKEA"/>
    <s v="Retail"/>
    <s v="Sweden"/>
    <s v="Jebel Ali"/>
    <s v="Nhava Sheva"/>
    <x v="0"/>
    <s v="Ever Ace"/>
    <s v="20FT"/>
    <n v="1"/>
    <s v="Chemicals"/>
    <n v="23338.11"/>
    <n v="4890.66"/>
    <n v="1203.44"/>
    <n v="457.66"/>
    <n v="233.38"/>
    <n v="492.23"/>
    <n v="942.27"/>
    <n v="15118.47"/>
    <n v="0"/>
    <s v="None"/>
    <n v="40.76"/>
    <s v="Completed"/>
    <s v="Paid"/>
    <s v="Critical"/>
    <s v="R. Mehta"/>
    <s v="North America"/>
    <d v="2025-12-01T00:00:00"/>
  </r>
  <r>
    <s v="SHP00719"/>
    <s v="BK50719"/>
    <d v="2025-08-05T00:00:00"/>
    <d v="2025-08-07T00:00:00"/>
    <d v="2025-09-03T00:00:00"/>
    <s v="Unilever"/>
    <s v="FMCG"/>
    <s v="UK"/>
    <s v="Hamburg"/>
    <s v="Jebel Ali"/>
    <x v="2"/>
    <s v="OOCL Hong Kong"/>
    <s v="20FT"/>
    <n v="2"/>
    <s v="Electronics"/>
    <n v="23379.03"/>
    <n v="6401.14"/>
    <n v="984.33"/>
    <n v="317.10000000000002"/>
    <n v="233.79"/>
    <n v="845.61"/>
    <n v="2062.17"/>
    <n v="12534.89"/>
    <n v="8"/>
    <s v="Weather"/>
    <n v="53.34"/>
    <s v="Delayed"/>
    <s v="Pending"/>
    <s v="Critical"/>
    <s v="R. Mehta"/>
    <s v="Middle East"/>
    <d v="2025-08-01T00:00:00"/>
  </r>
  <r>
    <s v="SHP00402"/>
    <s v="BK50402"/>
    <d v="2025-11-23T00:00:00"/>
    <d v="2025-11-25T00:00:00"/>
    <d v="2025-12-21T00:00:00"/>
    <s v="Nestlé"/>
    <s v="Food"/>
    <s v="Switzerland"/>
    <s v="Colombo"/>
    <s v="Singapore"/>
    <x v="4"/>
    <s v="OOCL Hong Kong"/>
    <s v="High Cube"/>
    <n v="2"/>
    <s v="Chemicals"/>
    <n v="23513.66"/>
    <n v="4530.88"/>
    <n v="1005.1"/>
    <n v="547.03"/>
    <n v="235.14"/>
    <n v="436.13"/>
    <n v="2216.66"/>
    <n v="14542.72"/>
    <n v="0"/>
    <s v="None"/>
    <n v="37.76"/>
    <s v="Completed"/>
    <s v="Paid"/>
    <s v="High"/>
    <s v="M. Ahmed"/>
    <s v="Asia"/>
    <d v="2025-11-01T00:00:00"/>
  </r>
  <r>
    <s v="SHP00570"/>
    <s v="BK50570"/>
    <d v="2025-01-26T00:00:00"/>
    <d v="2025-01-28T00:00:00"/>
    <d v="2025-02-11T00:00:00"/>
    <s v="Pfizer"/>
    <s v="Pharma"/>
    <s v="USA"/>
    <s v="Singapore"/>
    <s v="Rotterdam"/>
    <x v="1"/>
    <s v="Mary Maersk"/>
    <s v="20FT"/>
    <n v="1"/>
    <s v="Food"/>
    <n v="23516.73"/>
    <n v="6036.28"/>
    <n v="1175.01"/>
    <n v="382.58"/>
    <n v="235.17"/>
    <n v="373.25"/>
    <n v="2137.46"/>
    <n v="13176.98"/>
    <n v="0"/>
    <s v="None"/>
    <n v="50.3"/>
    <s v="Completed"/>
    <s v="Paid"/>
    <s v="Critical"/>
    <s v="J. Smith"/>
    <s v="Asia"/>
    <d v="2025-01-01T00:00:00"/>
  </r>
  <r>
    <s v="SHP00400"/>
    <s v="BK50400"/>
    <d v="2025-04-15T00:00:00"/>
    <d v="2025-04-18T00:00:00"/>
    <d v="2025-05-14T00:00:00"/>
    <s v="Adidas"/>
    <s v="Retail"/>
    <s v="Germany"/>
    <s v="Busan"/>
    <s v="Los Angeles"/>
    <x v="3"/>
    <s v="Mumbai Maersk"/>
    <s v="40FT"/>
    <n v="1"/>
    <s v="Textiles"/>
    <n v="23527.24"/>
    <n v="5536.14"/>
    <n v="1170.17"/>
    <n v="347.68"/>
    <n v="235.27"/>
    <n v="788.11"/>
    <n v="1431.94"/>
    <n v="14017.93"/>
    <n v="0"/>
    <s v="None"/>
    <n v="46.13"/>
    <s v="Completed"/>
    <s v="Pending"/>
    <s v="Critical"/>
    <s v="A. Tan"/>
    <s v="Europe"/>
    <d v="2025-04-01T00:00:00"/>
  </r>
  <r>
    <s v="SHP00066"/>
    <s v="BK50066"/>
    <d v="2025-08-16T00:00:00"/>
    <d v="2025-08-17T00:00:00"/>
    <d v="2025-09-10T00:00:00"/>
    <s v="IKEA"/>
    <s v="Retail"/>
    <s v="Sweden"/>
    <s v="Busan"/>
    <s v="Los Angeles"/>
    <x v="3"/>
    <s v="MSC Gülsün"/>
    <s v="High Cube"/>
    <n v="1"/>
    <s v="Textiles"/>
    <n v="23576.99"/>
    <n v="5585.4"/>
    <n v="1525.39"/>
    <n v="643.13"/>
    <n v="235.77"/>
    <n v="182.25"/>
    <n v="1084.6600000000001"/>
    <n v="14320.39"/>
    <n v="0"/>
    <s v="None"/>
    <n v="46.54"/>
    <s v="Completed"/>
    <s v="Paid"/>
    <s v="High"/>
    <s v="J. Smith"/>
    <s v="Europe"/>
    <d v="2025-08-01T00:00:00"/>
  </r>
  <r>
    <s v="SHP00314"/>
    <s v="BK50314"/>
    <d v="2025-06-22T00:00:00"/>
    <d v="2025-06-24T00:00:00"/>
    <d v="2025-07-22T00:00:00"/>
    <s v="Unilever"/>
    <s v="FMCG"/>
    <s v="UK"/>
    <s v="Busan"/>
    <s v="Los Angeles"/>
    <x v="3"/>
    <s v="Ever Ace"/>
    <s v="20FT"/>
    <n v="1"/>
    <s v="Chemicals"/>
    <n v="23599.05"/>
    <n v="4157.3900000000003"/>
    <n v="1667.75"/>
    <n v="443.87"/>
    <n v="235.99"/>
    <n v="804.91"/>
    <n v="2298"/>
    <n v="13991.14"/>
    <n v="0"/>
    <s v="None"/>
    <n v="34.64"/>
    <s v="Completed"/>
    <s v="Pending"/>
    <s v="Critical"/>
    <s v="J. Smith"/>
    <s v="North America"/>
    <d v="2025-06-01T00:00:00"/>
  </r>
  <r>
    <s v="SHP00512"/>
    <s v="BK50512"/>
    <d v="2025-05-22T00:00:00"/>
    <d v="2025-05-24T00:00:00"/>
    <d v="2025-06-20T00:00:00"/>
    <s v="Unilever"/>
    <s v="FMCG"/>
    <s v="UK"/>
    <s v="Shanghai"/>
    <s v="Rotterdam"/>
    <x v="1"/>
    <s v="Mumbai Maersk"/>
    <s v="40FT"/>
    <n v="1"/>
    <s v="Electronics"/>
    <n v="23631.03"/>
    <n v="6567.62"/>
    <n v="1603.16"/>
    <n v="333.37"/>
    <n v="236.31"/>
    <n v="374.09"/>
    <n v="1037.1199999999999"/>
    <n v="13479.36"/>
    <n v="48"/>
    <s v="Port Congestion"/>
    <n v="54.73"/>
    <s v="Delayed"/>
    <s v="Paid"/>
    <s v="Standard"/>
    <s v="R. Mehta"/>
    <s v="North America"/>
    <d v="2025-05-01T00:00:00"/>
  </r>
  <r>
    <s v="SHP00391"/>
    <s v="BK50391"/>
    <d v="2025-05-23T00:00:00"/>
    <d v="2025-05-25T00:00:00"/>
    <d v="2025-06-06T00:00:00"/>
    <s v="Unilever"/>
    <s v="FMCG"/>
    <s v="UK"/>
    <s v="Singapore"/>
    <s v="New York"/>
    <x v="2"/>
    <s v="Mumbai Maersk"/>
    <s v="20FT"/>
    <n v="1"/>
    <s v="Auto Parts"/>
    <n v="23834.57"/>
    <n v="6417.03"/>
    <n v="1838.16"/>
    <n v="595.65"/>
    <n v="238.35"/>
    <n v="205.67"/>
    <n v="1766.65"/>
    <n v="12773.06"/>
    <n v="12"/>
    <s v="Weather"/>
    <n v="53.48"/>
    <s v="Delayed"/>
    <s v="Pending"/>
    <s v="Standard"/>
    <s v="R. Mehta"/>
    <s v="Europe"/>
    <d v="2025-05-01T00:00:00"/>
  </r>
  <r>
    <s v="SHP00388"/>
    <s v="BK50388"/>
    <d v="2025-04-19T00:00:00"/>
    <d v="2025-04-21T00:00:00"/>
    <d v="2025-05-02T00:00:00"/>
    <s v="Samsung"/>
    <s v="Electronics"/>
    <s v="South Korea"/>
    <s v="Rotterdam"/>
    <s v="Busan"/>
    <x v="2"/>
    <s v="Mumbai Maersk"/>
    <s v="40FT"/>
    <n v="1"/>
    <s v="Electronics"/>
    <n v="24096.05"/>
    <n v="7043.33"/>
    <n v="1003.2"/>
    <n v="671.53"/>
    <n v="240.96"/>
    <n v="493.6"/>
    <n v="381.6"/>
    <n v="14261.83"/>
    <n v="4"/>
    <s v="Customs"/>
    <n v="58.69"/>
    <s v="Delayed"/>
    <s v="Paid"/>
    <s v="Standard"/>
    <s v="J. Smith"/>
    <s v="North America"/>
    <d v="2025-04-01T00:00:00"/>
  </r>
  <r>
    <s v="SHP00385"/>
    <s v="BK50385"/>
    <d v="2025-04-04T00:00:00"/>
    <d v="2025-04-07T00:00:00"/>
    <d v="2025-04-27T00:00:00"/>
    <s v="Toyota"/>
    <s v="Automotive"/>
    <s v="Japan"/>
    <s v="Jebel Ali"/>
    <s v="Nhava Sheva"/>
    <x v="0"/>
    <s v="Ever Ace"/>
    <s v="20FT"/>
    <n v="1"/>
    <s v="Electronics"/>
    <n v="24153.46"/>
    <n v="6134.2"/>
    <n v="1101.9100000000001"/>
    <n v="679.7"/>
    <n v="241.53"/>
    <n v="708.97"/>
    <n v="2318.77"/>
    <n v="12968.38"/>
    <n v="0"/>
    <s v="None"/>
    <n v="51.12"/>
    <s v="Completed"/>
    <s v="Paid"/>
    <s v="Standard"/>
    <s v="L. Chen"/>
    <s v="Middle East"/>
    <d v="2025-04-01T00:00:00"/>
  </r>
  <r>
    <s v="SHP00027"/>
    <s v="BK50027"/>
    <d v="2025-08-03T00:00:00"/>
    <d v="2025-08-05T00:00:00"/>
    <d v="2025-08-30T00:00:00"/>
    <s v="Samsung"/>
    <s v="Electronics"/>
    <s v="South Korea"/>
    <s v="Shanghai"/>
    <s v="Rotterdam"/>
    <x v="1"/>
    <s v="Ever Ace"/>
    <s v="40FT"/>
    <n v="1"/>
    <s v="Food"/>
    <n v="24286.98"/>
    <n v="5524.66"/>
    <n v="1068.28"/>
    <n v="353.86"/>
    <n v="242.87"/>
    <n v="382.18"/>
    <n v="364.25"/>
    <n v="16350.88"/>
    <n v="0"/>
    <s v="None"/>
    <n v="46.04"/>
    <s v="Completed"/>
    <s v="Pending"/>
    <s v="High"/>
    <s v="J. Smith"/>
    <s v="Europe"/>
    <d v="2025-08-01T00:00:00"/>
  </r>
  <r>
    <s v="SHP00725"/>
    <s v="BK50725"/>
    <d v="2025-01-03T00:00:00"/>
    <d v="2025-01-04T00:00:00"/>
    <d v="2025-01-25T00:00:00"/>
    <s v="Toyota"/>
    <s v="Automotive"/>
    <s v="Japan"/>
    <s v="Nhava Sheva"/>
    <s v="Colombo"/>
    <x v="2"/>
    <s v="OOCL Hong Kong"/>
    <s v="40FT"/>
    <n v="2"/>
    <s v="Textiles"/>
    <n v="24381.03"/>
    <n v="4792.7299999999996"/>
    <n v="1231.07"/>
    <n v="530.4"/>
    <n v="243.81"/>
    <n v="244.49"/>
    <n v="2081.11"/>
    <n v="15257.42"/>
    <n v="36"/>
    <s v="Customs"/>
    <n v="39.94"/>
    <s v="Delayed"/>
    <s v="Pending"/>
    <s v="Critical"/>
    <s v="J. Smith"/>
    <s v="Middle East"/>
    <d v="2025-01-01T00:00:00"/>
  </r>
  <r>
    <s v="SHP00755"/>
    <s v="BK50755"/>
    <d v="2025-09-01T00:00:00"/>
    <d v="2025-09-04T00:00:00"/>
    <d v="2025-09-29T00:00:00"/>
    <s v="Toyota"/>
    <s v="Automotive"/>
    <s v="Japan"/>
    <s v="New York"/>
    <s v="Hamburg"/>
    <x v="2"/>
    <s v="Madrid Maersk"/>
    <s v="20FT"/>
    <n v="4"/>
    <s v="Textiles"/>
    <n v="24478.54"/>
    <n v="6126.96"/>
    <n v="1687.99"/>
    <n v="319.38"/>
    <n v="244.79"/>
    <n v="626.63"/>
    <n v="1660.38"/>
    <n v="13812.41"/>
    <n v="0"/>
    <s v="None"/>
    <n v="51.06"/>
    <s v="Completed"/>
    <s v="Pending"/>
    <s v="High"/>
    <s v="L. Chen"/>
    <s v="Middle East"/>
    <d v="2025-09-01T00:00:00"/>
  </r>
  <r>
    <s v="SHP00096"/>
    <s v="BK50096"/>
    <d v="2025-09-12T00:00:00"/>
    <d v="2025-09-14T00:00:00"/>
    <d v="2025-09-29T00:00:00"/>
    <s v="Nestlé"/>
    <s v="Food"/>
    <s v="Switzerland"/>
    <s v="Busan"/>
    <s v="Los Angeles"/>
    <x v="3"/>
    <s v="Monaco Maersk"/>
    <s v="High Cube"/>
    <n v="2"/>
    <s v="Food"/>
    <n v="24510.37"/>
    <n v="5922.21"/>
    <n v="1875.19"/>
    <n v="366.96"/>
    <n v="245.1"/>
    <n v="543.51"/>
    <n v="1228.21"/>
    <n v="14329.19"/>
    <n v="12"/>
    <s v="Customs"/>
    <n v="49.35"/>
    <s v="Delayed"/>
    <s v="Paid"/>
    <s v="High"/>
    <s v="R. Mehta"/>
    <s v="Europe"/>
    <d v="2025-09-01T00:00:00"/>
  </r>
  <r>
    <s v="SHP00251"/>
    <s v="BK50251"/>
    <d v="2025-08-13T00:00:00"/>
    <d v="2025-08-14T00:00:00"/>
    <d v="2025-08-30T00:00:00"/>
    <s v="Pfizer"/>
    <s v="Pharma"/>
    <s v="USA"/>
    <s v="Shanghai"/>
    <s v="Nhava Sheva"/>
    <x v="2"/>
    <s v="Mumbai Maersk"/>
    <s v="40FT"/>
    <n v="4"/>
    <s v="Food"/>
    <n v="24755"/>
    <n v="5210.1000000000004"/>
    <n v="1004.35"/>
    <n v="712.95"/>
    <n v="247.55"/>
    <n v="152.75"/>
    <n v="1972.75"/>
    <n v="15454.55"/>
    <n v="48"/>
    <s v="Weather"/>
    <n v="43.42"/>
    <s v="Delayed"/>
    <s v="Pending"/>
    <s v="Critical"/>
    <s v="L. Chen"/>
    <s v="Middle East"/>
    <d v="2025-08-01T00:00:00"/>
  </r>
  <r>
    <s v="SHP00945"/>
    <s v="BK50945"/>
    <d v="2025-06-12T00:00:00"/>
    <d v="2025-06-16T00:00:00"/>
    <d v="2025-07-08T00:00:00"/>
    <s v="Samsung"/>
    <s v="Electronics"/>
    <s v="South Korea"/>
    <s v="Singapore"/>
    <s v="Singapore"/>
    <x v="2"/>
    <s v="OOCL Hong Kong"/>
    <s v="High Cube"/>
    <n v="2"/>
    <s v="Food"/>
    <n v="24818.91"/>
    <n v="5922.09"/>
    <n v="1425.31"/>
    <n v="293.99"/>
    <n v="248.19"/>
    <n v="228.68"/>
    <n v="1167.95"/>
    <n v="15532.7"/>
    <n v="0"/>
    <s v="None"/>
    <n v="49.35"/>
    <s v="Completed"/>
    <s v="Paid"/>
    <s v="Critical"/>
    <s v="L. Chen"/>
    <s v="Asia"/>
    <d v="2025-06-01T00:00:00"/>
  </r>
  <r>
    <s v="SHP00795"/>
    <s v="BK50795"/>
    <d v="2025-01-17T00:00:00"/>
    <d v="2025-01-19T00:00:00"/>
    <d v="2025-02-15T00:00:00"/>
    <s v="Reliance"/>
    <s v="Retail"/>
    <s v="India"/>
    <s v="Singapore"/>
    <s v="Rotterdam"/>
    <x v="1"/>
    <s v="OOCL Hong Kong"/>
    <s v="High Cube"/>
    <n v="2"/>
    <s v="Furniture"/>
    <n v="24889.05"/>
    <n v="7131.84"/>
    <n v="1501.18"/>
    <n v="718.73"/>
    <n v="248.89"/>
    <n v="687.47"/>
    <n v="2282.23"/>
    <n v="12318.71"/>
    <n v="48"/>
    <s v="Mechanical"/>
    <n v="59.43"/>
    <s v="Delayed"/>
    <s v="Paid"/>
    <s v="High"/>
    <s v="L. Chen"/>
    <s v="Europe"/>
    <d v="2025-01-01T00:00:00"/>
  </r>
  <r>
    <s v="SHP00443"/>
    <s v="BK50443"/>
    <d v="2025-08-29T00:00:00"/>
    <d v="2025-09-02T00:00:00"/>
    <d v="2025-09-21T00:00:00"/>
    <s v="Amazon"/>
    <s v="E-commerce"/>
    <s v="USA"/>
    <s v="Colombo"/>
    <s v="Jebel Ali"/>
    <x v="2"/>
    <s v="Madrid Maersk"/>
    <s v="20FT"/>
    <n v="2"/>
    <s v="Textiles"/>
    <n v="24936.38"/>
    <n v="5893.77"/>
    <n v="1869.74"/>
    <n v="608.38"/>
    <n v="249.36"/>
    <n v="633.12"/>
    <n v="2467.88"/>
    <n v="13214.13"/>
    <n v="24"/>
    <s v="Port Congestion"/>
    <n v="49.11"/>
    <s v="Delayed"/>
    <s v="Paid"/>
    <s v="Standard"/>
    <s v="J. Smith"/>
    <s v="Asia"/>
    <d v="2025-08-01T00:00:00"/>
  </r>
  <r>
    <s v="SHP00452"/>
    <s v="BK50452"/>
    <d v="2025-08-12T00:00:00"/>
    <d v="2025-08-15T00:00:00"/>
    <d v="2025-08-31T00:00:00"/>
    <s v="Reliance"/>
    <s v="Retail"/>
    <s v="India"/>
    <s v="Busan"/>
    <s v="Los Angeles"/>
    <x v="3"/>
    <s v="MSC Gülsün"/>
    <s v="High Cube"/>
    <n v="1"/>
    <s v="Electronics"/>
    <n v="25573.08"/>
    <n v="6931.01"/>
    <n v="1144.4100000000001"/>
    <n v="392.91"/>
    <n v="255.73"/>
    <n v="559.74"/>
    <n v="887.28"/>
    <n v="15402"/>
    <n v="36"/>
    <s v="Labor Strike"/>
    <n v="57.76"/>
    <s v="Delayed"/>
    <s v="Paid"/>
    <s v="Critical"/>
    <s v="J. Smith"/>
    <s v="Asia"/>
    <d v="2025-08-01T00:00:00"/>
  </r>
  <r>
    <s v="SHP00357"/>
    <s v="BK50357"/>
    <d v="2025-12-17T00:00:00"/>
    <d v="2025-12-21T00:00:00"/>
    <d v="2026-01-12T00:00:00"/>
    <s v="Reliance"/>
    <s v="Retail"/>
    <s v="India"/>
    <s v="Shanghai"/>
    <s v="Rotterdam"/>
    <x v="1"/>
    <s v="CMA CGM Jacques Saadé"/>
    <s v="40FT"/>
    <n v="2"/>
    <s v="Food"/>
    <n v="25703.64"/>
    <n v="7375.15"/>
    <n v="1711.99"/>
    <n v="371.39"/>
    <n v="257.04000000000002"/>
    <n v="527.14"/>
    <n v="433.63"/>
    <n v="15027.3"/>
    <n v="12"/>
    <s v="Labor Strike"/>
    <n v="61.46"/>
    <s v="Delayed"/>
    <s v="Pending"/>
    <s v="Standard"/>
    <s v="J. Smith"/>
    <s v="Middle East"/>
    <d v="2025-12-01T00:00:00"/>
  </r>
  <r>
    <s v="SHP00893"/>
    <s v="BK50893"/>
    <d v="2025-03-01T00:00:00"/>
    <d v="2025-03-03T00:00:00"/>
    <d v="2025-03-30T00:00:00"/>
    <s v="Pfizer"/>
    <s v="Pharma"/>
    <s v="USA"/>
    <s v="Shanghai"/>
    <s v="Rotterdam"/>
    <x v="1"/>
    <s v="Mary Maersk"/>
    <s v="Reefer"/>
    <n v="2"/>
    <s v="Food"/>
    <n v="25796.73"/>
    <n v="6825.72"/>
    <n v="1416.73"/>
    <n v="400.59"/>
    <n v="257.97000000000003"/>
    <n v="115.16"/>
    <n v="1571.09"/>
    <n v="15209.47"/>
    <n v="8"/>
    <s v="Port Congestion"/>
    <n v="56.88"/>
    <s v="Delayed"/>
    <s v="Pending"/>
    <s v="High"/>
    <s v="J. Smith"/>
    <s v="Europe"/>
    <d v="2025-03-01T00:00:00"/>
  </r>
  <r>
    <s v="SHP00310"/>
    <s v="BK50310"/>
    <d v="2025-05-17T00:00:00"/>
    <d v="2025-05-19T00:00:00"/>
    <d v="2025-06-13T00:00:00"/>
    <s v="Unilever"/>
    <s v="FMCG"/>
    <s v="UK"/>
    <s v="Colombo"/>
    <s v="Singapore"/>
    <x v="4"/>
    <s v="Mumbai Maersk"/>
    <s v="20FT"/>
    <n v="1"/>
    <s v="Machinery"/>
    <n v="25811.18"/>
    <n v="5286.35"/>
    <n v="1789.56"/>
    <n v="264.11"/>
    <n v="258.11"/>
    <n v="683.25"/>
    <n v="1564.6"/>
    <n v="15965.2"/>
    <n v="8"/>
    <s v="Labor Strike"/>
    <n v="44.05"/>
    <s v="Delayed"/>
    <s v="Pending"/>
    <s v="Standard"/>
    <s v="J. Smith"/>
    <s v="Asia"/>
    <d v="2025-05-01T00:00:00"/>
  </r>
  <r>
    <s v="SHP00060"/>
    <s v="BK50060"/>
    <d v="2025-12-18T00:00:00"/>
    <d v="2025-12-21T00:00:00"/>
    <d v="2026-01-08T00:00:00"/>
    <s v="LG"/>
    <s v="Electronics"/>
    <s v="South Korea"/>
    <s v="Busan"/>
    <s v="Los Angeles"/>
    <x v="3"/>
    <s v="Ever Ace"/>
    <s v="High Cube"/>
    <n v="2"/>
    <s v="Machinery"/>
    <n v="25988.73"/>
    <n v="7709.04"/>
    <n v="1214.05"/>
    <n v="706.44"/>
    <n v="259.89"/>
    <n v="311.26"/>
    <n v="2109.9899999999998"/>
    <n v="13678.06"/>
    <n v="0"/>
    <s v="None"/>
    <n v="64.239999999999995"/>
    <s v="Completed"/>
    <s v="Paid"/>
    <s v="High"/>
    <s v="L. Chen"/>
    <s v="Middle East"/>
    <d v="2025-12-01T00:00:00"/>
  </r>
  <r>
    <s v="SHP00189"/>
    <s v="BK50189"/>
    <d v="2025-07-08T00:00:00"/>
    <d v="2025-07-09T00:00:00"/>
    <d v="2025-08-03T00:00:00"/>
    <s v="Nestlé"/>
    <s v="Food"/>
    <s v="Switzerland"/>
    <s v="Busan"/>
    <s v="Los Angeles"/>
    <x v="3"/>
    <s v="Mumbai Maersk"/>
    <s v="20FT"/>
    <n v="1"/>
    <s v="Electronics"/>
    <n v="26013.02"/>
    <n v="7347.59"/>
    <n v="1873.39"/>
    <n v="495.72"/>
    <n v="260.13"/>
    <n v="498.49"/>
    <n v="1225.1199999999999"/>
    <n v="14312.58"/>
    <n v="0"/>
    <s v="None"/>
    <n v="61.23"/>
    <s v="Completed"/>
    <s v="Pending"/>
    <s v="Critical"/>
    <s v="A. Tan"/>
    <s v="Europe"/>
    <d v="2025-07-01T00:00:00"/>
  </r>
  <r>
    <s v="SHP00606"/>
    <s v="BK50606"/>
    <d v="2025-06-30T00:00:00"/>
    <d v="2025-07-01T00:00:00"/>
    <d v="2025-07-27T00:00:00"/>
    <s v="Bosch"/>
    <s v="Manufacturing"/>
    <s v="Germany"/>
    <s v="Colombo"/>
    <s v="Singapore"/>
    <x v="4"/>
    <s v="OOCL Hong Kong"/>
    <s v="High Cube"/>
    <n v="4"/>
    <s v="Electronics"/>
    <n v="26042.13"/>
    <n v="5266.96"/>
    <n v="1240.3399999999999"/>
    <n v="725.8"/>
    <n v="260.42"/>
    <n v="229.73"/>
    <n v="1064.3399999999999"/>
    <n v="17254.54"/>
    <n v="24"/>
    <s v="Labor Strike"/>
    <n v="43.89"/>
    <s v="Delayed"/>
    <s v="Paid"/>
    <s v="High"/>
    <s v="J. Smith"/>
    <s v="Europe"/>
    <d v="2025-06-01T00:00:00"/>
  </r>
  <r>
    <s v="SHP00262"/>
    <s v="BK50262"/>
    <d v="2025-10-24T00:00:00"/>
    <d v="2025-10-28T00:00:00"/>
    <d v="2025-11-10T00:00:00"/>
    <s v="Bosch"/>
    <s v="Manufacturing"/>
    <s v="Germany"/>
    <s v="Jebel Ali"/>
    <s v="Nhava Sheva"/>
    <x v="0"/>
    <s v="Madrid Maersk"/>
    <s v="40FT"/>
    <n v="2"/>
    <s v="Electronics"/>
    <n v="26048.14"/>
    <n v="6434.89"/>
    <n v="1845.9"/>
    <n v="720.25"/>
    <n v="260.48"/>
    <n v="291.92"/>
    <n v="1796.4"/>
    <n v="14698.3"/>
    <n v="12"/>
    <s v="Port Congestion"/>
    <n v="53.62"/>
    <s v="Delayed"/>
    <s v="Paid"/>
    <s v="High"/>
    <s v="J. Smith"/>
    <s v="Asia"/>
    <d v="2025-10-01T00:00:00"/>
  </r>
  <r>
    <s v="SHP00787"/>
    <s v="BK50787"/>
    <d v="2025-02-22T00:00:00"/>
    <d v="2025-02-25T00:00:00"/>
    <d v="2025-03-12T00:00:00"/>
    <s v="Adidas"/>
    <s v="Retail"/>
    <s v="Germany"/>
    <s v="Singapore"/>
    <s v="Rotterdam"/>
    <x v="1"/>
    <s v="Monaco Maersk"/>
    <s v="40FT"/>
    <n v="2"/>
    <s v="Furniture"/>
    <n v="26087.22"/>
    <n v="7444.45"/>
    <n v="1805.99"/>
    <n v="469.66"/>
    <n v="260.87"/>
    <n v="286.08999999999997"/>
    <n v="1168.32"/>
    <n v="14651.84"/>
    <n v="0"/>
    <s v="None"/>
    <n v="62.04"/>
    <s v="Completed"/>
    <s v="Pending"/>
    <s v="Standard"/>
    <s v="J. Smith"/>
    <s v="Asia"/>
    <d v="2025-02-01T00:00:00"/>
  </r>
  <r>
    <s v="SHP00229"/>
    <s v="BK50229"/>
    <d v="2025-11-19T00:00:00"/>
    <d v="2025-11-21T00:00:00"/>
    <d v="2025-12-15T00:00:00"/>
    <s v="Reliance"/>
    <s v="Retail"/>
    <s v="India"/>
    <s v="Singapore"/>
    <s v="Nhava Sheva"/>
    <x v="2"/>
    <s v="OOCL Hong Kong"/>
    <s v="40FT"/>
    <n v="1"/>
    <s v="Furniture"/>
    <n v="26093.43"/>
    <n v="5869.93"/>
    <n v="1413.29"/>
    <n v="472.04"/>
    <n v="260.93"/>
    <n v="509.6"/>
    <n v="1192.47"/>
    <n v="16375.17"/>
    <n v="36"/>
    <s v="Labor Strike"/>
    <n v="48.92"/>
    <s v="Delayed"/>
    <s v="Pending"/>
    <s v="High"/>
    <s v="R. Mehta"/>
    <s v="Asia"/>
    <d v="2025-11-01T00:00:00"/>
  </r>
  <r>
    <s v="SHP00820"/>
    <s v="BK50820"/>
    <d v="2025-09-11T00:00:00"/>
    <d v="2025-09-15T00:00:00"/>
    <d v="2025-10-08T00:00:00"/>
    <s v="Bosch"/>
    <s v="Manufacturing"/>
    <s v="Germany"/>
    <s v="Singapore"/>
    <s v="Rotterdam"/>
    <x v="1"/>
    <s v="Mumbai Maersk"/>
    <s v="40FT"/>
    <n v="1"/>
    <s v="Chemicals"/>
    <n v="26107.62"/>
    <n v="7237.69"/>
    <n v="1895.4"/>
    <n v="738.76"/>
    <n v="261.08"/>
    <n v="868.66"/>
    <n v="793.82"/>
    <n v="14312.21"/>
    <n v="4"/>
    <s v="Port Congestion"/>
    <n v="60.31"/>
    <s v="Delayed"/>
    <s v="Paid"/>
    <s v="Critical"/>
    <s v="A. Tan"/>
    <s v="Middle East"/>
    <d v="2025-09-01T00:00:00"/>
  </r>
  <r>
    <s v="SHP00916"/>
    <s v="BK50916"/>
    <d v="2025-09-07T00:00:00"/>
    <d v="2025-09-08T00:00:00"/>
    <d v="2025-09-25T00:00:00"/>
    <s v="Amazon"/>
    <s v="E-commerce"/>
    <s v="USA"/>
    <s v="Singapore"/>
    <s v="Hamburg"/>
    <x v="2"/>
    <s v="Ever Ace"/>
    <s v="Reefer"/>
    <n v="4"/>
    <s v="Textiles"/>
    <n v="26427.39"/>
    <n v="7576.9"/>
    <n v="1999.81"/>
    <n v="434.65"/>
    <n v="264.27"/>
    <n v="425.85"/>
    <n v="1490.62"/>
    <n v="14235.29"/>
    <n v="24"/>
    <s v="Mechanical"/>
    <n v="63.14"/>
    <s v="Delayed"/>
    <s v="Paid"/>
    <s v="Standard"/>
    <s v="L. Chen"/>
    <s v="Asia"/>
    <d v="2025-09-01T00:00:00"/>
  </r>
  <r>
    <s v="SHP00735"/>
    <s v="BK50735"/>
    <d v="2025-12-04T00:00:00"/>
    <d v="2025-12-05T00:00:00"/>
    <d v="2025-12-22T00:00:00"/>
    <s v="Nestlé"/>
    <s v="Food"/>
    <s v="Switzerland"/>
    <s v="Colombo"/>
    <s v="Singapore"/>
    <x v="4"/>
    <s v="Ever Ace"/>
    <s v="High Cube"/>
    <n v="2"/>
    <s v="Chemicals"/>
    <n v="26530.37"/>
    <n v="4776.05"/>
    <n v="1746.62"/>
    <n v="383.11"/>
    <n v="265.3"/>
    <n v="767.6"/>
    <n v="2277.36"/>
    <n v="16314.33"/>
    <n v="0"/>
    <s v="None"/>
    <n v="39.799999999999997"/>
    <s v="Completed"/>
    <s v="Pending"/>
    <s v="Standard"/>
    <s v="A. Tan"/>
    <s v="Europe"/>
    <d v="2025-12-01T00:00:00"/>
  </r>
  <r>
    <s v="SHP00626"/>
    <s v="BK50626"/>
    <d v="2025-05-24T00:00:00"/>
    <d v="2025-05-25T00:00:00"/>
    <d v="2025-06-19T00:00:00"/>
    <s v="Nestlé"/>
    <s v="Food"/>
    <s v="Switzerland"/>
    <s v="Shanghai"/>
    <s v="Colombo"/>
    <x v="2"/>
    <s v="Ever Ace"/>
    <s v="20FT"/>
    <n v="4"/>
    <s v="Chemicals"/>
    <n v="26571.01"/>
    <n v="4335.04"/>
    <n v="1359.94"/>
    <n v="384.35"/>
    <n v="265.70999999999998"/>
    <n v="863.22"/>
    <n v="551.30999999999995"/>
    <n v="18811.439999999999"/>
    <n v="48"/>
    <s v="Customs"/>
    <n v="36.130000000000003"/>
    <s v="Delayed"/>
    <s v="Pending"/>
    <s v="Standard"/>
    <s v="L. Chen"/>
    <s v="Asia"/>
    <d v="2025-05-01T00:00:00"/>
  </r>
  <r>
    <s v="SHP00134"/>
    <s v="BK50134"/>
    <d v="2025-07-09T00:00:00"/>
    <d v="2025-07-11T00:00:00"/>
    <d v="2025-07-22T00:00:00"/>
    <s v="Toyota"/>
    <s v="Automotive"/>
    <s v="Japan"/>
    <s v="Busan"/>
    <s v="Los Angeles"/>
    <x v="3"/>
    <s v="MSC Gülsün"/>
    <s v="High Cube"/>
    <n v="1"/>
    <s v="Machinery"/>
    <n v="26660.39"/>
    <n v="4468.03"/>
    <n v="2124.17"/>
    <n v="323.52999999999997"/>
    <n v="266.60000000000002"/>
    <n v="811.82"/>
    <n v="380.21"/>
    <n v="18286.03"/>
    <n v="24"/>
    <s v="Customs"/>
    <n v="37.229999999999997"/>
    <s v="Delayed"/>
    <s v="Paid"/>
    <s v="Standard"/>
    <s v="L. Chen"/>
    <s v="Europe"/>
    <d v="2025-07-01T00:00:00"/>
  </r>
  <r>
    <s v="SHP00396"/>
    <s v="BK50396"/>
    <d v="2025-09-03T00:00:00"/>
    <d v="2025-09-04T00:00:00"/>
    <d v="2025-09-27T00:00:00"/>
    <s v="Reliance"/>
    <s v="Retail"/>
    <s v="India"/>
    <s v="Busan"/>
    <s v="Los Angeles"/>
    <x v="3"/>
    <s v="OOCL Hong Kong"/>
    <s v="High Cube"/>
    <n v="1"/>
    <s v="Electronics"/>
    <n v="26669.43"/>
    <n v="7043.45"/>
    <n v="1660.62"/>
    <n v="435.49"/>
    <n v="266.69"/>
    <n v="898.31"/>
    <n v="318.35000000000002"/>
    <n v="16046.52"/>
    <n v="12"/>
    <s v="Labor Strike"/>
    <n v="58.7"/>
    <s v="Delayed"/>
    <s v="Paid"/>
    <s v="Standard"/>
    <s v="J. Smith"/>
    <s v="Middle East"/>
    <d v="2025-09-01T00:00:00"/>
  </r>
  <r>
    <s v="SHP00130"/>
    <s v="BK50130"/>
    <d v="2025-11-21T00:00:00"/>
    <d v="2025-11-24T00:00:00"/>
    <d v="2025-12-19T00:00:00"/>
    <s v="Bosch"/>
    <s v="Manufacturing"/>
    <s v="Germany"/>
    <s v="Singapore"/>
    <s v="Rotterdam"/>
    <x v="1"/>
    <s v="Mary Maersk"/>
    <s v="20FT"/>
    <n v="1"/>
    <s v="Furniture"/>
    <n v="26836.43"/>
    <n v="6748.24"/>
    <n v="1935.05"/>
    <n v="402.13"/>
    <n v="268.36"/>
    <n v="741.08"/>
    <n v="2063.0300000000002"/>
    <n v="14678.54"/>
    <n v="0"/>
    <s v="None"/>
    <n v="56.24"/>
    <s v="Completed"/>
    <s v="Pending"/>
    <s v="High"/>
    <s v="L. Chen"/>
    <s v="Middle East"/>
    <d v="2025-11-01T00:00:00"/>
  </r>
  <r>
    <s v="SHP00997"/>
    <s v="BK50997"/>
    <d v="2025-12-09T00:00:00"/>
    <d v="2025-12-10T00:00:00"/>
    <d v="2026-01-05T00:00:00"/>
    <s v="Reliance"/>
    <s v="Retail"/>
    <s v="India"/>
    <s v="Colombo"/>
    <s v="Singapore"/>
    <x v="4"/>
    <s v="Mary Maersk"/>
    <s v="High Cube"/>
    <n v="2"/>
    <s v="Machinery"/>
    <n v="26846.6"/>
    <n v="4299.1099999999997"/>
    <n v="1964.36"/>
    <n v="779.4"/>
    <n v="268.47000000000003"/>
    <n v="726.49"/>
    <n v="1610.11"/>
    <n v="17198.66"/>
    <n v="12"/>
    <s v="Port Congestion"/>
    <n v="35.83"/>
    <s v="Delayed"/>
    <s v="Paid"/>
    <s v="Standard"/>
    <s v="R. Mehta"/>
    <s v="North America"/>
    <d v="2025-12-01T00:00:00"/>
  </r>
  <r>
    <s v="SHP00270"/>
    <s v="BK50270"/>
    <d v="2025-06-15T00:00:00"/>
    <d v="2025-06-16T00:00:00"/>
    <d v="2025-07-02T00:00:00"/>
    <s v="Bosch"/>
    <s v="Manufacturing"/>
    <s v="Germany"/>
    <s v="Hamburg"/>
    <s v="Rotterdam"/>
    <x v="2"/>
    <s v="Mary Maersk"/>
    <s v="Reefer"/>
    <n v="1"/>
    <s v="Electronics"/>
    <n v="26905.14"/>
    <n v="5690.21"/>
    <n v="1522.16"/>
    <n v="572.02"/>
    <n v="269.05"/>
    <n v="841.12"/>
    <n v="1260.1400000000001"/>
    <n v="16750.439999999999"/>
    <n v="0"/>
    <s v="None"/>
    <n v="47.42"/>
    <s v="Completed"/>
    <s v="Paid"/>
    <s v="Critical"/>
    <s v="A. Tan"/>
    <s v="Middle East"/>
    <d v="2025-06-01T00:00:00"/>
  </r>
  <r>
    <s v="SHP00030"/>
    <s v="BK50030"/>
    <d v="2025-11-12T00:00:00"/>
    <d v="2025-11-15T00:00:00"/>
    <d v="2025-11-28T00:00:00"/>
    <s v="Reliance"/>
    <s v="Retail"/>
    <s v="India"/>
    <s v="Singapore"/>
    <s v="Rotterdam"/>
    <x v="1"/>
    <s v="CMA CGM Jacques Saadé"/>
    <s v="High Cube"/>
    <n v="2"/>
    <s v="Chemicals"/>
    <n v="26954.39"/>
    <n v="4690.57"/>
    <n v="1209.3800000000001"/>
    <n v="548.46"/>
    <n v="269.54000000000002"/>
    <n v="264.79000000000002"/>
    <n v="1798.05"/>
    <n v="18173.599999999999"/>
    <n v="0"/>
    <s v="None"/>
    <n v="39.090000000000003"/>
    <s v="Completed"/>
    <s v="Paid"/>
    <s v="High"/>
    <s v="A. Tan"/>
    <s v="Asia"/>
    <d v="2025-11-01T00:00:00"/>
  </r>
  <r>
    <s v="SHP00668"/>
    <s v="BK50668"/>
    <d v="2025-10-25T00:00:00"/>
    <d v="2025-10-28T00:00:00"/>
    <d v="2025-11-19T00:00:00"/>
    <s v="Nestlé"/>
    <s v="Food"/>
    <s v="Switzerland"/>
    <s v="Jebel Ali"/>
    <s v="Jebel Ali"/>
    <x v="2"/>
    <s v="Mumbai Maersk"/>
    <s v="40FT"/>
    <n v="2"/>
    <s v="Textiles"/>
    <n v="27017.87"/>
    <n v="7047.67"/>
    <n v="1719.13"/>
    <n v="558.5"/>
    <n v="270.18"/>
    <n v="826.42"/>
    <n v="1786.12"/>
    <n v="14809.85"/>
    <n v="0"/>
    <s v="None"/>
    <n v="58.73"/>
    <s v="Completed"/>
    <s v="Pending"/>
    <s v="High"/>
    <s v="A. Tan"/>
    <s v="Asia"/>
    <d v="2025-10-01T00:00:00"/>
  </r>
  <r>
    <s v="SHP00701"/>
    <s v="BK50701"/>
    <d v="2025-12-19T00:00:00"/>
    <d v="2025-12-23T00:00:00"/>
    <d v="2026-01-09T00:00:00"/>
    <s v="Siemens"/>
    <s v="Engineering"/>
    <s v="Germany"/>
    <s v="Shanghai"/>
    <s v="Rotterdam"/>
    <x v="1"/>
    <s v="Ever Ace"/>
    <s v="40FT"/>
    <n v="1"/>
    <s v="Electronics"/>
    <n v="27046.23"/>
    <n v="6373.31"/>
    <n v="1257.77"/>
    <n v="557.16999999999996"/>
    <n v="270.45999999999998"/>
    <n v="636.26"/>
    <n v="1321.79"/>
    <n v="16629.47"/>
    <n v="0"/>
    <s v="None"/>
    <n v="53.11"/>
    <s v="Completed"/>
    <s v="Paid"/>
    <s v="Standard"/>
    <s v="L. Chen"/>
    <s v="Asia"/>
    <d v="2025-12-01T00:00:00"/>
  </r>
  <r>
    <s v="SHP00687"/>
    <s v="BK50687"/>
    <d v="2025-05-31T00:00:00"/>
    <d v="2025-06-01T00:00:00"/>
    <d v="2025-06-22T00:00:00"/>
    <s v="Nestlé"/>
    <s v="Food"/>
    <s v="Switzerland"/>
    <s v="Los Angeles"/>
    <s v="Rotterdam"/>
    <x v="2"/>
    <s v="Monaco Maersk"/>
    <s v="Reefer"/>
    <n v="2"/>
    <s v="Textiles"/>
    <n v="27054.05"/>
    <n v="5790.92"/>
    <n v="1783.89"/>
    <n v="571.15"/>
    <n v="270.54000000000002"/>
    <n v="862.33"/>
    <n v="1523.27"/>
    <n v="16251.95"/>
    <n v="0"/>
    <s v="None"/>
    <n v="48.26"/>
    <s v="Completed"/>
    <s v="Paid"/>
    <s v="High"/>
    <s v="R. Mehta"/>
    <s v="Europe"/>
    <d v="2025-05-01T00:00:00"/>
  </r>
  <r>
    <s v="SHP00741"/>
    <s v="BK50741"/>
    <d v="2025-08-03T00:00:00"/>
    <d v="2025-08-06T00:00:00"/>
    <d v="2025-08-28T00:00:00"/>
    <s v="Samsung"/>
    <s v="Electronics"/>
    <s v="South Korea"/>
    <s v="New York"/>
    <s v="Busan"/>
    <x v="2"/>
    <s v="MSC Gülsün"/>
    <s v="Reefer"/>
    <n v="2"/>
    <s v="Machinery"/>
    <n v="27135.42"/>
    <n v="7159.82"/>
    <n v="1870.45"/>
    <n v="569.79999999999995"/>
    <n v="271.35000000000002"/>
    <n v="814.2"/>
    <n v="1861.08"/>
    <n v="14588.72"/>
    <n v="48"/>
    <s v="Labor Strike"/>
    <n v="59.67"/>
    <s v="Delayed"/>
    <s v="Paid"/>
    <s v="Standard"/>
    <s v="M. Ahmed"/>
    <s v="Asia"/>
    <d v="2025-08-01T00:00:00"/>
  </r>
  <r>
    <s v="SHP00947"/>
    <s v="BK50947"/>
    <d v="2025-10-09T00:00:00"/>
    <d v="2025-10-12T00:00:00"/>
    <d v="2025-10-27T00:00:00"/>
    <s v="Siemens"/>
    <s v="Engineering"/>
    <s v="Germany"/>
    <s v="New York"/>
    <s v="Hamburg"/>
    <x v="2"/>
    <s v="Mumbai Maersk"/>
    <s v="40FT"/>
    <n v="2"/>
    <s v="Furniture"/>
    <n v="27140.86"/>
    <n v="7813.92"/>
    <n v="1722.26"/>
    <n v="761.42"/>
    <n v="271.41000000000003"/>
    <n v="230.03"/>
    <n v="933.99"/>
    <n v="15407.83"/>
    <n v="0"/>
    <s v="None"/>
    <n v="65.12"/>
    <s v="Completed"/>
    <s v="Pending"/>
    <s v="Critical"/>
    <s v="J. Smith"/>
    <s v="Asia"/>
    <d v="2025-10-01T00:00:00"/>
  </r>
  <r>
    <s v="SHP00104"/>
    <s v="BK50104"/>
    <d v="2025-11-25T00:00:00"/>
    <d v="2025-11-27T00:00:00"/>
    <d v="2025-12-20T00:00:00"/>
    <s v="Siemens"/>
    <s v="Engineering"/>
    <s v="Germany"/>
    <s v="Colombo"/>
    <s v="Singapore"/>
    <x v="4"/>
    <s v="Monaco Maersk"/>
    <s v="40FT"/>
    <n v="2"/>
    <s v="Electronics"/>
    <n v="27178.61"/>
    <n v="6374.89"/>
    <n v="2088.77"/>
    <n v="405.13"/>
    <n v="271.79000000000002"/>
    <n v="341.09"/>
    <n v="1559.25"/>
    <n v="16137.69"/>
    <n v="24"/>
    <s v="Labor Strike"/>
    <n v="53.12"/>
    <s v="Delayed"/>
    <s v="Paid"/>
    <s v="Standard"/>
    <s v="M. Ahmed"/>
    <s v="Middle East"/>
    <d v="2025-11-01T00:00:00"/>
  </r>
  <r>
    <s v="SHP00972"/>
    <s v="BK50972"/>
    <d v="2025-02-20T00:00:00"/>
    <d v="2025-02-23T00:00:00"/>
    <d v="2025-03-10T00:00:00"/>
    <s v="Unilever"/>
    <s v="FMCG"/>
    <s v="UK"/>
    <s v="Busan"/>
    <s v="Los Angeles"/>
    <x v="3"/>
    <s v="Mumbai Maersk"/>
    <s v="40FT"/>
    <n v="1"/>
    <s v="Textiles"/>
    <n v="27182.68"/>
    <n v="7233.87"/>
    <n v="1337.18"/>
    <n v="423.24"/>
    <n v="271.83"/>
    <n v="384.2"/>
    <n v="872.07"/>
    <n v="16660.29"/>
    <n v="0"/>
    <s v="None"/>
    <n v="60.28"/>
    <s v="Completed"/>
    <s v="Paid"/>
    <s v="High"/>
    <s v="M. Ahmed"/>
    <s v="North America"/>
    <d v="2025-02-01T00:00:00"/>
  </r>
  <r>
    <s v="SHP00959"/>
    <s v="BK50959"/>
    <d v="2025-01-16T00:00:00"/>
    <d v="2025-01-17T00:00:00"/>
    <d v="2025-02-11T00:00:00"/>
    <s v="Toyota"/>
    <s v="Automotive"/>
    <s v="Japan"/>
    <s v="Nhava Sheva"/>
    <s v="Hamburg"/>
    <x v="2"/>
    <s v="OOCL Hong Kong"/>
    <s v="40FT"/>
    <n v="1"/>
    <s v="Machinery"/>
    <n v="27307.69"/>
    <n v="5289.99"/>
    <n v="1556.74"/>
    <n v="694.9"/>
    <n v="273.08"/>
    <n v="300.07"/>
    <n v="2088.5700000000002"/>
    <n v="17104.34"/>
    <n v="8"/>
    <s v="Labor Strike"/>
    <n v="44.08"/>
    <s v="Delayed"/>
    <s v="Paid"/>
    <s v="Standard"/>
    <s v="R. Mehta"/>
    <s v="Europe"/>
    <d v="2025-01-01T00:00:00"/>
  </r>
  <r>
    <s v="SHP00779"/>
    <s v="BK50779"/>
    <d v="2025-05-31T00:00:00"/>
    <d v="2025-06-01T00:00:00"/>
    <d v="2025-06-18T00:00:00"/>
    <s v="Unilever"/>
    <s v="FMCG"/>
    <s v="UK"/>
    <s v="Singapore"/>
    <s v="Rotterdam"/>
    <x v="1"/>
    <s v="OOCL Hong Kong"/>
    <s v="20FT"/>
    <n v="2"/>
    <s v="Furniture"/>
    <n v="27347.32"/>
    <n v="6201.58"/>
    <n v="1589.78"/>
    <n v="449.07"/>
    <n v="273.47000000000003"/>
    <n v="426.77"/>
    <n v="2336.02"/>
    <n v="16070.63"/>
    <n v="12"/>
    <s v="Mechanical"/>
    <n v="51.68"/>
    <s v="Delayed"/>
    <s v="Paid"/>
    <s v="Standard"/>
    <s v="R. Mehta"/>
    <s v="Middle East"/>
    <d v="2025-05-01T00:00:00"/>
  </r>
  <r>
    <s v="SHP00205"/>
    <s v="BK50205"/>
    <d v="2025-06-11T00:00:00"/>
    <d v="2025-06-15T00:00:00"/>
    <d v="2025-07-09T00:00:00"/>
    <s v="LG"/>
    <s v="Electronics"/>
    <s v="South Korea"/>
    <s v="New York"/>
    <s v="Busan"/>
    <x v="2"/>
    <s v="Mumbai Maersk"/>
    <s v="Reefer"/>
    <n v="4"/>
    <s v="Electronics"/>
    <n v="27424.01"/>
    <n v="4819.6000000000004"/>
    <n v="1403.95"/>
    <n v="324.37"/>
    <n v="274.24"/>
    <n v="749.15"/>
    <n v="632.54999999999995"/>
    <n v="19220.150000000001"/>
    <n v="0"/>
    <s v="None"/>
    <n v="40.159999999999997"/>
    <s v="Completed"/>
    <s v="Paid"/>
    <s v="Critical"/>
    <s v="L. Chen"/>
    <s v="Middle East"/>
    <d v="2025-06-01T00:00:00"/>
  </r>
  <r>
    <s v="SHP00278"/>
    <s v="BK50278"/>
    <d v="2025-10-16T00:00:00"/>
    <d v="2025-10-20T00:00:00"/>
    <d v="2025-11-10T00:00:00"/>
    <s v="Bosch"/>
    <s v="Manufacturing"/>
    <s v="Germany"/>
    <s v="Jebel Ali"/>
    <s v="Nhava Sheva"/>
    <x v="0"/>
    <s v="OOCL Hong Kong"/>
    <s v="High Cube"/>
    <n v="1"/>
    <s v="Furniture"/>
    <n v="27522.76"/>
    <n v="8114.41"/>
    <n v="1665.48"/>
    <n v="595.9"/>
    <n v="275.23"/>
    <n v="343.84"/>
    <n v="2154.19"/>
    <n v="14373.71"/>
    <n v="0"/>
    <s v="None"/>
    <n v="67.62"/>
    <s v="Completed"/>
    <s v="Paid"/>
    <s v="Critical"/>
    <s v="L. Chen"/>
    <s v="Middle East"/>
    <d v="2025-10-01T00:00:00"/>
  </r>
  <r>
    <s v="SHP00182"/>
    <s v="BK50182"/>
    <d v="2025-03-26T00:00:00"/>
    <d v="2025-03-29T00:00:00"/>
    <d v="2025-04-23T00:00:00"/>
    <s v="Nestlé"/>
    <s v="Food"/>
    <s v="Switzerland"/>
    <s v="Colombo"/>
    <s v="Singapore"/>
    <x v="4"/>
    <s v="CMA CGM Jacques Saadé"/>
    <s v="Reefer"/>
    <n v="1"/>
    <s v="Auto Parts"/>
    <n v="27584.58"/>
    <n v="6381.23"/>
    <n v="1256.3"/>
    <n v="482.65"/>
    <n v="275.85000000000002"/>
    <n v="886.35"/>
    <n v="490.12"/>
    <n v="17812.080000000002"/>
    <n v="48"/>
    <s v="Weather"/>
    <n v="53.18"/>
    <s v="Delayed"/>
    <s v="Pending"/>
    <s v="High"/>
    <s v="R. Mehta"/>
    <s v="Asia"/>
    <d v="2025-03-01T00:00:00"/>
  </r>
  <r>
    <s v="SHP00797"/>
    <s v="BK50797"/>
    <d v="2025-07-02T00:00:00"/>
    <d v="2025-07-03T00:00:00"/>
    <d v="2025-07-20T00:00:00"/>
    <s v="Amazon"/>
    <s v="E-commerce"/>
    <s v="USA"/>
    <s v="Colombo"/>
    <s v="Rotterdam"/>
    <x v="2"/>
    <s v="Ever Ace"/>
    <s v="20FT"/>
    <n v="2"/>
    <s v="Furniture"/>
    <n v="27588.11"/>
    <n v="7482.36"/>
    <n v="2061.79"/>
    <n v="682.89"/>
    <n v="275.88"/>
    <n v="508.02"/>
    <n v="1421.94"/>
    <n v="15155.23"/>
    <n v="0"/>
    <s v="None"/>
    <n v="62.35"/>
    <s v="Completed"/>
    <s v="Paid"/>
    <s v="Critical"/>
    <s v="J. Smith"/>
    <s v="North America"/>
    <d v="2025-07-01T00:00:00"/>
  </r>
  <r>
    <s v="SHP00432"/>
    <s v="BK50432"/>
    <d v="2025-12-09T00:00:00"/>
    <d v="2025-12-12T00:00:00"/>
    <d v="2026-01-09T00:00:00"/>
    <s v="Siemens"/>
    <s v="Engineering"/>
    <s v="Germany"/>
    <s v="Jebel Ali"/>
    <s v="Nhava Sheva"/>
    <x v="0"/>
    <s v="Mumbai Maersk"/>
    <s v="40FT"/>
    <n v="1"/>
    <s v="Machinery"/>
    <n v="27684.53"/>
    <n v="6530.29"/>
    <n v="1717.65"/>
    <n v="440.89"/>
    <n v="276.85000000000002"/>
    <n v="184.51"/>
    <n v="2248.27"/>
    <n v="16286.07"/>
    <n v="0"/>
    <s v="None"/>
    <n v="54.42"/>
    <s v="Completed"/>
    <s v="Paid"/>
    <s v="High"/>
    <s v="A. Tan"/>
    <s v="Middle East"/>
    <d v="2025-12-01T00:00:00"/>
  </r>
  <r>
    <s v="SHP00558"/>
    <s v="BK50558"/>
    <d v="2025-05-03T00:00:00"/>
    <d v="2025-05-06T00:00:00"/>
    <d v="2025-06-03T00:00:00"/>
    <s v="LG"/>
    <s v="Electronics"/>
    <s v="South Korea"/>
    <s v="Shanghai"/>
    <s v="Rotterdam"/>
    <x v="1"/>
    <s v="Mary Maersk"/>
    <s v="High Cube"/>
    <n v="2"/>
    <s v="Machinery"/>
    <n v="27807.54"/>
    <n v="7490.58"/>
    <n v="1337.68"/>
    <n v="403.09"/>
    <n v="278.08"/>
    <n v="883.35"/>
    <n v="1222.23"/>
    <n v="16192.53"/>
    <n v="12"/>
    <s v="Port Congestion"/>
    <n v="62.42"/>
    <s v="Delayed"/>
    <s v="Paid"/>
    <s v="Critical"/>
    <s v="J. Smith"/>
    <s v="Europe"/>
    <d v="2025-05-01T00:00:00"/>
  </r>
  <r>
    <s v="SHP00087"/>
    <s v="BK50087"/>
    <d v="2025-01-04T00:00:00"/>
    <d v="2025-01-06T00:00:00"/>
    <d v="2025-01-20T00:00:00"/>
    <s v="Amazon"/>
    <s v="E-commerce"/>
    <s v="USA"/>
    <s v="Busan"/>
    <s v="Busan"/>
    <x v="2"/>
    <s v="Madrid Maersk"/>
    <s v="High Cube"/>
    <n v="1"/>
    <s v="Auto Parts"/>
    <n v="27812.18"/>
    <n v="6919.33"/>
    <n v="2088.37"/>
    <n v="315.38"/>
    <n v="278.12"/>
    <n v="849.76"/>
    <n v="1910.19"/>
    <n v="15451.03"/>
    <n v="0"/>
    <s v="None"/>
    <n v="57.66"/>
    <s v="Completed"/>
    <s v="Paid"/>
    <s v="High"/>
    <s v="M. Ahmed"/>
    <s v="North America"/>
    <d v="2025-01-01T00:00:00"/>
  </r>
  <r>
    <s v="SHP00112"/>
    <s v="BK50112"/>
    <d v="2025-01-13T00:00:00"/>
    <d v="2025-01-14T00:00:00"/>
    <d v="2025-01-26T00:00:00"/>
    <s v="IKEA"/>
    <s v="Retail"/>
    <s v="Sweden"/>
    <s v="Singapore"/>
    <s v="Rotterdam"/>
    <x v="1"/>
    <s v="Mary Maersk"/>
    <s v="20FT"/>
    <n v="4"/>
    <s v="Textiles"/>
    <n v="28074.82"/>
    <n v="6551.31"/>
    <n v="2137.7800000000002"/>
    <n v="408.72"/>
    <n v="280.75"/>
    <n v="607.08000000000004"/>
    <n v="2402.2199999999998"/>
    <n v="15686.96"/>
    <n v="8"/>
    <s v="Customs"/>
    <n v="54.59"/>
    <s v="Delayed"/>
    <s v="Pending"/>
    <s v="Critical"/>
    <s v="L. Chen"/>
    <s v="Middle East"/>
    <d v="2025-01-01T00:00:00"/>
  </r>
  <r>
    <s v="SHP00323"/>
    <s v="BK50323"/>
    <d v="2025-04-09T00:00:00"/>
    <d v="2025-04-11T00:00:00"/>
    <d v="2025-05-03T00:00:00"/>
    <s v="Nestlé"/>
    <s v="Food"/>
    <s v="Switzerland"/>
    <s v="Singapore"/>
    <s v="Rotterdam"/>
    <x v="1"/>
    <s v="Mumbai Maersk"/>
    <s v="40FT"/>
    <n v="2"/>
    <s v="Textiles"/>
    <n v="28102.76"/>
    <n v="4635.8"/>
    <n v="1414.52"/>
    <n v="398.38"/>
    <n v="281.02999999999997"/>
    <n v="318.08"/>
    <n v="1038.3399999999999"/>
    <n v="20016.61"/>
    <n v="0"/>
    <s v="None"/>
    <n v="38.630000000000003"/>
    <s v="Completed"/>
    <s v="Paid"/>
    <s v="Critical"/>
    <s v="J. Smith"/>
    <s v="Asia"/>
    <d v="2025-04-01T00:00:00"/>
  </r>
  <r>
    <s v="SHP00839"/>
    <s v="BK50839"/>
    <d v="2025-09-11T00:00:00"/>
    <d v="2025-09-14T00:00:00"/>
    <d v="2025-10-06T00:00:00"/>
    <s v="LG"/>
    <s v="Electronics"/>
    <s v="South Korea"/>
    <s v="Busan"/>
    <s v="Los Angeles"/>
    <x v="3"/>
    <s v="CMA CGM Jacques Saadé"/>
    <s v="High Cube"/>
    <n v="1"/>
    <s v="Furniture"/>
    <n v="28120.97"/>
    <n v="7648.89"/>
    <n v="1374.6"/>
    <n v="635.69000000000005"/>
    <n v="281.20999999999998"/>
    <n v="320.29000000000002"/>
    <n v="442.51"/>
    <n v="17417.78"/>
    <n v="0"/>
    <s v="None"/>
    <n v="63.74"/>
    <s v="Completed"/>
    <s v="Pending"/>
    <s v="Critical"/>
    <s v="J. Smith"/>
    <s v="Europe"/>
    <d v="2025-09-01T00:00:00"/>
  </r>
  <r>
    <s v="SHP00926"/>
    <s v="BK50926"/>
    <d v="2025-02-15T00:00:00"/>
    <d v="2025-02-19T00:00:00"/>
    <d v="2025-03-11T00:00:00"/>
    <s v="Bosch"/>
    <s v="Manufacturing"/>
    <s v="Germany"/>
    <s v="Busan"/>
    <s v="Los Angeles"/>
    <x v="3"/>
    <s v="Ever Ace"/>
    <s v="High Cube"/>
    <n v="1"/>
    <s v="Food"/>
    <n v="28130.98"/>
    <n v="6623.02"/>
    <n v="1758.53"/>
    <n v="648.27"/>
    <n v="281.31"/>
    <n v="412.96"/>
    <n v="1683.02"/>
    <n v="16723.87"/>
    <n v="48"/>
    <s v="Customs"/>
    <n v="55.19"/>
    <s v="Delayed"/>
    <s v="Pending"/>
    <s v="Critical"/>
    <s v="M. Ahmed"/>
    <s v="Middle East"/>
    <d v="2025-02-01T00:00:00"/>
  </r>
  <r>
    <s v="SHP00838"/>
    <s v="BK50838"/>
    <d v="2025-06-24T00:00:00"/>
    <d v="2025-06-28T00:00:00"/>
    <d v="2025-07-23T00:00:00"/>
    <s v="Toyota"/>
    <s v="Automotive"/>
    <s v="Japan"/>
    <s v="Jebel Ali"/>
    <s v="Busan"/>
    <x v="2"/>
    <s v="Madrid Maersk"/>
    <s v="Reefer"/>
    <n v="4"/>
    <s v="Textiles"/>
    <n v="28140.799999999999"/>
    <n v="5504.68"/>
    <n v="1736.19"/>
    <n v="687.43"/>
    <n v="281.41000000000003"/>
    <n v="236.89"/>
    <n v="2364.11"/>
    <n v="17330.09"/>
    <n v="0"/>
    <s v="None"/>
    <n v="45.87"/>
    <s v="Completed"/>
    <s v="Pending"/>
    <s v="Standard"/>
    <s v="R. Mehta"/>
    <s v="North America"/>
    <d v="2025-06-01T00:00:00"/>
  </r>
  <r>
    <s v="SHP00364"/>
    <s v="BK50364"/>
    <d v="2025-07-12T00:00:00"/>
    <d v="2025-07-16T00:00:00"/>
    <d v="2025-08-14T00:00:00"/>
    <s v="Unilever"/>
    <s v="FMCG"/>
    <s v="UK"/>
    <s v="Jebel Ali"/>
    <s v="Nhava Sheva"/>
    <x v="0"/>
    <s v="OOCL Hong Kong"/>
    <s v="Reefer"/>
    <n v="2"/>
    <s v="Food"/>
    <n v="28174.6"/>
    <n v="7728.22"/>
    <n v="1442.73"/>
    <n v="766.62"/>
    <n v="281.75"/>
    <n v="574.23"/>
    <n v="2444.42"/>
    <n v="14936.63"/>
    <n v="48"/>
    <s v="Weather"/>
    <n v="64.400000000000006"/>
    <s v="Delayed"/>
    <s v="Paid"/>
    <s v="Critical"/>
    <s v="A. Tan"/>
    <s v="Middle East"/>
    <d v="2025-07-01T00:00:00"/>
  </r>
  <r>
    <s v="SHP00711"/>
    <s v="BK50711"/>
    <d v="2025-09-15T00:00:00"/>
    <d v="2025-09-18T00:00:00"/>
    <d v="2025-10-11T00:00:00"/>
    <s v="Amazon"/>
    <s v="E-commerce"/>
    <s v="USA"/>
    <s v="Jebel Ali"/>
    <s v="Nhava Sheva"/>
    <x v="0"/>
    <s v="Mumbai Maersk"/>
    <s v="High Cube"/>
    <n v="2"/>
    <s v="Furniture"/>
    <n v="28197.45"/>
    <n v="6742.64"/>
    <n v="2086.64"/>
    <n v="649.77"/>
    <n v="281.97000000000003"/>
    <n v="348.22"/>
    <n v="1668.84"/>
    <n v="16419.37"/>
    <n v="36"/>
    <s v="Labor Strike"/>
    <n v="56.19"/>
    <s v="Delayed"/>
    <s v="Paid"/>
    <s v="Critical"/>
    <s v="M. Ahmed"/>
    <s v="Asia"/>
    <d v="2025-09-01T00:00:00"/>
  </r>
  <r>
    <s v="SHP00424"/>
    <s v="BK50424"/>
    <d v="2025-07-13T00:00:00"/>
    <d v="2025-07-17T00:00:00"/>
    <d v="2025-08-01T00:00:00"/>
    <s v="Pfizer"/>
    <s v="Pharma"/>
    <s v="USA"/>
    <s v="Shanghai"/>
    <s v="Rotterdam"/>
    <x v="1"/>
    <s v="Mumbai Maersk"/>
    <s v="40FT"/>
    <n v="2"/>
    <s v="Food"/>
    <n v="28217.91"/>
    <n v="6179.75"/>
    <n v="1657.87"/>
    <n v="366.62"/>
    <n v="282.18"/>
    <n v="793.51"/>
    <n v="1858.22"/>
    <n v="17079.759999999998"/>
    <n v="0"/>
    <s v="None"/>
    <n v="51.5"/>
    <s v="Completed"/>
    <s v="Pending"/>
    <s v="Critical"/>
    <s v="A. Tan"/>
    <s v="Europe"/>
    <d v="2025-07-01T00:00:00"/>
  </r>
  <r>
    <s v="SHP00999"/>
    <s v="BK50999"/>
    <d v="2025-03-14T00:00:00"/>
    <d v="2025-03-15T00:00:00"/>
    <d v="2025-04-12T00:00:00"/>
    <s v="Bosch"/>
    <s v="Manufacturing"/>
    <s v="Germany"/>
    <s v="Shanghai"/>
    <s v="Rotterdam"/>
    <x v="1"/>
    <s v="Ever Ace"/>
    <s v="40FT"/>
    <n v="1"/>
    <s v="Auto Parts"/>
    <n v="28409.74"/>
    <n v="6430.08"/>
    <n v="1628.26"/>
    <n v="802.71"/>
    <n v="284.10000000000002"/>
    <n v="125.37"/>
    <n v="1921.35"/>
    <n v="17217.87"/>
    <n v="24"/>
    <s v="Port Congestion"/>
    <n v="53.58"/>
    <s v="Delayed"/>
    <s v="Paid"/>
    <s v="Critical"/>
    <s v="A. Tan"/>
    <s v="Europe"/>
    <d v="2025-03-01T00:00:00"/>
  </r>
  <r>
    <s v="SHP00758"/>
    <s v="BK50758"/>
    <d v="2025-03-29T00:00:00"/>
    <d v="2025-04-02T00:00:00"/>
    <d v="2025-04-23T00:00:00"/>
    <s v="Reliance"/>
    <s v="Retail"/>
    <s v="India"/>
    <s v="Colombo"/>
    <s v="Singapore"/>
    <x v="4"/>
    <s v="MSC Gülsün"/>
    <s v="40FT"/>
    <n v="2"/>
    <s v="Electronics"/>
    <n v="28561.45"/>
    <n v="7231.68"/>
    <n v="1284.56"/>
    <n v="837.35"/>
    <n v="285.61"/>
    <n v="346.56"/>
    <n v="1003.9"/>
    <n v="17571.79"/>
    <n v="4"/>
    <s v="Mechanical"/>
    <n v="60.26"/>
    <s v="Delayed"/>
    <s v="Pending"/>
    <s v="Critical"/>
    <s v="A. Tan"/>
    <s v="Asia"/>
    <d v="2025-03-01T00:00:00"/>
  </r>
  <r>
    <s v="SHP00566"/>
    <s v="BK50566"/>
    <d v="2025-03-28T00:00:00"/>
    <d v="2025-03-30T00:00:00"/>
    <d v="2025-04-11T00:00:00"/>
    <s v="Reliance"/>
    <s v="Retail"/>
    <s v="India"/>
    <s v="Shanghai"/>
    <s v="Rotterdam"/>
    <x v="1"/>
    <s v="Ever Ace"/>
    <s v="Reefer"/>
    <n v="1"/>
    <s v="Machinery"/>
    <n v="28626.83"/>
    <n v="4678.7700000000004"/>
    <n v="1355.56"/>
    <n v="456.76"/>
    <n v="286.27"/>
    <n v="803.14"/>
    <n v="2454.31"/>
    <n v="18592.02"/>
    <n v="36"/>
    <s v="Mechanical"/>
    <n v="38.99"/>
    <s v="Delayed"/>
    <s v="Paid"/>
    <s v="Critical"/>
    <s v="M. Ahmed"/>
    <s v="Middle East"/>
    <d v="2025-03-01T00:00:00"/>
  </r>
  <r>
    <s v="SHP00479"/>
    <s v="BK50479"/>
    <d v="2025-08-08T00:00:00"/>
    <d v="2025-08-12T00:00:00"/>
    <d v="2025-08-23T00:00:00"/>
    <s v="Pfizer"/>
    <s v="Pharma"/>
    <s v="USA"/>
    <s v="Nhava Sheva"/>
    <s v="Los Angeles"/>
    <x v="2"/>
    <s v="Monaco Maersk"/>
    <s v="40FT"/>
    <n v="2"/>
    <s v="Electronics"/>
    <n v="28767.61"/>
    <n v="8371.75"/>
    <n v="1822"/>
    <n v="781.31"/>
    <n v="287.68"/>
    <n v="712.09"/>
    <n v="844.16"/>
    <n v="15948.62"/>
    <n v="4"/>
    <s v="Weather"/>
    <n v="69.760000000000005"/>
    <s v="Delayed"/>
    <s v="Pending"/>
    <s v="Standard"/>
    <s v="A. Tan"/>
    <s v="Middle East"/>
    <d v="2025-08-01T00:00:00"/>
  </r>
  <r>
    <s v="SHP00663"/>
    <s v="BK50663"/>
    <d v="2025-10-13T00:00:00"/>
    <d v="2025-10-16T00:00:00"/>
    <d v="2025-11-04T00:00:00"/>
    <s v="Siemens"/>
    <s v="Engineering"/>
    <s v="Germany"/>
    <s v="Rotterdam"/>
    <s v="Colombo"/>
    <x v="2"/>
    <s v="Madrid Maersk"/>
    <s v="20FT"/>
    <n v="4"/>
    <s v="Auto Parts"/>
    <n v="28770.400000000001"/>
    <n v="4610.47"/>
    <n v="1322.15"/>
    <n v="461.76"/>
    <n v="287.7"/>
    <n v="882.64"/>
    <n v="476.03"/>
    <n v="20729.650000000001"/>
    <n v="4"/>
    <s v="Customs"/>
    <n v="38.42"/>
    <s v="Delayed"/>
    <s v="Paid"/>
    <s v="High"/>
    <s v="L. Chen"/>
    <s v="North America"/>
    <d v="2025-10-01T00:00:00"/>
  </r>
  <r>
    <s v="SHP00939"/>
    <s v="BK50939"/>
    <d v="2025-04-29T00:00:00"/>
    <d v="2025-05-02T00:00:00"/>
    <d v="2025-05-13T00:00:00"/>
    <s v="Reliance"/>
    <s v="Retail"/>
    <s v="India"/>
    <s v="Busan"/>
    <s v="Los Angeles"/>
    <x v="3"/>
    <s v="Monaco Maersk"/>
    <s v="High Cube"/>
    <n v="1"/>
    <s v="Electronics"/>
    <n v="28861.42"/>
    <n v="5151.3"/>
    <n v="1841.37"/>
    <n v="792.88"/>
    <n v="288.61"/>
    <n v="793.91"/>
    <n v="2446.94"/>
    <n v="17546.41"/>
    <n v="0"/>
    <s v="None"/>
    <n v="42.93"/>
    <s v="Completed"/>
    <s v="Pending"/>
    <s v="High"/>
    <s v="R. Mehta"/>
    <s v="North America"/>
    <d v="2025-04-01T00:00:00"/>
  </r>
  <r>
    <s v="SHP00587"/>
    <s v="BK50587"/>
    <d v="2025-11-07T00:00:00"/>
    <d v="2025-11-10T00:00:00"/>
    <d v="2025-11-25T00:00:00"/>
    <s v="Toyota"/>
    <s v="Automotive"/>
    <s v="Japan"/>
    <s v="Colombo"/>
    <s v="Singapore"/>
    <x v="4"/>
    <s v="Mary Maersk"/>
    <s v="Reefer"/>
    <n v="1"/>
    <s v="Auto Parts"/>
    <n v="28911.79"/>
    <n v="6837.37"/>
    <n v="1622.31"/>
    <n v="814.49"/>
    <n v="289.12"/>
    <n v="166.23"/>
    <n v="2165.2199999999998"/>
    <n v="17017.05"/>
    <n v="0"/>
    <s v="None"/>
    <n v="56.98"/>
    <s v="Completed"/>
    <s v="Paid"/>
    <s v="Standard"/>
    <s v="M. Ahmed"/>
    <s v="Europe"/>
    <d v="2025-11-01T00:00:00"/>
  </r>
  <r>
    <s v="SHP00417"/>
    <s v="BK50417"/>
    <d v="2025-02-11T00:00:00"/>
    <d v="2025-02-14T00:00:00"/>
    <d v="2025-03-03T00:00:00"/>
    <s v="Toyota"/>
    <s v="Automotive"/>
    <s v="Japan"/>
    <s v="Jebel Ali"/>
    <s v="Nhava Sheva"/>
    <x v="0"/>
    <s v="Mumbai Maersk"/>
    <s v="40FT"/>
    <n v="1"/>
    <s v="Auto Parts"/>
    <n v="29001.81"/>
    <n v="5406.62"/>
    <n v="1930.26"/>
    <n v="798.05"/>
    <n v="290.02"/>
    <n v="520.6"/>
    <n v="795.63"/>
    <n v="19260.63"/>
    <n v="36"/>
    <s v="Weather"/>
    <n v="45.06"/>
    <s v="Delayed"/>
    <s v="Paid"/>
    <s v="Critical"/>
    <s v="J. Smith"/>
    <s v="Middle East"/>
    <d v="2025-02-01T00:00:00"/>
  </r>
  <r>
    <s v="SHP00948"/>
    <s v="BK50948"/>
    <d v="2025-03-24T00:00:00"/>
    <d v="2025-03-26T00:00:00"/>
    <d v="2025-04-08T00:00:00"/>
    <s v="Reliance"/>
    <s v="Retail"/>
    <s v="India"/>
    <s v="Los Angeles"/>
    <s v="Colombo"/>
    <x v="2"/>
    <s v="MSC Gülsün"/>
    <s v="40FT"/>
    <n v="1"/>
    <s v="Food"/>
    <n v="29187.24"/>
    <n v="7963.21"/>
    <n v="1334.31"/>
    <n v="313.14999999999998"/>
    <n v="291.87"/>
    <n v="884.14"/>
    <n v="957.18"/>
    <n v="17443.38"/>
    <n v="0"/>
    <s v="None"/>
    <n v="66.36"/>
    <s v="Completed"/>
    <s v="Paid"/>
    <s v="High"/>
    <s v="A. Tan"/>
    <s v="Europe"/>
    <d v="2025-03-01T00:00:00"/>
  </r>
  <r>
    <s v="SHP00048"/>
    <s v="BK50048"/>
    <d v="2025-07-14T00:00:00"/>
    <d v="2025-07-18T00:00:00"/>
    <d v="2025-08-10T00:00:00"/>
    <s v="Samsung"/>
    <s v="Electronics"/>
    <s v="South Korea"/>
    <s v="Shanghai"/>
    <s v="Rotterdam"/>
    <x v="1"/>
    <s v="Ever Ace"/>
    <s v="40FT"/>
    <n v="1"/>
    <s v="Chemicals"/>
    <n v="29210.67"/>
    <n v="7799.79"/>
    <n v="1624.31"/>
    <n v="437.6"/>
    <n v="292.11"/>
    <n v="443.3"/>
    <n v="1372"/>
    <n v="17241.560000000001"/>
    <n v="0"/>
    <s v="None"/>
    <n v="65"/>
    <s v="Completed"/>
    <s v="Pending"/>
    <s v="Critical"/>
    <s v="A. Tan"/>
    <s v="Middle East"/>
    <d v="2025-07-01T00:00:00"/>
  </r>
  <r>
    <s v="SHP00215"/>
    <s v="BK50215"/>
    <d v="2025-08-29T00:00:00"/>
    <d v="2025-08-30T00:00:00"/>
    <d v="2025-09-17T00:00:00"/>
    <s v="Toyota"/>
    <s v="Automotive"/>
    <s v="Japan"/>
    <s v="Jebel Ali"/>
    <s v="Nhava Sheva"/>
    <x v="0"/>
    <s v="Mumbai Maersk"/>
    <s v="20FT"/>
    <n v="2"/>
    <s v="Electronics"/>
    <n v="29357.94"/>
    <n v="7923.52"/>
    <n v="2211.52"/>
    <n v="424.53"/>
    <n v="293.58"/>
    <n v="254.35"/>
    <n v="1776.43"/>
    <n v="16474.009999999998"/>
    <n v="0"/>
    <s v="None"/>
    <n v="66.03"/>
    <s v="Completed"/>
    <s v="Paid"/>
    <s v="Critical"/>
    <s v="A. Tan"/>
    <s v="North America"/>
    <d v="2025-08-01T00:00:00"/>
  </r>
  <r>
    <s v="SHP00261"/>
    <s v="BK50261"/>
    <d v="2025-03-11T00:00:00"/>
    <d v="2025-03-14T00:00:00"/>
    <d v="2025-04-10T00:00:00"/>
    <s v="Adidas"/>
    <s v="Retail"/>
    <s v="Germany"/>
    <s v="Jebel Ali"/>
    <s v="Nhava Sheva"/>
    <x v="0"/>
    <s v="CMA CGM Jacques Saadé"/>
    <s v="High Cube"/>
    <n v="2"/>
    <s v="Chemicals"/>
    <n v="29362.94"/>
    <n v="5497.2"/>
    <n v="1797.7"/>
    <n v="758.55"/>
    <n v="293.63"/>
    <n v="785.44"/>
    <n v="1758.44"/>
    <n v="18471.98"/>
    <n v="0"/>
    <s v="None"/>
    <n v="45.81"/>
    <s v="Completed"/>
    <s v="Pending"/>
    <s v="Standard"/>
    <s v="M. Ahmed"/>
    <s v="Middle East"/>
    <d v="2025-03-01T00:00:00"/>
  </r>
  <r>
    <s v="SHP00315"/>
    <s v="BK50315"/>
    <d v="2025-08-01T00:00:00"/>
    <d v="2025-08-02T00:00:00"/>
    <d v="2025-08-23T00:00:00"/>
    <s v="Samsung"/>
    <s v="Electronics"/>
    <s v="South Korea"/>
    <s v="Busan"/>
    <s v="Singapore"/>
    <x v="2"/>
    <s v="OOCL Hong Kong"/>
    <s v="40FT"/>
    <n v="2"/>
    <s v="Machinery"/>
    <n v="29420.17"/>
    <n v="5299.55"/>
    <n v="2129.66"/>
    <n v="518.46"/>
    <n v="294.2"/>
    <n v="881.4"/>
    <n v="1321.71"/>
    <n v="18975.189999999999"/>
    <n v="12"/>
    <s v="Mechanical"/>
    <n v="44.16"/>
    <s v="Delayed"/>
    <s v="Pending"/>
    <s v="High"/>
    <s v="L. Chen"/>
    <s v="North America"/>
    <d v="2025-08-01T00:00:00"/>
  </r>
  <r>
    <s v="SHP00792"/>
    <s v="BK50792"/>
    <d v="2025-11-22T00:00:00"/>
    <d v="2025-11-25T00:00:00"/>
    <d v="2025-12-06T00:00:00"/>
    <s v="Adidas"/>
    <s v="Retail"/>
    <s v="Germany"/>
    <s v="Shanghai"/>
    <s v="Rotterdam"/>
    <x v="1"/>
    <s v="OOCL Hong Kong"/>
    <s v="Reefer"/>
    <n v="2"/>
    <s v="Textiles"/>
    <n v="29510.7"/>
    <n v="7953.22"/>
    <n v="1865.99"/>
    <n v="768.48"/>
    <n v="295.11"/>
    <n v="586.52"/>
    <n v="816.21"/>
    <n v="17225.169999999998"/>
    <n v="0"/>
    <s v="None"/>
    <n v="66.28"/>
    <s v="Completed"/>
    <s v="Pending"/>
    <s v="High"/>
    <s v="J. Smith"/>
    <s v="Middle East"/>
    <d v="2025-11-01T00:00:00"/>
  </r>
  <r>
    <s v="SHP00540"/>
    <s v="BK50540"/>
    <d v="2025-10-22T00:00:00"/>
    <d v="2025-10-24T00:00:00"/>
    <d v="2025-11-06T00:00:00"/>
    <s v="Unilever"/>
    <s v="FMCG"/>
    <s v="UK"/>
    <s v="Busan"/>
    <s v="Los Angeles"/>
    <x v="3"/>
    <s v="Madrid Maersk"/>
    <s v="High Cube"/>
    <n v="1"/>
    <s v="Auto Parts"/>
    <n v="29588.86"/>
    <n v="7410.44"/>
    <n v="2300.4899999999998"/>
    <n v="513.01"/>
    <n v="295.89"/>
    <n v="812.83"/>
    <n v="1790.47"/>
    <n v="16465.73"/>
    <n v="12"/>
    <s v="Port Congestion"/>
    <n v="61.75"/>
    <s v="Delayed"/>
    <s v="Paid"/>
    <s v="Standard"/>
    <s v="R. Mehta"/>
    <s v="Asia"/>
    <d v="2025-10-01T00:00:00"/>
  </r>
  <r>
    <s v="SHP00208"/>
    <s v="BK50208"/>
    <d v="2025-09-01T00:00:00"/>
    <d v="2025-09-02T00:00:00"/>
    <d v="2025-09-16T00:00:00"/>
    <s v="Pfizer"/>
    <s v="Pharma"/>
    <s v="USA"/>
    <s v="Busan"/>
    <s v="Shanghai"/>
    <x v="2"/>
    <s v="Mary Maersk"/>
    <s v="20FT"/>
    <n v="1"/>
    <s v="Food"/>
    <n v="29735.69"/>
    <n v="5549.59"/>
    <n v="1885.66"/>
    <n v="659.53"/>
    <n v="297.36"/>
    <n v="348.07"/>
    <n v="1644.34"/>
    <n v="19351.14"/>
    <n v="8"/>
    <s v="Weather"/>
    <n v="46.25"/>
    <s v="Delayed"/>
    <s v="Paid"/>
    <s v="Critical"/>
    <s v="A. Tan"/>
    <s v="Middle East"/>
    <d v="2025-09-01T00:00:00"/>
  </r>
  <r>
    <s v="SHP00772"/>
    <s v="BK50772"/>
    <d v="2025-11-04T00:00:00"/>
    <d v="2025-11-05T00:00:00"/>
    <d v="2025-12-04T00:00:00"/>
    <s v="Adidas"/>
    <s v="Retail"/>
    <s v="Germany"/>
    <s v="Jebel Ali"/>
    <s v="Nhava Sheva"/>
    <x v="0"/>
    <s v="CMA CGM Jacques Saadé"/>
    <s v="High Cube"/>
    <n v="2"/>
    <s v="Machinery"/>
    <n v="29754.01"/>
    <n v="6104.07"/>
    <n v="1300.21"/>
    <n v="512.63"/>
    <n v="297.54000000000002"/>
    <n v="642.95000000000005"/>
    <n v="1500.46"/>
    <n v="19396.150000000001"/>
    <n v="24"/>
    <s v="Mechanical"/>
    <n v="50.87"/>
    <s v="Delayed"/>
    <s v="Paid"/>
    <s v="Standard"/>
    <s v="M. Ahmed"/>
    <s v="Middle East"/>
    <d v="2025-11-01T00:00:00"/>
  </r>
  <r>
    <s v="SHP00332"/>
    <s v="BK50332"/>
    <d v="2025-03-22T00:00:00"/>
    <d v="2025-03-24T00:00:00"/>
    <d v="2025-04-14T00:00:00"/>
    <s v="Siemens"/>
    <s v="Engineering"/>
    <s v="Germany"/>
    <s v="Jebel Ali"/>
    <s v="Nhava Sheva"/>
    <x v="0"/>
    <s v="OOCL Hong Kong"/>
    <s v="High Cube"/>
    <n v="1"/>
    <s v="Textiles"/>
    <n v="29759.15"/>
    <n v="7991.68"/>
    <n v="2241.2600000000002"/>
    <n v="878.94"/>
    <n v="297.58999999999997"/>
    <n v="550.94000000000005"/>
    <n v="2412.88"/>
    <n v="15385.86"/>
    <n v="24"/>
    <s v="Weather"/>
    <n v="66.599999999999994"/>
    <s v="Delayed"/>
    <s v="Pending"/>
    <s v="Standard"/>
    <s v="M. Ahmed"/>
    <s v="Asia"/>
    <d v="2025-03-01T00:00:00"/>
  </r>
  <r>
    <s v="SHP00969"/>
    <s v="BK50969"/>
    <d v="2025-11-08T00:00:00"/>
    <d v="2025-11-10T00:00:00"/>
    <d v="2025-11-25T00:00:00"/>
    <s v="Samsung"/>
    <s v="Electronics"/>
    <s v="South Korea"/>
    <s v="Shanghai"/>
    <s v="Hamburg"/>
    <x v="2"/>
    <s v="Monaco Maersk"/>
    <s v="High Cube"/>
    <n v="1"/>
    <s v="Electronics"/>
    <n v="29813.14"/>
    <n v="6465.27"/>
    <n v="2180.38"/>
    <n v="317.92"/>
    <n v="298.13"/>
    <n v="850.62"/>
    <n v="369.64"/>
    <n v="19331.18"/>
    <n v="12"/>
    <s v="Mechanical"/>
    <n v="53.88"/>
    <s v="Delayed"/>
    <s v="Pending"/>
    <s v="High"/>
    <s v="A. Tan"/>
    <s v="North America"/>
    <d v="2025-11-01T00:00:00"/>
  </r>
  <r>
    <s v="SHP00561"/>
    <s v="BK50561"/>
    <d v="2025-04-15T00:00:00"/>
    <d v="2025-04-18T00:00:00"/>
    <d v="2025-04-30T00:00:00"/>
    <s v="Samsung"/>
    <s v="Electronics"/>
    <s v="South Korea"/>
    <s v="Singapore"/>
    <s v="Rotterdam"/>
    <x v="1"/>
    <s v="Mary Maersk"/>
    <s v="20FT"/>
    <n v="1"/>
    <s v="Textiles"/>
    <n v="29940.25"/>
    <n v="6362.72"/>
    <n v="2307.3200000000002"/>
    <n v="665.38"/>
    <n v="299.39999999999998"/>
    <n v="551.85"/>
    <n v="814.86"/>
    <n v="18938.72"/>
    <n v="24"/>
    <s v="Labor Strike"/>
    <n v="53.02"/>
    <s v="Delayed"/>
    <s v="Paid"/>
    <s v="Critical"/>
    <s v="A. Tan"/>
    <s v="Middle East"/>
    <d v="2025-04-01T00:00:00"/>
  </r>
  <r>
    <s v="SHP00958"/>
    <s v="BK50958"/>
    <d v="2025-03-22T00:00:00"/>
    <d v="2025-03-25T00:00:00"/>
    <d v="2025-04-09T00:00:00"/>
    <s v="Samsung"/>
    <s v="Electronics"/>
    <s v="South Korea"/>
    <s v="Colombo"/>
    <s v="Singapore"/>
    <x v="4"/>
    <s v="Ever Ace"/>
    <s v="20FT"/>
    <n v="2"/>
    <s v="Furniture"/>
    <n v="29965.39"/>
    <n v="8292.17"/>
    <n v="1214.8900000000001"/>
    <n v="843.89"/>
    <n v="299.64999999999998"/>
    <n v="851.8"/>
    <n v="566.98"/>
    <n v="17896.009999999998"/>
    <n v="48"/>
    <s v="Weather"/>
    <n v="69.099999999999994"/>
    <s v="Delayed"/>
    <s v="Pending"/>
    <s v="Standard"/>
    <s v="R. Mehta"/>
    <s v="North America"/>
    <d v="2025-03-01T00:00:00"/>
  </r>
  <r>
    <s v="SHP00942"/>
    <s v="BK50942"/>
    <d v="2025-06-03T00:00:00"/>
    <d v="2025-06-07T00:00:00"/>
    <d v="2025-06-23T00:00:00"/>
    <s v="Samsung"/>
    <s v="Electronics"/>
    <s v="South Korea"/>
    <s v="Nhava Sheva"/>
    <s v="Jebel Ali"/>
    <x v="2"/>
    <s v="CMA CGM Jacques Saadé"/>
    <s v="40FT"/>
    <n v="1"/>
    <s v="Auto Parts"/>
    <n v="30068.07"/>
    <n v="7991.02"/>
    <n v="1222.42"/>
    <n v="362.49"/>
    <n v="300.68"/>
    <n v="398.53"/>
    <n v="408.54"/>
    <n v="19384.39"/>
    <n v="36"/>
    <s v="Mechanical"/>
    <n v="66.59"/>
    <s v="Delayed"/>
    <s v="Paid"/>
    <s v="Critical"/>
    <s v="R. Mehta"/>
    <s v="Europe"/>
    <d v="2025-06-01T00:00:00"/>
  </r>
  <r>
    <s v="SHP00825"/>
    <s v="BK50825"/>
    <d v="2025-04-02T00:00:00"/>
    <d v="2025-04-06T00:00:00"/>
    <d v="2025-04-22T00:00:00"/>
    <s v="Amazon"/>
    <s v="E-commerce"/>
    <s v="USA"/>
    <s v="Colombo"/>
    <s v="Colombo"/>
    <x v="2"/>
    <s v="Ever Ace"/>
    <s v="Reefer"/>
    <n v="1"/>
    <s v="Furniture"/>
    <n v="30142.02"/>
    <n v="5817.85"/>
    <n v="1900.19"/>
    <n v="650.12"/>
    <n v="301.42"/>
    <n v="536.34"/>
    <n v="314.05"/>
    <n v="20622.05"/>
    <n v="36"/>
    <s v="Labor Strike"/>
    <n v="48.48"/>
    <s v="Delayed"/>
    <s v="Paid"/>
    <s v="Standard"/>
    <s v="R. Mehta"/>
    <s v="North America"/>
    <d v="2025-04-01T00:00:00"/>
  </r>
  <r>
    <s v="SHP00463"/>
    <s v="BK50463"/>
    <d v="2025-04-11T00:00:00"/>
    <d v="2025-04-14T00:00:00"/>
    <d v="2025-04-26T00:00:00"/>
    <s v="Bosch"/>
    <s v="Manufacturing"/>
    <s v="Germany"/>
    <s v="Shanghai"/>
    <s v="Rotterdam"/>
    <x v="1"/>
    <s v="OOCL Hong Kong"/>
    <s v="High Cube"/>
    <n v="2"/>
    <s v="Auto Parts"/>
    <n v="30155.97"/>
    <n v="6038.3"/>
    <n v="1360.96"/>
    <n v="843.38"/>
    <n v="301.56"/>
    <n v="591.35"/>
    <n v="1073.98"/>
    <n v="19946.439999999999"/>
    <n v="48"/>
    <s v="Port Congestion"/>
    <n v="50.32"/>
    <s v="Delayed"/>
    <s v="Pending"/>
    <s v="Standard"/>
    <s v="L. Chen"/>
    <s v="Middle East"/>
    <d v="2025-04-01T00:00:00"/>
  </r>
  <r>
    <s v="SHP00991"/>
    <s v="BK50991"/>
    <d v="2025-11-25T00:00:00"/>
    <d v="2025-11-28T00:00:00"/>
    <d v="2025-12-22T00:00:00"/>
    <s v="Pfizer"/>
    <s v="Pharma"/>
    <s v="USA"/>
    <s v="Shanghai"/>
    <s v="Busan"/>
    <x v="2"/>
    <s v="Mary Maersk"/>
    <s v="20FT"/>
    <n v="1"/>
    <s v="Electronics"/>
    <n v="30175.15"/>
    <n v="5196.0200000000004"/>
    <n v="2314.39"/>
    <n v="681.07"/>
    <n v="301.75"/>
    <n v="402.65"/>
    <n v="2127.35"/>
    <n v="19151.919999999998"/>
    <n v="0"/>
    <s v="None"/>
    <n v="43.3"/>
    <s v="Completed"/>
    <s v="Paid"/>
    <s v="Critical"/>
    <s v="M. Ahmed"/>
    <s v="Asia"/>
    <d v="2025-11-01T00:00:00"/>
  </r>
  <r>
    <s v="SHP00155"/>
    <s v="BK50155"/>
    <d v="2025-03-19T00:00:00"/>
    <d v="2025-03-23T00:00:00"/>
    <d v="2025-04-03T00:00:00"/>
    <s v="Adidas"/>
    <s v="Retail"/>
    <s v="Germany"/>
    <s v="Singapore"/>
    <s v="Rotterdam"/>
    <x v="1"/>
    <s v="CMA CGM Jacques Saadé"/>
    <s v="20FT"/>
    <n v="2"/>
    <s v="Food"/>
    <n v="30223.15"/>
    <n v="8306.3700000000008"/>
    <n v="1592.75"/>
    <n v="450.98"/>
    <n v="302.23"/>
    <n v="702.09"/>
    <n v="2373.12"/>
    <n v="16495.61"/>
    <n v="36"/>
    <s v="Customs"/>
    <n v="69.22"/>
    <s v="Delayed"/>
    <s v="Paid"/>
    <s v="High"/>
    <s v="A. Tan"/>
    <s v="North America"/>
    <d v="2025-03-01T00:00:00"/>
  </r>
  <r>
    <s v="SHP00718"/>
    <s v="BK50718"/>
    <d v="2025-04-01T00:00:00"/>
    <d v="2025-04-05T00:00:00"/>
    <d v="2025-05-03T00:00:00"/>
    <s v="Unilever"/>
    <s v="FMCG"/>
    <s v="UK"/>
    <s v="Singapore"/>
    <s v="Rotterdam"/>
    <x v="1"/>
    <s v="Madrid Maersk"/>
    <s v="Reefer"/>
    <n v="1"/>
    <s v="Electronics"/>
    <n v="30284.18"/>
    <n v="5503.75"/>
    <n v="1906.47"/>
    <n v="735.09"/>
    <n v="302.83999999999997"/>
    <n v="626.11"/>
    <n v="1254.54"/>
    <n v="19955.38"/>
    <n v="0"/>
    <s v="None"/>
    <n v="45.86"/>
    <s v="Completed"/>
    <s v="Pending"/>
    <s v="Critical"/>
    <s v="J. Smith"/>
    <s v="North America"/>
    <d v="2025-04-01T00:00:00"/>
  </r>
  <r>
    <s v="SHP00351"/>
    <s v="BK50351"/>
    <d v="2025-05-31T00:00:00"/>
    <d v="2025-06-01T00:00:00"/>
    <d v="2025-06-30T00:00:00"/>
    <s v="Unilever"/>
    <s v="FMCG"/>
    <s v="UK"/>
    <s v="Nhava Sheva"/>
    <s v="New York"/>
    <x v="2"/>
    <s v="Monaco Maersk"/>
    <s v="Reefer"/>
    <n v="2"/>
    <s v="Textiles"/>
    <n v="30303.39"/>
    <n v="6546.17"/>
    <n v="1887.15"/>
    <n v="339.01"/>
    <n v="303.02999999999997"/>
    <n v="820.44"/>
    <n v="2359.17"/>
    <n v="18048.419999999998"/>
    <n v="48"/>
    <s v="Labor Strike"/>
    <n v="54.55"/>
    <s v="Delayed"/>
    <s v="Paid"/>
    <s v="High"/>
    <s v="M. Ahmed"/>
    <s v="North America"/>
    <d v="2025-05-01T00:00:00"/>
  </r>
  <r>
    <s v="SHP00058"/>
    <s v="BK50058"/>
    <d v="2025-09-26T00:00:00"/>
    <d v="2025-09-28T00:00:00"/>
    <d v="2025-10-23T00:00:00"/>
    <s v="Toyota"/>
    <s v="Automotive"/>
    <s v="Japan"/>
    <s v="Colombo"/>
    <s v="Singapore"/>
    <x v="4"/>
    <s v="Monaco Maersk"/>
    <s v="20FT"/>
    <n v="2"/>
    <s v="Textiles"/>
    <n v="30407.360000000001"/>
    <n v="5458.48"/>
    <n v="1299.43"/>
    <n v="402.85"/>
    <n v="304.07"/>
    <n v="847.42"/>
    <n v="977.5"/>
    <n v="21117.61"/>
    <n v="4"/>
    <s v="Weather"/>
    <n v="45.49"/>
    <s v="Delayed"/>
    <s v="Pending"/>
    <s v="Standard"/>
    <s v="R. Mehta"/>
    <s v="Europe"/>
    <d v="2025-09-01T00:00:00"/>
  </r>
  <r>
    <s v="SHP00312"/>
    <s v="BK50312"/>
    <d v="2025-06-25T00:00:00"/>
    <d v="2025-06-26T00:00:00"/>
    <d v="2025-07-17T00:00:00"/>
    <s v="Amazon"/>
    <s v="E-commerce"/>
    <s v="USA"/>
    <s v="Jebel Ali"/>
    <s v="Nhava Sheva"/>
    <x v="0"/>
    <s v="OOCL Hong Kong"/>
    <s v="40FT"/>
    <n v="1"/>
    <s v="Furniture"/>
    <n v="30415.03"/>
    <n v="8328.57"/>
    <n v="1730.04"/>
    <n v="905.76"/>
    <n v="304.14999999999998"/>
    <n v="310.16000000000003"/>
    <n v="2145.25"/>
    <n v="16691.099999999999"/>
    <n v="4"/>
    <s v="Customs"/>
    <n v="69.400000000000006"/>
    <s v="Delayed"/>
    <s v="Pending"/>
    <s v="Standard"/>
    <s v="R. Mehta"/>
    <s v="Middle East"/>
    <d v="2025-06-01T00:00:00"/>
  </r>
  <r>
    <s v="SHP00675"/>
    <s v="BK50675"/>
    <d v="2025-07-22T00:00:00"/>
    <d v="2025-07-23T00:00:00"/>
    <d v="2025-08-13T00:00:00"/>
    <s v="Toyota"/>
    <s v="Automotive"/>
    <s v="Japan"/>
    <s v="Rotterdam"/>
    <s v="Nhava Sheva"/>
    <x v="2"/>
    <s v="MSC Gülsün"/>
    <s v="High Cube"/>
    <n v="1"/>
    <s v="Auto Parts"/>
    <n v="30465.05"/>
    <n v="8606.6"/>
    <n v="1660.11"/>
    <n v="476.6"/>
    <n v="304.64999999999998"/>
    <n v="455.83"/>
    <n v="1750.7"/>
    <n v="17210.560000000001"/>
    <n v="48"/>
    <s v="Port Congestion"/>
    <n v="71.72"/>
    <s v="Delayed"/>
    <s v="Pending"/>
    <s v="Critical"/>
    <s v="L. Chen"/>
    <s v="Middle East"/>
    <d v="2025-07-01T00:00:00"/>
  </r>
  <r>
    <s v="SHP00760"/>
    <s v="BK50760"/>
    <d v="2025-01-05T00:00:00"/>
    <d v="2025-01-07T00:00:00"/>
    <d v="2025-01-17T00:00:00"/>
    <s v="Reliance"/>
    <s v="Retail"/>
    <s v="India"/>
    <s v="Colombo"/>
    <s v="Singapore"/>
    <x v="4"/>
    <s v="Madrid Maersk"/>
    <s v="High Cube"/>
    <n v="1"/>
    <s v="Food"/>
    <n v="30557.77"/>
    <n v="6327.7"/>
    <n v="1296.25"/>
    <n v="625.66"/>
    <n v="305.58"/>
    <n v="487.2"/>
    <n v="1697.35"/>
    <n v="19818.03"/>
    <n v="4"/>
    <s v="Weather"/>
    <n v="52.73"/>
    <s v="Delayed"/>
    <s v="Paid"/>
    <s v="High"/>
    <s v="R. Mehta"/>
    <s v="Europe"/>
    <d v="2025-01-01T00:00:00"/>
  </r>
  <r>
    <s v="SHP00009"/>
    <s v="BK50009"/>
    <d v="2025-05-05T00:00:00"/>
    <d v="2025-05-09T00:00:00"/>
    <d v="2025-06-04T00:00:00"/>
    <s v="Pfizer"/>
    <s v="Pharma"/>
    <s v="USA"/>
    <s v="Singapore"/>
    <s v="Rotterdam"/>
    <x v="1"/>
    <s v="Ever Ace"/>
    <s v="Reefer"/>
    <n v="1"/>
    <s v="Electronics"/>
    <n v="30629.18"/>
    <n v="5075.16"/>
    <n v="1696.72"/>
    <n v="775.69"/>
    <n v="306.29000000000002"/>
    <n v="382.9"/>
    <n v="638.34"/>
    <n v="21754.080000000002"/>
    <n v="0"/>
    <s v="None"/>
    <n v="42.29"/>
    <s v="Completed"/>
    <s v="Pending"/>
    <s v="Critical"/>
    <s v="R. Mehta"/>
    <s v="North America"/>
    <d v="2025-05-01T00:00:00"/>
  </r>
  <r>
    <s v="SHP00214"/>
    <s v="BK50214"/>
    <d v="2025-05-30T00:00:00"/>
    <d v="2025-06-01T00:00:00"/>
    <d v="2025-06-18T00:00:00"/>
    <s v="Nestlé"/>
    <s v="Food"/>
    <s v="Switzerland"/>
    <s v="Jebel Ali"/>
    <s v="Nhava Sheva"/>
    <x v="0"/>
    <s v="Mumbai Maersk"/>
    <s v="40FT"/>
    <n v="1"/>
    <s v="Furniture"/>
    <n v="30651.41"/>
    <n v="9008.34"/>
    <n v="1779.01"/>
    <n v="753.72"/>
    <n v="306.51"/>
    <n v="710.73"/>
    <n v="865.81"/>
    <n v="17227.29"/>
    <n v="0"/>
    <s v="None"/>
    <n v="75.069999999999993"/>
    <s v="Completed"/>
    <s v="Pending"/>
    <s v="High"/>
    <s v="A. Tan"/>
    <s v="North America"/>
    <d v="2025-05-01T00:00:00"/>
  </r>
  <r>
    <s v="SHP00903"/>
    <s v="BK50903"/>
    <d v="2025-04-09T00:00:00"/>
    <d v="2025-04-11T00:00:00"/>
    <d v="2025-05-04T00:00:00"/>
    <s v="Bosch"/>
    <s v="Manufacturing"/>
    <s v="Germany"/>
    <s v="Colombo"/>
    <s v="Busan"/>
    <x v="2"/>
    <s v="MSC Gülsün"/>
    <s v="40FT"/>
    <n v="2"/>
    <s v="Chemicals"/>
    <n v="30664.69"/>
    <n v="6246.84"/>
    <n v="2367.6799999999998"/>
    <n v="633.73"/>
    <n v="306.64999999999998"/>
    <n v="289.44"/>
    <n v="1911.9"/>
    <n v="18908.45"/>
    <n v="24"/>
    <s v="Port Congestion"/>
    <n v="52.06"/>
    <s v="Delayed"/>
    <s v="Paid"/>
    <s v="High"/>
    <s v="M. Ahmed"/>
    <s v="Asia"/>
    <d v="2025-04-01T00:00:00"/>
  </r>
  <r>
    <s v="SHP00494"/>
    <s v="BK50494"/>
    <d v="2025-09-04T00:00:00"/>
    <d v="2025-09-05T00:00:00"/>
    <d v="2025-10-03T00:00:00"/>
    <s v="Toyota"/>
    <s v="Automotive"/>
    <s v="Japan"/>
    <s v="Colombo"/>
    <s v="Singapore"/>
    <x v="4"/>
    <s v="Monaco Maersk"/>
    <s v="Reefer"/>
    <n v="1"/>
    <s v="Auto Parts"/>
    <n v="30782.78"/>
    <n v="7452.91"/>
    <n v="2315.58"/>
    <n v="666.64"/>
    <n v="307.83"/>
    <n v="551.14"/>
    <n v="1650.41"/>
    <n v="17838.27"/>
    <n v="4"/>
    <s v="Weather"/>
    <n v="62.11"/>
    <s v="Delayed"/>
    <s v="Paid"/>
    <s v="High"/>
    <s v="M. Ahmed"/>
    <s v="Europe"/>
    <d v="2025-09-01T00:00:00"/>
  </r>
  <r>
    <s v="SHP00524"/>
    <s v="BK50524"/>
    <d v="2025-12-14T00:00:00"/>
    <d v="2025-12-18T00:00:00"/>
    <d v="2026-01-07T00:00:00"/>
    <s v="IKEA"/>
    <s v="Retail"/>
    <s v="Sweden"/>
    <s v="Shanghai"/>
    <s v="Rotterdam"/>
    <x v="1"/>
    <s v="Mary Maersk"/>
    <s v="40FT"/>
    <n v="4"/>
    <s v="Textiles"/>
    <n v="30792.02"/>
    <n v="8709.16"/>
    <n v="2410.02"/>
    <n v="643.34"/>
    <n v="307.92"/>
    <n v="173.46"/>
    <n v="426.06"/>
    <n v="18122.060000000001"/>
    <n v="0"/>
    <s v="None"/>
    <n v="72.58"/>
    <s v="Completed"/>
    <s v="Paid"/>
    <s v="Standard"/>
    <s v="M. Ahmed"/>
    <s v="Europe"/>
    <d v="2025-12-01T00:00:00"/>
  </r>
  <r>
    <s v="SHP00515"/>
    <s v="BK50515"/>
    <d v="2025-05-28T00:00:00"/>
    <d v="2025-06-01T00:00:00"/>
    <d v="2025-06-21T00:00:00"/>
    <s v="Siemens"/>
    <s v="Engineering"/>
    <s v="Germany"/>
    <s v="Singapore"/>
    <s v="Rotterdam"/>
    <x v="1"/>
    <s v="Mary Maersk"/>
    <s v="High Cube"/>
    <n v="2"/>
    <s v="Chemicals"/>
    <n v="30794.560000000001"/>
    <n v="6877.57"/>
    <n v="2120.31"/>
    <n v="402.43"/>
    <n v="307.95"/>
    <n v="702.43"/>
    <n v="1241.8900000000001"/>
    <n v="19141.98"/>
    <n v="0"/>
    <s v="None"/>
    <n v="57.31"/>
    <s v="Completed"/>
    <s v="Paid"/>
    <s v="Standard"/>
    <s v="R. Mehta"/>
    <s v="Europe"/>
    <d v="2025-05-01T00:00:00"/>
  </r>
  <r>
    <s v="SHP00195"/>
    <s v="BK50195"/>
    <d v="2025-07-01T00:00:00"/>
    <d v="2025-07-03T00:00:00"/>
    <d v="2025-07-15T00:00:00"/>
    <s v="Unilever"/>
    <s v="FMCG"/>
    <s v="UK"/>
    <s v="Busan"/>
    <s v="Los Angeles"/>
    <x v="3"/>
    <s v="Mumbai Maersk"/>
    <s v="20FT"/>
    <n v="1"/>
    <s v="Furniture"/>
    <n v="30951.47"/>
    <n v="6039.47"/>
    <n v="1470.15"/>
    <n v="607.76"/>
    <n v="309.51"/>
    <n v="877.65"/>
    <n v="765.37"/>
    <n v="20881.560000000001"/>
    <n v="4"/>
    <s v="Customs"/>
    <n v="50.33"/>
    <s v="Delayed"/>
    <s v="Pending"/>
    <s v="Standard"/>
    <s v="L. Chen"/>
    <s v="Middle East"/>
    <d v="2025-07-01T00:00:00"/>
  </r>
  <r>
    <s v="SHP00863"/>
    <s v="BK50863"/>
    <d v="2025-05-11T00:00:00"/>
    <d v="2025-05-15T00:00:00"/>
    <d v="2025-05-30T00:00:00"/>
    <s v="Adidas"/>
    <s v="Retail"/>
    <s v="Germany"/>
    <s v="Jebel Ali"/>
    <s v="Nhava Sheva"/>
    <x v="0"/>
    <s v="Mary Maersk"/>
    <s v="Reefer"/>
    <n v="1"/>
    <s v="Chemicals"/>
    <n v="31033.33"/>
    <n v="7059.07"/>
    <n v="2296.66"/>
    <n v="351.69"/>
    <n v="310.33"/>
    <n v="476.44"/>
    <n v="1476.41"/>
    <n v="19062.73"/>
    <n v="24"/>
    <s v="Weather"/>
    <n v="58.83"/>
    <s v="Delayed"/>
    <s v="Pending"/>
    <s v="Critical"/>
    <s v="R. Mehta"/>
    <s v="North America"/>
    <d v="2025-05-01T00:00:00"/>
  </r>
  <r>
    <s v="SHP00268"/>
    <s v="BK50268"/>
    <d v="2025-05-23T00:00:00"/>
    <d v="2025-05-25T00:00:00"/>
    <d v="2025-06-07T00:00:00"/>
    <s v="Reliance"/>
    <s v="Retail"/>
    <s v="India"/>
    <s v="Shanghai"/>
    <s v="Rotterdam"/>
    <x v="1"/>
    <s v="Ever Ace"/>
    <s v="High Cube"/>
    <n v="2"/>
    <s v="Electronics"/>
    <n v="31075.46"/>
    <n v="7511"/>
    <n v="1987.29"/>
    <n v="715.37"/>
    <n v="310.75"/>
    <n v="851.57"/>
    <n v="1222.81"/>
    <n v="18476.669999999998"/>
    <n v="4"/>
    <s v="Labor Strike"/>
    <n v="62.59"/>
    <s v="Delayed"/>
    <s v="Pending"/>
    <s v="Critical"/>
    <s v="R. Mehta"/>
    <s v="Asia"/>
    <d v="2025-05-01T00:00:00"/>
  </r>
  <r>
    <s v="SHP00028"/>
    <s v="BK50028"/>
    <d v="2025-09-24T00:00:00"/>
    <d v="2025-09-26T00:00:00"/>
    <d v="2025-10-12T00:00:00"/>
    <s v="Unilever"/>
    <s v="FMCG"/>
    <s v="UK"/>
    <s v="Shanghai"/>
    <s v="Rotterdam"/>
    <x v="1"/>
    <s v="CMA CGM Jacques Saadé"/>
    <s v="40FT"/>
    <n v="2"/>
    <s v="Auto Parts"/>
    <n v="31138.06"/>
    <n v="8039.4"/>
    <n v="2187.3000000000002"/>
    <n v="421.78"/>
    <n v="311.38"/>
    <n v="498.32"/>
    <n v="1451.57"/>
    <n v="18228.310000000001"/>
    <n v="0"/>
    <s v="None"/>
    <n v="66.989999999999995"/>
    <s v="Completed"/>
    <s v="Pending"/>
    <s v="Standard"/>
    <s v="J. Smith"/>
    <s v="Asia"/>
    <d v="2025-09-01T00:00:00"/>
  </r>
  <r>
    <s v="SHP00790"/>
    <s v="BK50790"/>
    <d v="2025-12-17T00:00:00"/>
    <d v="2025-12-20T00:00:00"/>
    <d v="2026-01-15T00:00:00"/>
    <s v="Toyota"/>
    <s v="Automotive"/>
    <s v="Japan"/>
    <s v="Singapore"/>
    <s v="Hamburg"/>
    <x v="2"/>
    <s v="Madrid Maersk"/>
    <s v="Reefer"/>
    <n v="1"/>
    <s v="Auto Parts"/>
    <n v="31209.62"/>
    <n v="6496.76"/>
    <n v="1525.34"/>
    <n v="584.07000000000005"/>
    <n v="312.10000000000002"/>
    <n v="498.79"/>
    <n v="1868"/>
    <n v="19924.560000000001"/>
    <n v="24"/>
    <s v="Customs"/>
    <n v="54.14"/>
    <s v="Delayed"/>
    <s v="Paid"/>
    <s v="High"/>
    <s v="J. Smith"/>
    <s v="Asia"/>
    <d v="2025-12-01T00:00:00"/>
  </r>
  <r>
    <s v="SHP00546"/>
    <s v="BK50546"/>
    <d v="2025-01-11T00:00:00"/>
    <d v="2025-01-14T00:00:00"/>
    <d v="2025-01-27T00:00:00"/>
    <s v="Adidas"/>
    <s v="Retail"/>
    <s v="Germany"/>
    <s v="Shanghai"/>
    <s v="Singapore"/>
    <x v="2"/>
    <s v="Monaco Maersk"/>
    <s v="Reefer"/>
    <n v="4"/>
    <s v="Machinery"/>
    <n v="31282.06"/>
    <n v="8474.48"/>
    <n v="2219.6"/>
    <n v="390.07"/>
    <n v="312.82"/>
    <n v="828.68"/>
    <n v="1672.76"/>
    <n v="17383.650000000001"/>
    <n v="0"/>
    <s v="None"/>
    <n v="70.62"/>
    <s v="Completed"/>
    <s v="Pending"/>
    <s v="Critical"/>
    <s v="R. Mehta"/>
    <s v="North America"/>
    <d v="2025-01-01T00:00:00"/>
  </r>
  <r>
    <s v="SHP00721"/>
    <s v="BK50721"/>
    <d v="2025-08-28T00:00:00"/>
    <d v="2025-08-30T00:00:00"/>
    <d v="2025-09-24T00:00:00"/>
    <s v="Toyota"/>
    <s v="Automotive"/>
    <s v="Japan"/>
    <s v="Busan"/>
    <s v="Busan"/>
    <x v="2"/>
    <s v="Monaco Maersk"/>
    <s v="High Cube"/>
    <n v="2"/>
    <s v="Furniture"/>
    <n v="31347.52"/>
    <n v="6440.96"/>
    <n v="1746.82"/>
    <n v="925.15"/>
    <n v="313.48"/>
    <n v="841.33"/>
    <n v="1255.08"/>
    <n v="19824.7"/>
    <n v="48"/>
    <s v="Weather"/>
    <n v="53.67"/>
    <s v="Delayed"/>
    <s v="Paid"/>
    <s v="Critical"/>
    <s v="A. Tan"/>
    <s v="Asia"/>
    <d v="2025-08-01T00:00:00"/>
  </r>
  <r>
    <s v="SHP00557"/>
    <s v="BK50557"/>
    <d v="2025-11-26T00:00:00"/>
    <d v="2025-11-27T00:00:00"/>
    <d v="2025-12-23T00:00:00"/>
    <s v="LG"/>
    <s v="Electronics"/>
    <s v="South Korea"/>
    <s v="Singapore"/>
    <s v="Rotterdam"/>
    <x v="1"/>
    <s v="CMA CGM Jacques Saadé"/>
    <s v="High Cube"/>
    <n v="1"/>
    <s v="Furniture"/>
    <n v="31367.5"/>
    <n v="8362.8700000000008"/>
    <n v="2370.7600000000002"/>
    <n v="564.96"/>
    <n v="313.68"/>
    <n v="889.82"/>
    <n v="1236.4100000000001"/>
    <n v="17629"/>
    <n v="12"/>
    <s v="Port Congestion"/>
    <n v="69.69"/>
    <s v="Delayed"/>
    <s v="Paid"/>
    <s v="Critical"/>
    <s v="A. Tan"/>
    <s v="Asia"/>
    <d v="2025-11-01T00:00:00"/>
  </r>
  <r>
    <s v="SHP00366"/>
    <s v="BK50366"/>
    <d v="2025-02-21T00:00:00"/>
    <d v="2025-02-25T00:00:00"/>
    <d v="2025-03-20T00:00:00"/>
    <s v="Siemens"/>
    <s v="Engineering"/>
    <s v="Germany"/>
    <s v="Colombo"/>
    <s v="Singapore"/>
    <x v="4"/>
    <s v="CMA CGM Jacques Saadé"/>
    <s v="High Cube"/>
    <n v="2"/>
    <s v="Machinery"/>
    <n v="31409.8"/>
    <n v="6234.92"/>
    <n v="1563.19"/>
    <n v="320.70999999999998"/>
    <n v="314.10000000000002"/>
    <n v="263.35000000000002"/>
    <n v="1378.1"/>
    <n v="21335.43"/>
    <n v="0"/>
    <s v="None"/>
    <n v="51.96"/>
    <s v="Completed"/>
    <s v="Paid"/>
    <s v="High"/>
    <s v="M. Ahmed"/>
    <s v="Asia"/>
    <d v="2025-02-01T00:00:00"/>
  </r>
  <r>
    <s v="SHP00753"/>
    <s v="BK50753"/>
    <d v="2025-11-14T00:00:00"/>
    <d v="2025-11-18T00:00:00"/>
    <d v="2025-12-07T00:00:00"/>
    <s v="Samsung"/>
    <s v="Electronics"/>
    <s v="South Korea"/>
    <s v="Jebel Ali"/>
    <s v="Nhava Sheva"/>
    <x v="2"/>
    <s v="OOCL Hong Kong"/>
    <s v="20FT"/>
    <n v="1"/>
    <s v="Textiles"/>
    <n v="31445.63"/>
    <n v="5168.79"/>
    <n v="1920.33"/>
    <n v="694.85"/>
    <n v="314.45999999999998"/>
    <n v="152.6"/>
    <n v="1358.82"/>
    <n v="21835.78"/>
    <n v="36"/>
    <s v="Port Congestion"/>
    <n v="43.07"/>
    <s v="Delayed"/>
    <s v="Pending"/>
    <s v="Critical"/>
    <s v="J. Smith"/>
    <s v="Middle East"/>
    <d v="2025-11-01T00:00:00"/>
  </r>
  <r>
    <s v="SHP00177"/>
    <s v="BK50177"/>
    <d v="2025-12-12T00:00:00"/>
    <d v="2025-12-13T00:00:00"/>
    <d v="2026-01-01T00:00:00"/>
    <s v="Adidas"/>
    <s v="Retail"/>
    <s v="Germany"/>
    <s v="Colombo"/>
    <s v="Singapore"/>
    <x v="4"/>
    <s v="Madrid Maersk"/>
    <s v="40FT"/>
    <n v="4"/>
    <s v="Machinery"/>
    <n v="31698.12"/>
    <n v="9038.77"/>
    <n v="1900"/>
    <n v="497.71"/>
    <n v="316.98"/>
    <n v="314.19"/>
    <n v="1176.33"/>
    <n v="18454.14"/>
    <n v="0"/>
    <s v="None"/>
    <n v="75.319999999999993"/>
    <s v="Completed"/>
    <s v="Paid"/>
    <s v="High"/>
    <s v="M. Ahmed"/>
    <s v="Middle East"/>
    <d v="2025-12-01T00:00:00"/>
  </r>
  <r>
    <s v="SHP00545"/>
    <s v="BK50545"/>
    <d v="2025-05-16T00:00:00"/>
    <d v="2025-05-20T00:00:00"/>
    <d v="2025-06-14T00:00:00"/>
    <s v="Samsung"/>
    <s v="Electronics"/>
    <s v="South Korea"/>
    <s v="Busan"/>
    <s v="New York"/>
    <x v="2"/>
    <s v="Mumbai Maersk"/>
    <s v="High Cube"/>
    <n v="4"/>
    <s v="Food"/>
    <n v="31771.93"/>
    <n v="8355.7999999999993"/>
    <n v="1299.1099999999999"/>
    <n v="499.11"/>
    <n v="317.72000000000003"/>
    <n v="742.63"/>
    <n v="1456.41"/>
    <n v="19101.150000000001"/>
    <n v="24"/>
    <s v="Labor Strike"/>
    <n v="69.63"/>
    <s v="Delayed"/>
    <s v="Paid"/>
    <s v="High"/>
    <s v="L. Chen"/>
    <s v="Middle East"/>
    <d v="2025-05-01T00:00:00"/>
  </r>
  <r>
    <s v="SHP00514"/>
    <s v="BK50514"/>
    <d v="2025-01-01T00:00:00"/>
    <d v="2025-01-02T00:00:00"/>
    <d v="2025-01-17T00:00:00"/>
    <s v="IKEA"/>
    <s v="Retail"/>
    <s v="Sweden"/>
    <s v="Shanghai"/>
    <s v="Rotterdam"/>
    <x v="1"/>
    <s v="Mary Maersk"/>
    <s v="40FT"/>
    <n v="4"/>
    <s v="Chemicals"/>
    <n v="31772.01"/>
    <n v="8054.73"/>
    <n v="2437.0300000000002"/>
    <n v="923.71"/>
    <n v="317.72000000000003"/>
    <n v="861.49"/>
    <n v="425.06"/>
    <n v="18752.27"/>
    <n v="0"/>
    <s v="None"/>
    <n v="67.12"/>
    <s v="Completed"/>
    <s v="Paid"/>
    <s v="Standard"/>
    <s v="A. Tan"/>
    <s v="Asia"/>
    <d v="2025-01-01T00:00:00"/>
  </r>
  <r>
    <s v="SHP00708"/>
    <s v="BK50708"/>
    <d v="2025-03-30T00:00:00"/>
    <d v="2025-04-01T00:00:00"/>
    <d v="2025-04-14T00:00:00"/>
    <s v="Reliance"/>
    <s v="Retail"/>
    <s v="India"/>
    <s v="Hamburg"/>
    <s v="Los Angeles"/>
    <x v="2"/>
    <s v="Mary Maersk"/>
    <s v="Reefer"/>
    <n v="2"/>
    <s v="Electronics"/>
    <n v="31805.03"/>
    <n v="9071.07"/>
    <n v="2104.71"/>
    <n v="532.64"/>
    <n v="318.05"/>
    <n v="610.17999999999995"/>
    <n v="1188.68"/>
    <n v="17979.7"/>
    <n v="24"/>
    <s v="Customs"/>
    <n v="75.59"/>
    <s v="Delayed"/>
    <s v="Paid"/>
    <s v="Standard"/>
    <s v="A. Tan"/>
    <s v="Europe"/>
    <d v="2025-03-01T00:00:00"/>
  </r>
  <r>
    <s v="SHP00814"/>
    <s v="BK50814"/>
    <d v="2025-01-02T00:00:00"/>
    <d v="2025-01-05T00:00:00"/>
    <d v="2025-01-17T00:00:00"/>
    <s v="Siemens"/>
    <s v="Engineering"/>
    <s v="Germany"/>
    <s v="Colombo"/>
    <s v="Busan"/>
    <x v="2"/>
    <s v="Mumbai Maersk"/>
    <s v="Reefer"/>
    <n v="1"/>
    <s v="Chemicals"/>
    <n v="31864.94"/>
    <n v="5361.83"/>
    <n v="2128.62"/>
    <n v="348.63"/>
    <n v="318.64999999999998"/>
    <n v="357.09"/>
    <n v="989.43"/>
    <n v="22360.69"/>
    <n v="12"/>
    <s v="Weather"/>
    <n v="44.68"/>
    <s v="Delayed"/>
    <s v="Paid"/>
    <s v="Standard"/>
    <s v="L. Chen"/>
    <s v="North America"/>
    <d v="2025-01-01T00:00:00"/>
  </r>
  <r>
    <s v="SHP00681"/>
    <s v="BK50681"/>
    <d v="2025-05-27T00:00:00"/>
    <d v="2025-05-31T00:00:00"/>
    <d v="2025-06-26T00:00:00"/>
    <s v="Pfizer"/>
    <s v="Pharma"/>
    <s v="USA"/>
    <s v="Shanghai"/>
    <s v="Rotterdam"/>
    <x v="1"/>
    <s v="Mumbai Maersk"/>
    <s v="High Cube"/>
    <n v="2"/>
    <s v="Chemicals"/>
    <n v="32009.14"/>
    <n v="6142.27"/>
    <n v="1329.37"/>
    <n v="777.42"/>
    <n v="320.08999999999997"/>
    <n v="424.91"/>
    <n v="363.34"/>
    <n v="22651.74"/>
    <n v="0"/>
    <s v="None"/>
    <n v="51.19"/>
    <s v="Completed"/>
    <s v="Paid"/>
    <s v="Standard"/>
    <s v="J. Smith"/>
    <s v="North America"/>
    <d v="2025-05-01T00:00:00"/>
  </r>
  <r>
    <s v="SHP00567"/>
    <s v="BK50567"/>
    <d v="2025-09-13T00:00:00"/>
    <d v="2025-09-17T00:00:00"/>
    <d v="2025-10-12T00:00:00"/>
    <s v="Adidas"/>
    <s v="Retail"/>
    <s v="Germany"/>
    <s v="Los Angeles"/>
    <s v="Busan"/>
    <x v="2"/>
    <s v="OOCL Hong Kong"/>
    <s v="Reefer"/>
    <n v="1"/>
    <s v="Auto Parts"/>
    <n v="32148.84"/>
    <n v="5212.12"/>
    <n v="1802.8"/>
    <n v="591.07000000000005"/>
    <n v="321.49"/>
    <n v="609.66999999999996"/>
    <n v="2484.38"/>
    <n v="21127.31"/>
    <n v="8"/>
    <s v="Port Congestion"/>
    <n v="43.43"/>
    <s v="Delayed"/>
    <s v="Pending"/>
    <s v="High"/>
    <s v="A. Tan"/>
    <s v="Asia"/>
    <d v="2025-09-01T00:00:00"/>
  </r>
  <r>
    <s v="SHP00584"/>
    <s v="BK50584"/>
    <d v="2025-09-27T00:00:00"/>
    <d v="2025-09-29T00:00:00"/>
    <d v="2025-10-26T00:00:00"/>
    <s v="IKEA"/>
    <s v="Retail"/>
    <s v="Sweden"/>
    <s v="Shanghai"/>
    <s v="New York"/>
    <x v="2"/>
    <s v="MSC Gülsün"/>
    <s v="Reefer"/>
    <n v="1"/>
    <s v="Textiles"/>
    <n v="32277.26"/>
    <n v="5835.9"/>
    <n v="1555.88"/>
    <n v="918.41"/>
    <n v="322.77"/>
    <n v="471.36"/>
    <n v="2439.7800000000002"/>
    <n v="20733.16"/>
    <n v="24"/>
    <s v="Weather"/>
    <n v="48.63"/>
    <s v="Delayed"/>
    <s v="Pending"/>
    <s v="Standard"/>
    <s v="J. Smith"/>
    <s v="North America"/>
    <d v="2025-09-01T00:00:00"/>
  </r>
  <r>
    <s v="SHP00064"/>
    <s v="BK50064"/>
    <d v="2025-03-29T00:00:00"/>
    <d v="2025-04-01T00:00:00"/>
    <d v="2025-04-25T00:00:00"/>
    <s v="Unilever"/>
    <s v="FMCG"/>
    <s v="UK"/>
    <s v="Nhava Sheva"/>
    <s v="Hamburg"/>
    <x v="2"/>
    <s v="Ever Ace"/>
    <s v="40FT"/>
    <n v="1"/>
    <s v="Food"/>
    <n v="32394.79"/>
    <n v="9582.7900000000009"/>
    <n v="1506.53"/>
    <n v="336.07"/>
    <n v="323.95"/>
    <n v="617.09"/>
    <n v="2118.91"/>
    <n v="17909.45"/>
    <n v="24"/>
    <s v="Mechanical"/>
    <n v="79.86"/>
    <s v="Delayed"/>
    <s v="Paid"/>
    <s v="Standard"/>
    <s v="J. Smith"/>
    <s v="North America"/>
    <d v="2025-03-01T00:00:00"/>
  </r>
  <r>
    <s v="SHP00596"/>
    <s v="BK50596"/>
    <d v="2025-01-06T00:00:00"/>
    <d v="2025-01-07T00:00:00"/>
    <d v="2025-01-20T00:00:00"/>
    <s v="Siemens"/>
    <s v="Engineering"/>
    <s v="Germany"/>
    <s v="Busan"/>
    <s v="Los Angeles"/>
    <x v="3"/>
    <s v="Madrid Maersk"/>
    <s v="20FT"/>
    <n v="1"/>
    <s v="Food"/>
    <n v="32398.13"/>
    <n v="6022.03"/>
    <n v="1534.92"/>
    <n v="727.2"/>
    <n v="323.98"/>
    <n v="189.08"/>
    <n v="1840.19"/>
    <n v="21760.73"/>
    <n v="0"/>
    <s v="None"/>
    <n v="50.18"/>
    <s v="Completed"/>
    <s v="Paid"/>
    <s v="High"/>
    <s v="R. Mehta"/>
    <s v="North America"/>
    <d v="2025-01-01T00:00:00"/>
  </r>
  <r>
    <s v="SHP00489"/>
    <s v="BK50489"/>
    <d v="2025-03-29T00:00:00"/>
    <d v="2025-03-30T00:00:00"/>
    <d v="2025-04-19T00:00:00"/>
    <s v="Siemens"/>
    <s v="Engineering"/>
    <s v="Germany"/>
    <s v="Colombo"/>
    <s v="Singapore"/>
    <x v="4"/>
    <s v="CMA CGM Jacques Saadé"/>
    <s v="High Cube"/>
    <n v="2"/>
    <s v="Chemicals"/>
    <n v="32407.7"/>
    <n v="9171.35"/>
    <n v="2229.15"/>
    <n v="921.16"/>
    <n v="324.08"/>
    <n v="319.68"/>
    <n v="687.87"/>
    <n v="18754.41"/>
    <n v="24"/>
    <s v="Customs"/>
    <n v="76.430000000000007"/>
    <s v="Delayed"/>
    <s v="Pending"/>
    <s v="Critical"/>
    <s v="M. Ahmed"/>
    <s v="North America"/>
    <d v="2025-03-01T00:00:00"/>
  </r>
  <r>
    <s v="SHP00535"/>
    <s v="BK50535"/>
    <d v="2025-05-31T00:00:00"/>
    <d v="2025-06-02T00:00:00"/>
    <d v="2025-06-13T00:00:00"/>
    <s v="Adidas"/>
    <s v="Retail"/>
    <s v="Germany"/>
    <s v="Rotterdam"/>
    <s v="Busan"/>
    <x v="2"/>
    <s v="Madrid Maersk"/>
    <s v="High Cube"/>
    <n v="1"/>
    <s v="Auto Parts"/>
    <n v="32430.73"/>
    <n v="8290.61"/>
    <n v="1407.99"/>
    <n v="432.86"/>
    <n v="324.31"/>
    <n v="464.58"/>
    <n v="665.19"/>
    <n v="20845.189999999999"/>
    <n v="0"/>
    <s v="None"/>
    <n v="69.09"/>
    <s v="Completed"/>
    <s v="Paid"/>
    <s v="High"/>
    <s v="A. Tan"/>
    <s v="Asia"/>
    <d v="2025-05-01T00:00:00"/>
  </r>
  <r>
    <s v="SHP00075"/>
    <s v="BK50075"/>
    <d v="2025-02-28T00:00:00"/>
    <d v="2025-03-02T00:00:00"/>
    <d v="2025-03-14T00:00:00"/>
    <s v="Samsung"/>
    <s v="Electronics"/>
    <s v="South Korea"/>
    <s v="Colombo"/>
    <s v="Singapore"/>
    <x v="4"/>
    <s v="Madrid Maersk"/>
    <s v="40FT"/>
    <n v="2"/>
    <s v="Furniture"/>
    <n v="32454.33"/>
    <n v="5641.19"/>
    <n v="1665.77"/>
    <n v="354.33"/>
    <n v="324.54000000000002"/>
    <n v="820.24"/>
    <n v="709.06"/>
    <n v="22939.200000000001"/>
    <n v="0"/>
    <s v="None"/>
    <n v="47.01"/>
    <s v="Completed"/>
    <s v="Pending"/>
    <s v="Standard"/>
    <s v="R. Mehta"/>
    <s v="Europe"/>
    <d v="2025-02-01T00:00:00"/>
  </r>
  <r>
    <s v="SHP00805"/>
    <s v="BK50805"/>
    <d v="2025-12-17T00:00:00"/>
    <d v="2025-12-21T00:00:00"/>
    <d v="2026-01-13T00:00:00"/>
    <s v="Samsung"/>
    <s v="Electronics"/>
    <s v="South Korea"/>
    <s v="Shanghai"/>
    <s v="Rotterdam"/>
    <x v="1"/>
    <s v="Mumbai Maersk"/>
    <s v="20FT"/>
    <n v="1"/>
    <s v="Chemicals"/>
    <n v="32502.74"/>
    <n v="9240.85"/>
    <n v="1674.47"/>
    <n v="593.20000000000005"/>
    <n v="325.02999999999997"/>
    <n v="443.53"/>
    <n v="1335.17"/>
    <n v="18890.490000000002"/>
    <n v="36"/>
    <s v="Mechanical"/>
    <n v="77.010000000000005"/>
    <s v="Delayed"/>
    <s v="Paid"/>
    <s v="Standard"/>
    <s v="R. Mehta"/>
    <s v="Asia"/>
    <d v="2025-12-01T00:00:00"/>
  </r>
  <r>
    <s v="SHP00618"/>
    <s v="BK50618"/>
    <d v="2025-10-03T00:00:00"/>
    <d v="2025-10-04T00:00:00"/>
    <d v="2025-10-27T00:00:00"/>
    <s v="Amazon"/>
    <s v="E-commerce"/>
    <s v="USA"/>
    <s v="Jebel Ali"/>
    <s v="Shanghai"/>
    <x v="2"/>
    <s v="Mumbai Maersk"/>
    <s v="High Cube"/>
    <n v="2"/>
    <s v="Chemicals"/>
    <n v="32502.82"/>
    <n v="9478.82"/>
    <n v="2491.42"/>
    <n v="707.91"/>
    <n v="325.02999999999997"/>
    <n v="206.17"/>
    <n v="2489.8200000000002"/>
    <n v="16803.650000000001"/>
    <n v="8"/>
    <s v="Customs"/>
    <n v="78.989999999999995"/>
    <s v="Delayed"/>
    <s v="Paid"/>
    <s v="Critical"/>
    <s v="J. Smith"/>
    <s v="Middle East"/>
    <d v="2025-10-01T00:00:00"/>
  </r>
  <r>
    <s v="SHP00556"/>
    <s v="BK50556"/>
    <d v="2025-09-10T00:00:00"/>
    <d v="2025-09-13T00:00:00"/>
    <d v="2025-10-06T00:00:00"/>
    <s v="Toyota"/>
    <s v="Automotive"/>
    <s v="Japan"/>
    <s v="Shanghai"/>
    <s v="Rotterdam"/>
    <x v="1"/>
    <s v="Madrid Maersk"/>
    <s v="20FT"/>
    <n v="4"/>
    <s v="Chemicals"/>
    <n v="32631.97"/>
    <n v="8185.73"/>
    <n v="1921.69"/>
    <n v="704.49"/>
    <n v="326.32"/>
    <n v="705.91"/>
    <n v="1281.57"/>
    <n v="19506.259999999998"/>
    <n v="36"/>
    <s v="Mechanical"/>
    <n v="68.209999999999994"/>
    <s v="Delayed"/>
    <s v="Paid"/>
    <s v="High"/>
    <s v="J. Smith"/>
    <s v="North America"/>
    <d v="2025-09-01T00:00:00"/>
  </r>
  <r>
    <s v="SHP00242"/>
    <s v="BK50242"/>
    <d v="2025-02-03T00:00:00"/>
    <d v="2025-02-06T00:00:00"/>
    <d v="2025-02-26T00:00:00"/>
    <s v="Unilever"/>
    <s v="FMCG"/>
    <s v="UK"/>
    <s v="Shanghai"/>
    <s v="Rotterdam"/>
    <x v="1"/>
    <s v="Ever Ace"/>
    <s v="20FT"/>
    <n v="1"/>
    <s v="Machinery"/>
    <n v="32756.53"/>
    <n v="5731.93"/>
    <n v="2036.19"/>
    <n v="502.35"/>
    <n v="327.57"/>
    <n v="143.21"/>
    <n v="785.83"/>
    <n v="23229.45"/>
    <n v="0"/>
    <s v="None"/>
    <n v="47.77"/>
    <s v="Completed"/>
    <s v="Paid"/>
    <s v="Standard"/>
    <s v="L. Chen"/>
    <s v="Europe"/>
    <d v="2025-02-01T00:00:00"/>
  </r>
  <r>
    <s v="SHP00695"/>
    <s v="BK50695"/>
    <d v="2025-10-02T00:00:00"/>
    <d v="2025-10-04T00:00:00"/>
    <d v="2025-10-21T00:00:00"/>
    <s v="Amazon"/>
    <s v="E-commerce"/>
    <s v="USA"/>
    <s v="Jebel Ali"/>
    <s v="Nhava Sheva"/>
    <x v="0"/>
    <s v="MSC Gülsün"/>
    <s v="High Cube"/>
    <n v="1"/>
    <s v="Machinery"/>
    <n v="32760.79"/>
    <n v="7239.33"/>
    <n v="1930.44"/>
    <n v="592.02"/>
    <n v="327.61"/>
    <n v="475.7"/>
    <n v="1161.58"/>
    <n v="21034.11"/>
    <n v="48"/>
    <s v="Mechanical"/>
    <n v="60.33"/>
    <s v="Delayed"/>
    <s v="Pending"/>
    <s v="High"/>
    <s v="A. Tan"/>
    <s v="Middle East"/>
    <d v="2025-10-01T00:00:00"/>
  </r>
  <r>
    <s v="SHP00011"/>
    <s v="BK50011"/>
    <d v="2025-06-29T00:00:00"/>
    <d v="2025-07-01T00:00:00"/>
    <d v="2025-07-31T00:00:00"/>
    <s v="Adidas"/>
    <s v="Retail"/>
    <s v="Germany"/>
    <s v="Shanghai"/>
    <s v="Rotterdam"/>
    <x v="1"/>
    <s v="Mumbai Maersk"/>
    <s v="20FT"/>
    <n v="1"/>
    <s v="Auto Parts"/>
    <n v="32782.57"/>
    <n v="9419.66"/>
    <n v="1363.54"/>
    <n v="548.07000000000005"/>
    <n v="327.83"/>
    <n v="601.70000000000005"/>
    <n v="622.05999999999995"/>
    <n v="19899.71"/>
    <n v="48"/>
    <s v="Port Congestion"/>
    <n v="78.5"/>
    <s v="Delayed"/>
    <s v="Paid"/>
    <s v="Standard"/>
    <s v="J. Smith"/>
    <s v="Middle East"/>
    <d v="2025-06-01T00:00:00"/>
  </r>
  <r>
    <s v="SHP00083"/>
    <s v="BK50083"/>
    <d v="2025-05-26T00:00:00"/>
    <d v="2025-05-28T00:00:00"/>
    <d v="2025-06-13T00:00:00"/>
    <s v="IKEA"/>
    <s v="Retail"/>
    <s v="Sweden"/>
    <s v="Shanghai"/>
    <s v="Rotterdam"/>
    <x v="2"/>
    <s v="OOCL Hong Kong"/>
    <s v="Reefer"/>
    <n v="1"/>
    <s v="Furniture"/>
    <n v="32794.5"/>
    <n v="8207.82"/>
    <n v="2329.06"/>
    <n v="906.79"/>
    <n v="327.94"/>
    <n v="283.39999999999998"/>
    <n v="1559.19"/>
    <n v="19180.3"/>
    <n v="48"/>
    <s v="Weather"/>
    <n v="68.400000000000006"/>
    <s v="Delayed"/>
    <s v="Paid"/>
    <s v="Standard"/>
    <s v="A. Tan"/>
    <s v="Asia"/>
    <d v="2025-05-01T00:00:00"/>
  </r>
  <r>
    <s v="SHP00732"/>
    <s v="BK50732"/>
    <d v="2025-12-21T00:00:00"/>
    <d v="2025-12-23T00:00:00"/>
    <d v="2026-01-14T00:00:00"/>
    <s v="Bosch"/>
    <s v="Manufacturing"/>
    <s v="Germany"/>
    <s v="Jebel Ali"/>
    <s v="Nhava Sheva"/>
    <x v="0"/>
    <s v="MSC Gülsün"/>
    <s v="20FT"/>
    <n v="4"/>
    <s v="Food"/>
    <n v="32804.949999999997"/>
    <n v="5894.93"/>
    <n v="1587.3"/>
    <n v="816.24"/>
    <n v="328.05"/>
    <n v="535.02"/>
    <n v="1995.07"/>
    <n v="21648.34"/>
    <n v="8"/>
    <s v="Customs"/>
    <n v="49.12"/>
    <s v="Delayed"/>
    <s v="Paid"/>
    <s v="High"/>
    <s v="L. Chen"/>
    <s v="Asia"/>
    <d v="2025-12-01T00:00:00"/>
  </r>
  <r>
    <s v="SHP00219"/>
    <s v="BK50219"/>
    <d v="2025-07-14T00:00:00"/>
    <d v="2025-07-16T00:00:00"/>
    <d v="2025-08-11T00:00:00"/>
    <s v="Bosch"/>
    <s v="Manufacturing"/>
    <s v="Germany"/>
    <s v="Jebel Ali"/>
    <s v="Nhava Sheva"/>
    <x v="0"/>
    <s v="CMA CGM Jacques Saadé"/>
    <s v="Reefer"/>
    <n v="1"/>
    <s v="Chemicals"/>
    <n v="32850.49"/>
    <n v="6358.6"/>
    <n v="1483.34"/>
    <n v="454.49"/>
    <n v="328.5"/>
    <n v="120.75"/>
    <n v="898.89"/>
    <n v="23205.919999999998"/>
    <n v="0"/>
    <s v="None"/>
    <n v="52.99"/>
    <s v="Completed"/>
    <s v="Pending"/>
    <s v="High"/>
    <s v="L. Chen"/>
    <s v="Europe"/>
    <d v="2025-07-01T00:00:00"/>
  </r>
  <r>
    <s v="SHP00481"/>
    <s v="BK50481"/>
    <d v="2025-06-01T00:00:00"/>
    <d v="2025-06-03T00:00:00"/>
    <d v="2025-06-27T00:00:00"/>
    <s v="Samsung"/>
    <s v="Electronics"/>
    <s v="South Korea"/>
    <s v="Shanghai"/>
    <s v="Rotterdam"/>
    <x v="1"/>
    <s v="MSC Gülsün"/>
    <s v="Reefer"/>
    <n v="2"/>
    <s v="Chemicals"/>
    <n v="32866.92"/>
    <n v="6161.95"/>
    <n v="2559.6"/>
    <n v="898.76"/>
    <n v="328.67"/>
    <n v="112.48"/>
    <n v="2051.1999999999998"/>
    <n v="20754.259999999998"/>
    <n v="48"/>
    <s v="Labor Strike"/>
    <n v="51.35"/>
    <s v="Delayed"/>
    <s v="Paid"/>
    <s v="High"/>
    <s v="M. Ahmed"/>
    <s v="Middle East"/>
    <d v="2025-06-01T00:00:00"/>
  </r>
  <r>
    <s v="SHP00892"/>
    <s v="BK50892"/>
    <d v="2025-08-07T00:00:00"/>
    <d v="2025-08-11T00:00:00"/>
    <d v="2025-08-31T00:00:00"/>
    <s v="Toyota"/>
    <s v="Automotive"/>
    <s v="Japan"/>
    <s v="Nhava Sheva"/>
    <s v="Los Angeles"/>
    <x v="2"/>
    <s v="Ever Ace"/>
    <s v="High Cube"/>
    <n v="2"/>
    <s v="Chemicals"/>
    <n v="32886.51"/>
    <n v="9124.2199999999993"/>
    <n v="1429.35"/>
    <n v="919.72"/>
    <n v="328.87"/>
    <n v="761.31"/>
    <n v="409.57"/>
    <n v="19913.47"/>
    <n v="0"/>
    <s v="None"/>
    <n v="76.040000000000006"/>
    <s v="Completed"/>
    <s v="Pending"/>
    <s v="Standard"/>
    <s v="J. Smith"/>
    <s v="Asia"/>
    <d v="2025-08-01T00:00:00"/>
  </r>
  <r>
    <s v="SHP00433"/>
    <s v="BK50433"/>
    <d v="2025-10-10T00:00:00"/>
    <d v="2025-10-11T00:00:00"/>
    <d v="2025-11-02T00:00:00"/>
    <s v="Siemens"/>
    <s v="Engineering"/>
    <s v="Germany"/>
    <s v="Los Angeles"/>
    <s v="New York"/>
    <x v="2"/>
    <s v="CMA CGM Jacques Saadé"/>
    <s v="20FT"/>
    <n v="1"/>
    <s v="Machinery"/>
    <n v="32988.89"/>
    <n v="5797.36"/>
    <n v="1365.29"/>
    <n v="374.02"/>
    <n v="329.89"/>
    <n v="311.8"/>
    <n v="1280.99"/>
    <n v="23529.54"/>
    <n v="0"/>
    <s v="None"/>
    <n v="48.31"/>
    <s v="Completed"/>
    <s v="Paid"/>
    <s v="Critical"/>
    <s v="A. Tan"/>
    <s v="North America"/>
    <d v="2025-10-01T00:00:00"/>
  </r>
  <r>
    <s v="SHP00750"/>
    <s v="BK50750"/>
    <d v="2025-03-11T00:00:00"/>
    <d v="2025-03-15T00:00:00"/>
    <d v="2025-04-08T00:00:00"/>
    <s v="IKEA"/>
    <s v="Retail"/>
    <s v="Sweden"/>
    <s v="Colombo"/>
    <s v="Singapore"/>
    <x v="4"/>
    <s v="Mary Maersk"/>
    <s v="40FT"/>
    <n v="2"/>
    <s v="Auto Parts"/>
    <n v="33045.47"/>
    <n v="6700.6"/>
    <n v="2580.29"/>
    <n v="956.89"/>
    <n v="330.45"/>
    <n v="627.88"/>
    <n v="1209.8699999999999"/>
    <n v="20639.490000000002"/>
    <n v="36"/>
    <s v="Port Congestion"/>
    <n v="55.84"/>
    <s v="Delayed"/>
    <s v="Paid"/>
    <s v="Standard"/>
    <s v="M. Ahmed"/>
    <s v="Europe"/>
    <d v="2025-03-01T00:00:00"/>
  </r>
  <r>
    <s v="SHP00664"/>
    <s v="BK50664"/>
    <d v="2025-04-16T00:00:00"/>
    <d v="2025-04-17T00:00:00"/>
    <d v="2025-05-10T00:00:00"/>
    <s v="Samsung"/>
    <s v="Electronics"/>
    <s v="South Korea"/>
    <s v="Jebel Ali"/>
    <s v="Nhava Sheva"/>
    <x v="0"/>
    <s v="Mary Maersk"/>
    <s v="40FT"/>
    <n v="2"/>
    <s v="Furniture"/>
    <n v="33061.29"/>
    <n v="9646.36"/>
    <n v="1926.29"/>
    <n v="345.93"/>
    <n v="330.61"/>
    <n v="517.64"/>
    <n v="1674.9"/>
    <n v="18619.560000000001"/>
    <n v="0"/>
    <s v="None"/>
    <n v="80.39"/>
    <s v="Completed"/>
    <s v="Paid"/>
    <s v="Critical"/>
    <s v="L. Chen"/>
    <s v="Europe"/>
    <d v="2025-04-01T00:00:00"/>
  </r>
  <r>
    <s v="SHP00830"/>
    <s v="BK50830"/>
    <d v="2025-02-01T00:00:00"/>
    <d v="2025-02-05T00:00:00"/>
    <d v="2025-03-01T00:00:00"/>
    <s v="Pfizer"/>
    <s v="Pharma"/>
    <s v="USA"/>
    <s v="Colombo"/>
    <s v="Singapore"/>
    <x v="4"/>
    <s v="Ever Ace"/>
    <s v="Reefer"/>
    <n v="2"/>
    <s v="Auto Parts"/>
    <n v="33078.11"/>
    <n v="5460"/>
    <n v="1404.52"/>
    <n v="370.49"/>
    <n v="330.78"/>
    <n v="246.09"/>
    <n v="2036.57"/>
    <n v="23229.66"/>
    <n v="0"/>
    <s v="None"/>
    <n v="45.5"/>
    <s v="Completed"/>
    <s v="Pending"/>
    <s v="Standard"/>
    <s v="L. Chen"/>
    <s v="North America"/>
    <d v="2025-02-01T00:00:00"/>
  </r>
  <r>
    <s v="SHP00201"/>
    <s v="BK50201"/>
    <d v="2025-01-03T00:00:00"/>
    <d v="2025-01-06T00:00:00"/>
    <d v="2025-01-22T00:00:00"/>
    <s v="Nestlé"/>
    <s v="Food"/>
    <s v="Switzerland"/>
    <s v="Shanghai"/>
    <s v="Shanghai"/>
    <x v="2"/>
    <s v="MSC Gülsün"/>
    <s v="40FT"/>
    <n v="2"/>
    <s v="Furniture"/>
    <n v="33188.720000000001"/>
    <n v="9935.89"/>
    <n v="2417.54"/>
    <n v="560.34"/>
    <n v="331.89"/>
    <n v="869.72"/>
    <n v="2005.61"/>
    <n v="17067.73"/>
    <n v="0"/>
    <s v="None"/>
    <n v="82.8"/>
    <s v="Completed"/>
    <s v="Pending"/>
    <s v="High"/>
    <s v="J. Smith"/>
    <s v="Asia"/>
    <d v="2025-01-01T00:00:00"/>
  </r>
  <r>
    <s v="SHP00676"/>
    <s v="BK50676"/>
    <d v="2025-10-31T00:00:00"/>
    <d v="2025-11-01T00:00:00"/>
    <d v="2025-11-19T00:00:00"/>
    <s v="LG"/>
    <s v="Electronics"/>
    <s v="South Korea"/>
    <s v="Jebel Ali"/>
    <s v="Nhava Sheva"/>
    <x v="0"/>
    <s v="Madrid Maersk"/>
    <s v="20FT"/>
    <n v="1"/>
    <s v="Food"/>
    <n v="33247.24"/>
    <n v="8738.39"/>
    <n v="2196.79"/>
    <n v="745.43"/>
    <n v="332.47"/>
    <n v="132.5"/>
    <n v="1595.07"/>
    <n v="19506.59"/>
    <n v="0"/>
    <s v="None"/>
    <n v="72.819999999999993"/>
    <s v="Completed"/>
    <s v="Pending"/>
    <s v="Standard"/>
    <s v="A. Tan"/>
    <s v="Middle East"/>
    <d v="2025-10-01T00:00:00"/>
  </r>
  <r>
    <s v="SHP00519"/>
    <s v="BK50519"/>
    <d v="2025-01-07T00:00:00"/>
    <d v="2025-01-09T00:00:00"/>
    <d v="2025-02-01T00:00:00"/>
    <s v="Pfizer"/>
    <s v="Pharma"/>
    <s v="USA"/>
    <s v="Hamburg"/>
    <s v="New York"/>
    <x v="2"/>
    <s v="Monaco Maersk"/>
    <s v="Reefer"/>
    <n v="2"/>
    <s v="Textiles"/>
    <n v="33445.06"/>
    <n v="8264.7099999999991"/>
    <n v="2642.37"/>
    <n v="494.33"/>
    <n v="334.45"/>
    <n v="144.72999999999999"/>
    <n v="1061.52"/>
    <n v="20502.95"/>
    <n v="0"/>
    <s v="None"/>
    <n v="68.87"/>
    <s v="Completed"/>
    <s v="Paid"/>
    <s v="High"/>
    <s v="L. Chen"/>
    <s v="Europe"/>
    <d v="2025-01-01T00:00:00"/>
  </r>
  <r>
    <s v="SHP00698"/>
    <s v="BK50698"/>
    <d v="2025-09-20T00:00:00"/>
    <d v="2025-09-22T00:00:00"/>
    <d v="2025-10-08T00:00:00"/>
    <s v="Nestlé"/>
    <s v="Food"/>
    <s v="Switzerland"/>
    <s v="Colombo"/>
    <s v="Colombo"/>
    <x v="2"/>
    <s v="Madrid Maersk"/>
    <s v="40FT"/>
    <n v="2"/>
    <s v="Textiles"/>
    <n v="33500.519999999997"/>
    <n v="7933"/>
    <n v="2644.3"/>
    <n v="927.8"/>
    <n v="335.01"/>
    <n v="287.92"/>
    <n v="2486.59"/>
    <n v="18885.900000000001"/>
    <n v="36"/>
    <s v="Weather"/>
    <n v="66.11"/>
    <s v="Delayed"/>
    <s v="Paid"/>
    <s v="Critical"/>
    <s v="M. Ahmed"/>
    <s v="North America"/>
    <d v="2025-09-01T00:00:00"/>
  </r>
  <r>
    <s v="SHP00652"/>
    <s v="BK50652"/>
    <d v="2025-05-09T00:00:00"/>
    <d v="2025-05-13T00:00:00"/>
    <d v="2025-06-09T00:00:00"/>
    <s v="Reliance"/>
    <s v="Retail"/>
    <s v="India"/>
    <s v="Busan"/>
    <s v="Los Angeles"/>
    <x v="3"/>
    <s v="MSC Gülsün"/>
    <s v="High Cube"/>
    <n v="2"/>
    <s v="Machinery"/>
    <n v="33541.769999999997"/>
    <n v="9047.4500000000007"/>
    <n v="2363.3000000000002"/>
    <n v="900.52"/>
    <n v="335.42"/>
    <n v="622.12"/>
    <n v="1560.69"/>
    <n v="18712.27"/>
    <n v="0"/>
    <s v="None"/>
    <n v="75.400000000000006"/>
    <s v="Completed"/>
    <s v="Pending"/>
    <s v="High"/>
    <s v="J. Smith"/>
    <s v="Middle East"/>
    <d v="2025-05-01T00:00:00"/>
  </r>
  <r>
    <s v="SHP00078"/>
    <s v="BK50078"/>
    <d v="2025-02-03T00:00:00"/>
    <d v="2025-02-07T00:00:00"/>
    <d v="2025-02-20T00:00:00"/>
    <s v="IKEA"/>
    <s v="Retail"/>
    <s v="Sweden"/>
    <s v="Busan"/>
    <s v="Los Angeles"/>
    <x v="3"/>
    <s v="Monaco Maersk"/>
    <s v="40FT"/>
    <n v="4"/>
    <s v="Machinery"/>
    <n v="33545.81"/>
    <n v="8132.87"/>
    <n v="1726.38"/>
    <n v="380.14"/>
    <n v="335.46"/>
    <n v="594.99"/>
    <n v="528.57000000000005"/>
    <n v="21847.4"/>
    <n v="0"/>
    <s v="None"/>
    <n v="67.77"/>
    <s v="Completed"/>
    <s v="Paid"/>
    <s v="High"/>
    <s v="M. Ahmed"/>
    <s v="Europe"/>
    <d v="2025-02-01T00:00:00"/>
  </r>
  <r>
    <s v="SHP00949"/>
    <s v="BK50949"/>
    <d v="2025-10-22T00:00:00"/>
    <d v="2025-10-26T00:00:00"/>
    <d v="2025-11-07T00:00:00"/>
    <s v="Bosch"/>
    <s v="Manufacturing"/>
    <s v="Germany"/>
    <s v="Shanghai"/>
    <s v="Rotterdam"/>
    <x v="1"/>
    <s v="Mumbai Maersk"/>
    <s v="High Cube"/>
    <n v="2"/>
    <s v="Electronics"/>
    <n v="33589.019999999997"/>
    <n v="6692.26"/>
    <n v="2552.4699999999998"/>
    <n v="553.53"/>
    <n v="335.89"/>
    <n v="162.11000000000001"/>
    <n v="704.13"/>
    <n v="22588.63"/>
    <n v="4"/>
    <s v="Labor Strike"/>
    <n v="55.77"/>
    <s v="Delayed"/>
    <s v="Paid"/>
    <s v="Critical"/>
    <s v="J. Smith"/>
    <s v="Middle East"/>
    <d v="2025-10-01T00:00:00"/>
  </r>
  <r>
    <s v="SHP00382"/>
    <s v="BK50382"/>
    <d v="2025-09-01T00:00:00"/>
    <d v="2025-09-02T00:00:00"/>
    <d v="2025-09-12T00:00:00"/>
    <s v="LG"/>
    <s v="Electronics"/>
    <s v="South Korea"/>
    <s v="Shanghai"/>
    <s v="Rotterdam"/>
    <x v="1"/>
    <s v="Ever Ace"/>
    <s v="High Cube"/>
    <n v="2"/>
    <s v="Machinery"/>
    <n v="33612.79"/>
    <n v="9224.66"/>
    <n v="1979.87"/>
    <n v="639.41"/>
    <n v="336.13"/>
    <n v="266.89999999999998"/>
    <n v="1747.66"/>
    <n v="19418.16"/>
    <n v="4"/>
    <s v="Mechanical"/>
    <n v="76.87"/>
    <s v="Delayed"/>
    <s v="Pending"/>
    <s v="Critical"/>
    <s v="A. Tan"/>
    <s v="Middle East"/>
    <d v="2025-09-01T00:00:00"/>
  </r>
  <r>
    <s v="SHP00937"/>
    <s v="BK50937"/>
    <d v="2025-01-04T00:00:00"/>
    <d v="2025-01-06T00:00:00"/>
    <d v="2025-01-25T00:00:00"/>
    <s v="Adidas"/>
    <s v="Retail"/>
    <s v="Germany"/>
    <s v="Colombo"/>
    <s v="Singapore"/>
    <x v="4"/>
    <s v="OOCL Hong Kong"/>
    <s v="40FT"/>
    <n v="2"/>
    <s v="Furniture"/>
    <n v="33615.26"/>
    <n v="7937.08"/>
    <n v="2063.5700000000002"/>
    <n v="343.93"/>
    <n v="336.15"/>
    <n v="352.28"/>
    <n v="1720.22"/>
    <n v="20862.03"/>
    <n v="48"/>
    <s v="Weather"/>
    <n v="66.14"/>
    <s v="Delayed"/>
    <s v="Paid"/>
    <s v="High"/>
    <s v="L. Chen"/>
    <s v="Middle East"/>
    <d v="2025-01-01T00:00:00"/>
  </r>
  <r>
    <s v="SHP00604"/>
    <s v="BK50604"/>
    <d v="2025-07-07T00:00:00"/>
    <d v="2025-07-10T00:00:00"/>
    <d v="2025-08-05T00:00:00"/>
    <s v="Pfizer"/>
    <s v="Pharma"/>
    <s v="USA"/>
    <s v="Shanghai"/>
    <s v="Rotterdam"/>
    <x v="1"/>
    <s v="MSC Gülsün"/>
    <s v="20FT"/>
    <n v="1"/>
    <s v="Food"/>
    <n v="33637.300000000003"/>
    <n v="6172.58"/>
    <n v="2132.54"/>
    <n v="817.12"/>
    <n v="336.37"/>
    <n v="252.66"/>
    <n v="326.10000000000002"/>
    <n v="23599.93"/>
    <n v="4"/>
    <s v="Labor Strike"/>
    <n v="51.44"/>
    <s v="Delayed"/>
    <s v="Pending"/>
    <s v="Critical"/>
    <s v="A. Tan"/>
    <s v="North America"/>
    <d v="2025-07-01T00:00:00"/>
  </r>
  <r>
    <s v="SHP00211"/>
    <s v="BK50211"/>
    <d v="2025-06-22T00:00:00"/>
    <d v="2025-06-24T00:00:00"/>
    <d v="2025-07-22T00:00:00"/>
    <s v="Nestlé"/>
    <s v="Food"/>
    <s v="Switzerland"/>
    <s v="Singapore"/>
    <s v="Rotterdam"/>
    <x v="1"/>
    <s v="Mumbai Maersk"/>
    <s v="Reefer"/>
    <n v="1"/>
    <s v="Furniture"/>
    <n v="33740.83"/>
    <n v="9264.23"/>
    <n v="1831.81"/>
    <n v="1010.73"/>
    <n v="337.41"/>
    <n v="157.6"/>
    <n v="1249.5"/>
    <n v="19889.55"/>
    <n v="12"/>
    <s v="Customs"/>
    <n v="77.2"/>
    <s v="Delayed"/>
    <s v="Pending"/>
    <s v="Standard"/>
    <s v="M. Ahmed"/>
    <s v="Europe"/>
    <d v="2025-06-01T00:00:00"/>
  </r>
  <r>
    <s v="SHP00742"/>
    <s v="BK50742"/>
    <d v="2025-07-20T00:00:00"/>
    <d v="2025-07-22T00:00:00"/>
    <d v="2025-08-11T00:00:00"/>
    <s v="Pfizer"/>
    <s v="Pharma"/>
    <s v="USA"/>
    <s v="Jebel Ali"/>
    <s v="Shanghai"/>
    <x v="2"/>
    <s v="Mumbai Maersk"/>
    <s v="20FT"/>
    <n v="2"/>
    <s v="Textiles"/>
    <n v="33868.589999999997"/>
    <n v="6170.8"/>
    <n v="2677.35"/>
    <n v="399.15"/>
    <n v="338.69"/>
    <n v="674.66"/>
    <n v="1771.34"/>
    <n v="21836.6"/>
    <n v="36"/>
    <s v="Weather"/>
    <n v="51.42"/>
    <s v="Delayed"/>
    <s v="Paid"/>
    <s v="Standard"/>
    <s v="A. Tan"/>
    <s v="Asia"/>
    <d v="2025-07-01T00:00:00"/>
  </r>
  <r>
    <s v="SHP00849"/>
    <s v="BK50849"/>
    <d v="2025-09-17T00:00:00"/>
    <d v="2025-09-18T00:00:00"/>
    <d v="2025-10-08T00:00:00"/>
    <s v="Toyota"/>
    <s v="Automotive"/>
    <s v="Japan"/>
    <s v="Singapore"/>
    <s v="Los Angeles"/>
    <x v="2"/>
    <s v="Mary Maersk"/>
    <s v="40FT"/>
    <n v="2"/>
    <s v="Chemicals"/>
    <n v="33875.339999999997"/>
    <n v="8574.74"/>
    <n v="1370.58"/>
    <n v="682.01"/>
    <n v="338.75"/>
    <n v="293.29000000000002"/>
    <n v="2261.84"/>
    <n v="20354.13"/>
    <n v="0"/>
    <s v="None"/>
    <n v="71.459999999999994"/>
    <s v="Completed"/>
    <s v="Paid"/>
    <s v="High"/>
    <s v="M. Ahmed"/>
    <s v="Asia"/>
    <d v="2025-09-01T00:00:00"/>
  </r>
  <r>
    <s v="SHP00628"/>
    <s v="BK50628"/>
    <d v="2025-10-01T00:00:00"/>
    <d v="2025-10-02T00:00:00"/>
    <d v="2025-10-20T00:00:00"/>
    <s v="Amazon"/>
    <s v="E-commerce"/>
    <s v="USA"/>
    <s v="Shanghai"/>
    <s v="Rotterdam"/>
    <x v="2"/>
    <s v="MSC Gülsün"/>
    <s v="20FT"/>
    <n v="1"/>
    <s v="Chemicals"/>
    <n v="33892.379999999997"/>
    <n v="6233.15"/>
    <n v="1643.35"/>
    <n v="599.04999999999995"/>
    <n v="338.92"/>
    <n v="646.17999999999995"/>
    <n v="1756.19"/>
    <n v="22675.54"/>
    <n v="0"/>
    <s v="None"/>
    <n v="51.94"/>
    <s v="Completed"/>
    <s v="Pending"/>
    <s v="Critical"/>
    <s v="R. Mehta"/>
    <s v="Asia"/>
    <d v="2025-10-01T00:00:00"/>
  </r>
  <r>
    <s v="SHP00985"/>
    <s v="BK50985"/>
    <d v="2025-06-14T00:00:00"/>
    <d v="2025-06-15T00:00:00"/>
    <d v="2025-07-13T00:00:00"/>
    <s v="Samsung"/>
    <s v="Electronics"/>
    <s v="South Korea"/>
    <s v="Shanghai"/>
    <s v="Rotterdam"/>
    <x v="1"/>
    <s v="Monaco Maersk"/>
    <s v="High Cube"/>
    <n v="2"/>
    <s v="Furniture"/>
    <n v="34028.11"/>
    <n v="6237.95"/>
    <n v="1883.63"/>
    <n v="696.98"/>
    <n v="340.28"/>
    <n v="119.46"/>
    <n v="1367.44"/>
    <n v="23382.37"/>
    <n v="0"/>
    <s v="None"/>
    <n v="51.98"/>
    <s v="Completed"/>
    <s v="Paid"/>
    <s v="High"/>
    <s v="L. Chen"/>
    <s v="North America"/>
    <d v="2025-06-01T00:00:00"/>
  </r>
  <r>
    <s v="SHP00683"/>
    <s v="BK50683"/>
    <d v="2025-09-21T00:00:00"/>
    <d v="2025-09-23T00:00:00"/>
    <d v="2025-10-06T00:00:00"/>
    <s v="Nestlé"/>
    <s v="Food"/>
    <s v="Switzerland"/>
    <s v="Singapore"/>
    <s v="Rotterdam"/>
    <x v="1"/>
    <s v="Monaco Maersk"/>
    <s v="Reefer"/>
    <n v="1"/>
    <s v="Machinery"/>
    <n v="34053.050000000003"/>
    <n v="6666.03"/>
    <n v="1785.82"/>
    <n v="403.59"/>
    <n v="340.53"/>
    <n v="604.26"/>
    <n v="1331.16"/>
    <n v="22921.66"/>
    <n v="36"/>
    <s v="Mechanical"/>
    <n v="55.55"/>
    <s v="Delayed"/>
    <s v="Paid"/>
    <s v="Critical"/>
    <s v="M. Ahmed"/>
    <s v="Middle East"/>
    <d v="2025-09-01T00:00:00"/>
  </r>
  <r>
    <s v="SHP00501"/>
    <s v="BK50501"/>
    <d v="2025-01-26T00:00:00"/>
    <d v="2025-01-30T00:00:00"/>
    <d v="2025-02-24T00:00:00"/>
    <s v="Pfizer"/>
    <s v="Pharma"/>
    <s v="USA"/>
    <s v="Colombo"/>
    <s v="Jebel Ali"/>
    <x v="2"/>
    <s v="MSC Gülsün"/>
    <s v="Reefer"/>
    <n v="1"/>
    <s v="Electronics"/>
    <n v="34061.33"/>
    <n v="9154.14"/>
    <n v="1383.29"/>
    <n v="723.85"/>
    <n v="340.61"/>
    <n v="276.45999999999998"/>
    <n v="368.02"/>
    <n v="21814.959999999999"/>
    <n v="0"/>
    <s v="None"/>
    <n v="76.28"/>
    <s v="Completed"/>
    <s v="Paid"/>
    <s v="High"/>
    <s v="A. Tan"/>
    <s v="Europe"/>
    <d v="2025-01-01T00:00:00"/>
  </r>
  <r>
    <s v="SHP00621"/>
    <s v="BK50621"/>
    <d v="2025-05-17T00:00:00"/>
    <d v="2025-05-18T00:00:00"/>
    <d v="2025-05-31T00:00:00"/>
    <s v="Toyota"/>
    <s v="Automotive"/>
    <s v="Japan"/>
    <s v="Shanghai"/>
    <s v="Rotterdam"/>
    <x v="1"/>
    <s v="Monaco Maersk"/>
    <s v="40FT"/>
    <n v="2"/>
    <s v="Electronics"/>
    <n v="34181.25"/>
    <n v="6858.24"/>
    <n v="2708.29"/>
    <n v="718.12"/>
    <n v="341.81"/>
    <n v="559.75"/>
    <n v="1984.48"/>
    <n v="21010.560000000001"/>
    <n v="12"/>
    <s v="Mechanical"/>
    <n v="57.15"/>
    <s v="Delayed"/>
    <s v="Paid"/>
    <s v="High"/>
    <s v="J. Smith"/>
    <s v="Asia"/>
    <d v="2025-05-01T00:00:00"/>
  </r>
  <r>
    <s v="SHP00858"/>
    <s v="BK50858"/>
    <d v="2025-11-27T00:00:00"/>
    <d v="2025-11-28T00:00:00"/>
    <d v="2025-12-15T00:00:00"/>
    <s v="Amazon"/>
    <s v="E-commerce"/>
    <s v="USA"/>
    <s v="Busan"/>
    <s v="Los Angeles"/>
    <x v="3"/>
    <s v="CMA CGM Jacques Saadé"/>
    <s v="40FT"/>
    <n v="2"/>
    <s v="Machinery"/>
    <n v="34313.65"/>
    <n v="10006.67"/>
    <n v="1619.8"/>
    <n v="924.68"/>
    <n v="343.14"/>
    <n v="739.65"/>
    <n v="2466.0500000000002"/>
    <n v="18213.66"/>
    <n v="8"/>
    <s v="Customs"/>
    <n v="83.39"/>
    <s v="Delayed"/>
    <s v="Paid"/>
    <s v="Critical"/>
    <s v="A. Tan"/>
    <s v="Europe"/>
    <d v="2025-11-01T00:00:00"/>
  </r>
  <r>
    <s v="SHP00005"/>
    <s v="BK50005"/>
    <d v="2025-09-06T00:00:00"/>
    <d v="2025-09-10T00:00:00"/>
    <d v="2025-10-05T00:00:00"/>
    <s v="Unilever"/>
    <s v="FMCG"/>
    <s v="UK"/>
    <s v="Singapore"/>
    <s v="Jebel Ali"/>
    <x v="2"/>
    <s v="OOCL Hong Kong"/>
    <s v="40FT"/>
    <n v="2"/>
    <s v="Food"/>
    <n v="34375.42"/>
    <n v="8263.4599999999991"/>
    <n v="2575.59"/>
    <n v="720.45"/>
    <n v="343.75"/>
    <n v="383.84"/>
    <n v="1310.33"/>
    <n v="20778"/>
    <n v="0"/>
    <s v="None"/>
    <n v="68.86"/>
    <s v="Completed"/>
    <s v="Pending"/>
    <s v="Critical"/>
    <s v="J. Smith"/>
    <s v="North America"/>
    <d v="2025-09-01T00:00:00"/>
  </r>
  <r>
    <s v="SHP00372"/>
    <s v="BK50372"/>
    <d v="2025-04-06T00:00:00"/>
    <d v="2025-04-10T00:00:00"/>
    <d v="2025-04-30T00:00:00"/>
    <s v="Adidas"/>
    <s v="Retail"/>
    <s v="Germany"/>
    <s v="Shanghai"/>
    <s v="Rotterdam"/>
    <x v="1"/>
    <s v="Mumbai Maersk"/>
    <s v="Reefer"/>
    <n v="2"/>
    <s v="Electronics"/>
    <n v="34471.040000000001"/>
    <n v="9137.3700000000008"/>
    <n v="1996.01"/>
    <n v="996.74"/>
    <n v="344.71"/>
    <n v="215.53"/>
    <n v="1067.78"/>
    <n v="20712.900000000001"/>
    <n v="0"/>
    <s v="None"/>
    <n v="76.14"/>
    <s v="Completed"/>
    <s v="Pending"/>
    <s v="Standard"/>
    <s v="A. Tan"/>
    <s v="North America"/>
    <d v="2025-04-01T00:00:00"/>
  </r>
  <r>
    <s v="SHP00634"/>
    <s v="BK50634"/>
    <d v="2025-07-26T00:00:00"/>
    <d v="2025-07-28T00:00:00"/>
    <d v="2025-08-14T00:00:00"/>
    <s v="Nestlé"/>
    <s v="Food"/>
    <s v="Switzerland"/>
    <s v="Shanghai"/>
    <s v="Shanghai"/>
    <x v="2"/>
    <s v="Ever Ace"/>
    <s v="High Cube"/>
    <n v="2"/>
    <s v="Electronics"/>
    <n v="34553.5"/>
    <n v="8542.73"/>
    <n v="1764.98"/>
    <n v="889.98"/>
    <n v="345.54"/>
    <n v="108.69"/>
    <n v="927.67"/>
    <n v="21973.91"/>
    <n v="0"/>
    <s v="None"/>
    <n v="71.19"/>
    <s v="Completed"/>
    <s v="Pending"/>
    <s v="High"/>
    <s v="A. Tan"/>
    <s v="Europe"/>
    <d v="2025-07-01T00:00:00"/>
  </r>
  <r>
    <s v="SHP00962"/>
    <s v="BK50962"/>
    <d v="2025-07-22T00:00:00"/>
    <d v="2025-07-23T00:00:00"/>
    <d v="2025-08-05T00:00:00"/>
    <s v="Siemens"/>
    <s v="Engineering"/>
    <s v="Germany"/>
    <s v="Singapore"/>
    <s v="Rotterdam"/>
    <x v="1"/>
    <s v="Ever Ace"/>
    <s v="20FT"/>
    <n v="2"/>
    <s v="Electronics"/>
    <n v="34559.96"/>
    <n v="7865.44"/>
    <n v="2510.21"/>
    <n v="844.57"/>
    <n v="345.6"/>
    <n v="654.79999999999995"/>
    <n v="2445.52"/>
    <n v="19893.82"/>
    <n v="4"/>
    <s v="Weather"/>
    <n v="65.55"/>
    <s v="Delayed"/>
    <s v="Pending"/>
    <s v="High"/>
    <s v="A. Tan"/>
    <s v="North America"/>
    <d v="2025-07-01T00:00:00"/>
  </r>
  <r>
    <s v="SHP00120"/>
    <s v="BK50120"/>
    <d v="2025-12-16T00:00:00"/>
    <d v="2025-12-18T00:00:00"/>
    <d v="2025-12-30T00:00:00"/>
    <s v="Nestlé"/>
    <s v="Food"/>
    <s v="Switzerland"/>
    <s v="Busan"/>
    <s v="Los Angeles"/>
    <x v="3"/>
    <s v="Madrid Maersk"/>
    <s v="Reefer"/>
    <n v="1"/>
    <s v="Electronics"/>
    <n v="34567.57"/>
    <n v="6203.25"/>
    <n v="2687.94"/>
    <n v="559.14"/>
    <n v="345.68"/>
    <n v="521.57000000000005"/>
    <n v="1870.1"/>
    <n v="22379.89"/>
    <n v="48"/>
    <s v="Port Congestion"/>
    <n v="51.69"/>
    <s v="Delayed"/>
    <s v="Paid"/>
    <s v="Standard"/>
    <s v="L. Chen"/>
    <s v="North America"/>
    <d v="2025-12-01T00:00:00"/>
  </r>
  <r>
    <s v="SHP00950"/>
    <s v="BK50950"/>
    <d v="2025-02-24T00:00:00"/>
    <d v="2025-02-28T00:00:00"/>
    <d v="2025-03-25T00:00:00"/>
    <s v="Reliance"/>
    <s v="Retail"/>
    <s v="India"/>
    <s v="Singapore"/>
    <s v="Rotterdam"/>
    <x v="1"/>
    <s v="Ever Ace"/>
    <s v="High Cube"/>
    <n v="1"/>
    <s v="Chemicals"/>
    <n v="34646.15"/>
    <n v="9904.5"/>
    <n v="1861.42"/>
    <n v="514.14"/>
    <n v="346.46"/>
    <n v="417.42"/>
    <n v="2440.17"/>
    <n v="19162.04"/>
    <n v="36"/>
    <s v="Labor Strike"/>
    <n v="82.54"/>
    <s v="Delayed"/>
    <s v="Paid"/>
    <s v="High"/>
    <s v="A. Tan"/>
    <s v="North America"/>
    <d v="2025-02-01T00:00:00"/>
  </r>
  <r>
    <s v="SHP00856"/>
    <s v="BK50856"/>
    <d v="2025-11-05T00:00:00"/>
    <d v="2025-11-07T00:00:00"/>
    <d v="2025-11-26T00:00:00"/>
    <s v="LG"/>
    <s v="Electronics"/>
    <s v="South Korea"/>
    <s v="Colombo"/>
    <s v="Singapore"/>
    <x v="4"/>
    <s v="MSC Gülsün"/>
    <s v="Reefer"/>
    <n v="2"/>
    <s v="Chemicals"/>
    <n v="34870.11"/>
    <n v="5836.29"/>
    <n v="1812.72"/>
    <n v="564.5"/>
    <n v="348.7"/>
    <n v="819.18"/>
    <n v="2028.91"/>
    <n v="23459.81"/>
    <n v="0"/>
    <s v="None"/>
    <n v="48.64"/>
    <s v="Completed"/>
    <s v="Paid"/>
    <s v="High"/>
    <s v="A. Tan"/>
    <s v="Asia"/>
    <d v="2025-11-01T00:00:00"/>
  </r>
  <r>
    <s v="SHP00994"/>
    <s v="BK50994"/>
    <d v="2025-04-14T00:00:00"/>
    <d v="2025-04-16T00:00:00"/>
    <d v="2025-05-02T00:00:00"/>
    <s v="Samsung"/>
    <s v="Electronics"/>
    <s v="South Korea"/>
    <s v="New York"/>
    <s v="Jebel Ali"/>
    <x v="2"/>
    <s v="Ever Ace"/>
    <s v="20FT"/>
    <n v="1"/>
    <s v="Chemicals"/>
    <n v="34895.68"/>
    <n v="6373.62"/>
    <n v="2495.14"/>
    <n v="696.51"/>
    <n v="348.96"/>
    <n v="850.33"/>
    <n v="539.79999999999995"/>
    <n v="23591.32"/>
    <n v="0"/>
    <s v="None"/>
    <n v="53.11"/>
    <s v="Completed"/>
    <s v="Paid"/>
    <s v="Critical"/>
    <s v="L. Chen"/>
    <s v="Asia"/>
    <d v="2025-04-01T00:00:00"/>
  </r>
  <r>
    <s v="SHP00437"/>
    <s v="BK50437"/>
    <d v="2025-08-03T00:00:00"/>
    <d v="2025-08-06T00:00:00"/>
    <d v="2025-08-30T00:00:00"/>
    <s v="Toyota"/>
    <s v="Automotive"/>
    <s v="Japan"/>
    <s v="Jebel Ali"/>
    <s v="Nhava Sheva"/>
    <x v="0"/>
    <s v="Mary Maersk"/>
    <s v="40FT"/>
    <n v="2"/>
    <s v="Furniture"/>
    <n v="34965.339999999997"/>
    <n v="6336.44"/>
    <n v="2663.92"/>
    <n v="1026.1500000000001"/>
    <n v="349.65"/>
    <n v="481.47"/>
    <n v="2226.09"/>
    <n v="21881.62"/>
    <n v="0"/>
    <s v="None"/>
    <n v="52.8"/>
    <s v="Completed"/>
    <s v="Paid"/>
    <s v="High"/>
    <s v="M. Ahmed"/>
    <s v="North America"/>
    <d v="2025-08-01T00:00:00"/>
  </r>
  <r>
    <s v="SHP00904"/>
    <s v="BK50904"/>
    <d v="2025-04-05T00:00:00"/>
    <d v="2025-04-06T00:00:00"/>
    <d v="2025-04-22T00:00:00"/>
    <s v="Adidas"/>
    <s v="Retail"/>
    <s v="Germany"/>
    <s v="Rotterdam"/>
    <s v="Colombo"/>
    <x v="2"/>
    <s v="Ever Ace"/>
    <s v="20FT"/>
    <n v="1"/>
    <s v="Chemicals"/>
    <n v="35074.949999999997"/>
    <n v="6471.78"/>
    <n v="2384.25"/>
    <n v="487.16"/>
    <n v="350.75"/>
    <n v="357.57"/>
    <n v="2340.84"/>
    <n v="22682.6"/>
    <n v="0"/>
    <s v="None"/>
    <n v="53.93"/>
    <s v="Completed"/>
    <s v="Paid"/>
    <s v="Standard"/>
    <s v="A. Tan"/>
    <s v="Middle East"/>
    <d v="2025-04-01T00:00:00"/>
  </r>
  <r>
    <s v="SHP00420"/>
    <s v="BK50420"/>
    <d v="2025-02-06T00:00:00"/>
    <d v="2025-02-07T00:00:00"/>
    <d v="2025-03-05T00:00:00"/>
    <s v="Toyota"/>
    <s v="Automotive"/>
    <s v="Japan"/>
    <s v="Colombo"/>
    <s v="Singapore"/>
    <x v="4"/>
    <s v="Monaco Maersk"/>
    <s v="Reefer"/>
    <n v="2"/>
    <s v="Furniture"/>
    <n v="35098.92"/>
    <n v="7336.11"/>
    <n v="1511.78"/>
    <n v="407.57"/>
    <n v="350.99"/>
    <n v="304.08"/>
    <n v="1884.68"/>
    <n v="23303.71"/>
    <n v="36"/>
    <s v="Customs"/>
    <n v="61.13"/>
    <s v="Delayed"/>
    <s v="Paid"/>
    <s v="Standard"/>
    <s v="A. Tan"/>
    <s v="North America"/>
    <d v="2025-02-01T00:00:00"/>
  </r>
  <r>
    <s v="SHP00799"/>
    <s v="BK50799"/>
    <d v="2025-10-06T00:00:00"/>
    <d v="2025-10-07T00:00:00"/>
    <d v="2025-10-23T00:00:00"/>
    <s v="IKEA"/>
    <s v="Retail"/>
    <s v="Sweden"/>
    <s v="Jebel Ali"/>
    <s v="Nhava Sheva"/>
    <x v="0"/>
    <s v="Mary Maersk"/>
    <s v="20FT"/>
    <n v="2"/>
    <s v="Electronics"/>
    <n v="35169.730000000003"/>
    <n v="6121.6"/>
    <n v="2193.96"/>
    <n v="646.63"/>
    <n v="351.7"/>
    <n v="386.34"/>
    <n v="1685.07"/>
    <n v="23784.43"/>
    <n v="0"/>
    <s v="None"/>
    <n v="51.01"/>
    <s v="Completed"/>
    <s v="Pending"/>
    <s v="Critical"/>
    <s v="A. Tan"/>
    <s v="Europe"/>
    <d v="2025-10-01T00:00:00"/>
  </r>
  <r>
    <s v="SHP00530"/>
    <s v="BK50530"/>
    <d v="2025-09-13T00:00:00"/>
    <d v="2025-09-15T00:00:00"/>
    <d v="2025-10-04T00:00:00"/>
    <s v="Toyota"/>
    <s v="Automotive"/>
    <s v="Japan"/>
    <s v="Busan"/>
    <s v="Los Angeles"/>
    <x v="3"/>
    <s v="OOCL Hong Kong"/>
    <s v="40FT"/>
    <n v="4"/>
    <s v="Auto Parts"/>
    <n v="35185.839999999997"/>
    <n v="9593.7800000000007"/>
    <n v="2339.08"/>
    <n v="442.8"/>
    <n v="351.86"/>
    <n v="390.4"/>
    <n v="1779.37"/>
    <n v="20288.55"/>
    <n v="48"/>
    <s v="Labor Strike"/>
    <n v="79.95"/>
    <s v="Delayed"/>
    <s v="Pending"/>
    <s v="Standard"/>
    <s v="J. Smith"/>
    <s v="Asia"/>
    <d v="2025-09-01T00:00:00"/>
  </r>
  <r>
    <s v="SHP00395"/>
    <s v="BK50395"/>
    <d v="2025-01-05T00:00:00"/>
    <d v="2025-01-07T00:00:00"/>
    <d v="2025-01-24T00:00:00"/>
    <s v="Amazon"/>
    <s v="E-commerce"/>
    <s v="USA"/>
    <s v="Shanghai"/>
    <s v="Rotterdam"/>
    <x v="1"/>
    <s v="Monaco Maersk"/>
    <s v="Reefer"/>
    <n v="1"/>
    <s v="Machinery"/>
    <n v="35216.54"/>
    <n v="7277.2"/>
    <n v="1803.75"/>
    <n v="359.28"/>
    <n v="352.17"/>
    <n v="319.81"/>
    <n v="1188.6099999999999"/>
    <n v="23915.72"/>
    <n v="8"/>
    <s v="Weather"/>
    <n v="60.64"/>
    <s v="Delayed"/>
    <s v="Paid"/>
    <s v="Critical"/>
    <s v="J. Smith"/>
    <s v="Asia"/>
    <d v="2025-01-01T00:00:00"/>
  </r>
  <r>
    <s v="SHP00300"/>
    <s v="BK50300"/>
    <d v="2025-05-18T00:00:00"/>
    <d v="2025-05-21T00:00:00"/>
    <d v="2025-06-17T00:00:00"/>
    <s v="Nestlé"/>
    <s v="Food"/>
    <s v="Switzerland"/>
    <s v="Shanghai"/>
    <s v="Colombo"/>
    <x v="2"/>
    <s v="Ever Ace"/>
    <s v="Reefer"/>
    <n v="2"/>
    <s v="Electronics"/>
    <n v="35511.47"/>
    <n v="7933.7"/>
    <n v="2799.92"/>
    <n v="922.93"/>
    <n v="355.11"/>
    <n v="343.58"/>
    <n v="1370.44"/>
    <n v="21785.79"/>
    <n v="48"/>
    <s v="Port Congestion"/>
    <n v="66.11"/>
    <s v="Delayed"/>
    <s v="Paid"/>
    <s v="Standard"/>
    <s v="M. Ahmed"/>
    <s v="Europe"/>
    <d v="2025-05-01T00:00:00"/>
  </r>
  <r>
    <s v="SHP00794"/>
    <s v="BK50794"/>
    <d v="2025-04-13T00:00:00"/>
    <d v="2025-04-16T00:00:00"/>
    <d v="2025-04-26T00:00:00"/>
    <s v="Siemens"/>
    <s v="Engineering"/>
    <s v="Germany"/>
    <s v="Jebel Ali"/>
    <s v="Nhava Sheva"/>
    <x v="0"/>
    <s v="CMA CGM Jacques Saadé"/>
    <s v="Reefer"/>
    <n v="1"/>
    <s v="Textiles"/>
    <n v="35747.870000000003"/>
    <n v="10456.56"/>
    <n v="1857.68"/>
    <n v="1034.53"/>
    <n v="357.48"/>
    <n v="577.96"/>
    <n v="1791.44"/>
    <n v="19672.22"/>
    <n v="0"/>
    <s v="None"/>
    <n v="87.14"/>
    <s v="Completed"/>
    <s v="Pending"/>
    <s v="Critical"/>
    <s v="A. Tan"/>
    <s v="Europe"/>
    <d v="2025-04-01T00:00:00"/>
  </r>
  <r>
    <s v="SHP00145"/>
    <s v="BK50145"/>
    <d v="2025-01-13T00:00:00"/>
    <d v="2025-01-16T00:00:00"/>
    <d v="2025-02-08T00:00:00"/>
    <s v="Reliance"/>
    <s v="Retail"/>
    <s v="India"/>
    <s v="Singapore"/>
    <s v="Rotterdam"/>
    <x v="1"/>
    <s v="Madrid Maersk"/>
    <s v="Reefer"/>
    <n v="2"/>
    <s v="Machinery"/>
    <n v="35776.53"/>
    <n v="9170.17"/>
    <n v="1830.36"/>
    <n v="1031.5999999999999"/>
    <n v="357.77"/>
    <n v="355.05"/>
    <n v="1030.3399999999999"/>
    <n v="22001.24"/>
    <n v="24"/>
    <s v="Labor Strike"/>
    <n v="76.42"/>
    <s v="Delayed"/>
    <s v="Paid"/>
    <s v="Standard"/>
    <s v="L. Chen"/>
    <s v="North America"/>
    <d v="2025-01-01T00:00:00"/>
  </r>
  <r>
    <s v="SHP00643"/>
    <s v="BK50643"/>
    <d v="2025-02-10T00:00:00"/>
    <d v="2025-02-13T00:00:00"/>
    <d v="2025-03-04T00:00:00"/>
    <s v="Amazon"/>
    <s v="E-commerce"/>
    <s v="USA"/>
    <s v="Busan"/>
    <s v="Los Angeles"/>
    <x v="3"/>
    <s v="Mumbai Maersk"/>
    <s v="High Cube"/>
    <n v="2"/>
    <s v="Food"/>
    <n v="35797.86"/>
    <n v="6028.73"/>
    <n v="1718.34"/>
    <n v="537.19000000000005"/>
    <n v="357.98"/>
    <n v="411.9"/>
    <n v="2090.73"/>
    <n v="24652.99"/>
    <n v="0"/>
    <s v="None"/>
    <n v="50.24"/>
    <s v="Completed"/>
    <s v="Paid"/>
    <s v="Standard"/>
    <s v="M. Ahmed"/>
    <s v="Middle East"/>
    <d v="2025-02-01T00:00:00"/>
  </r>
  <r>
    <s v="SHP00228"/>
    <s v="BK50228"/>
    <d v="2025-09-05T00:00:00"/>
    <d v="2025-09-07T00:00:00"/>
    <d v="2025-09-18T00:00:00"/>
    <s v="IKEA"/>
    <s v="Retail"/>
    <s v="Sweden"/>
    <s v="Jebel Ali"/>
    <s v="Nhava Sheva"/>
    <x v="0"/>
    <s v="Mumbai Maersk"/>
    <s v="High Cube"/>
    <n v="4"/>
    <s v="Chemicals"/>
    <n v="35891.4"/>
    <n v="8774.86"/>
    <n v="2621.36"/>
    <n v="558.63"/>
    <n v="358.91"/>
    <n v="749.14"/>
    <n v="2172.5500000000002"/>
    <n v="20655.95"/>
    <n v="36"/>
    <s v="Customs"/>
    <n v="73.12"/>
    <s v="Delayed"/>
    <s v="Pending"/>
    <s v="Standard"/>
    <s v="J. Smith"/>
    <s v="Europe"/>
    <d v="2025-09-01T00:00:00"/>
  </r>
  <r>
    <s v="SHP00409"/>
    <s v="BK50409"/>
    <d v="2025-05-01T00:00:00"/>
    <d v="2025-05-04T00:00:00"/>
    <d v="2025-05-19T00:00:00"/>
    <s v="Toyota"/>
    <s v="Automotive"/>
    <s v="Japan"/>
    <s v="Singapore"/>
    <s v="Rotterdam"/>
    <x v="1"/>
    <s v="OOCL Hong Kong"/>
    <s v="20FT"/>
    <n v="4"/>
    <s v="Machinery"/>
    <n v="35902.82"/>
    <n v="7076.97"/>
    <n v="2034.65"/>
    <n v="765.67"/>
    <n v="359.03"/>
    <n v="884.72"/>
    <n v="1991.32"/>
    <n v="22790.46"/>
    <n v="8"/>
    <s v="Port Congestion"/>
    <n v="58.97"/>
    <s v="Delayed"/>
    <s v="Pending"/>
    <s v="Standard"/>
    <s v="A. Tan"/>
    <s v="Middle East"/>
    <d v="2025-05-01T00:00:00"/>
  </r>
  <r>
    <s v="SHP00506"/>
    <s v="BK50506"/>
    <d v="2025-08-07T00:00:00"/>
    <d v="2025-08-11T00:00:00"/>
    <d v="2025-08-25T00:00:00"/>
    <s v="Toyota"/>
    <s v="Automotive"/>
    <s v="Japan"/>
    <s v="Shanghai"/>
    <s v="Singapore"/>
    <x v="2"/>
    <s v="Ever Ace"/>
    <s v="20FT"/>
    <n v="2"/>
    <s v="Food"/>
    <n v="35961.760000000002"/>
    <n v="6530.28"/>
    <n v="1842.34"/>
    <n v="479.42"/>
    <n v="359.62"/>
    <n v="489.46"/>
    <n v="2446.52"/>
    <n v="23814.12"/>
    <n v="0"/>
    <s v="None"/>
    <n v="54.42"/>
    <s v="Completed"/>
    <s v="Paid"/>
    <s v="Critical"/>
    <s v="M. Ahmed"/>
    <s v="North America"/>
    <d v="2025-08-01T00:00:00"/>
  </r>
  <r>
    <s v="SHP00542"/>
    <s v="BK50542"/>
    <d v="2025-06-30T00:00:00"/>
    <d v="2025-07-03T00:00:00"/>
    <d v="2025-07-19T00:00:00"/>
    <s v="Amazon"/>
    <s v="E-commerce"/>
    <s v="USA"/>
    <s v="Jebel Ali"/>
    <s v="Rotterdam"/>
    <x v="2"/>
    <s v="MSC Gülsün"/>
    <s v="20FT"/>
    <n v="1"/>
    <s v="Auto Parts"/>
    <n v="36037.47"/>
    <n v="9467.73"/>
    <n v="1532.76"/>
    <n v="611.19000000000005"/>
    <n v="360.37"/>
    <n v="600.51"/>
    <n v="2304.9499999999998"/>
    <n v="21159.96"/>
    <n v="12"/>
    <s v="Labor Strike"/>
    <n v="78.900000000000006"/>
    <s v="Delayed"/>
    <s v="Paid"/>
    <s v="High"/>
    <s v="J. Smith"/>
    <s v="Asia"/>
    <d v="2025-06-01T00:00:00"/>
  </r>
  <r>
    <s v="SHP00944"/>
    <s v="BK50944"/>
    <d v="2025-02-27T00:00:00"/>
    <d v="2025-02-28T00:00:00"/>
    <d v="2025-03-10T00:00:00"/>
    <s v="Reliance"/>
    <s v="Retail"/>
    <s v="India"/>
    <s v="Jebel Ali"/>
    <s v="Nhava Sheva"/>
    <x v="0"/>
    <s v="Madrid Maersk"/>
    <s v="High Cube"/>
    <n v="1"/>
    <s v="Furniture"/>
    <n v="36070.89"/>
    <n v="9825.35"/>
    <n v="1443.21"/>
    <n v="559.4"/>
    <n v="360.71"/>
    <n v="835.07"/>
    <n v="2324.73"/>
    <n v="20722.419999999998"/>
    <n v="4"/>
    <s v="Labor Strike"/>
    <n v="81.88"/>
    <s v="Delayed"/>
    <s v="Paid"/>
    <s v="High"/>
    <s v="A. Tan"/>
    <s v="Europe"/>
    <d v="2025-02-01T00:00:00"/>
  </r>
  <r>
    <s v="SHP00776"/>
    <s v="BK50776"/>
    <d v="2025-07-27T00:00:00"/>
    <d v="2025-07-28T00:00:00"/>
    <d v="2025-08-19T00:00:00"/>
    <s v="Amazon"/>
    <s v="E-commerce"/>
    <s v="USA"/>
    <s v="Singapore"/>
    <s v="Rotterdam"/>
    <x v="1"/>
    <s v="OOCL Hong Kong"/>
    <s v="High Cube"/>
    <n v="1"/>
    <s v="Food"/>
    <n v="36132.99"/>
    <n v="9922.5"/>
    <n v="2500.81"/>
    <n v="978.57"/>
    <n v="361.33"/>
    <n v="794.34"/>
    <n v="567.72"/>
    <n v="21007.72"/>
    <n v="8"/>
    <s v="Mechanical"/>
    <n v="82.69"/>
    <s v="Delayed"/>
    <s v="Pending"/>
    <s v="Critical"/>
    <s v="M. Ahmed"/>
    <s v="Europe"/>
    <d v="2025-07-01T00:00:00"/>
  </r>
  <r>
    <s v="SHP00864"/>
    <s v="BK50864"/>
    <d v="2025-12-01T00:00:00"/>
    <d v="2025-12-03T00:00:00"/>
    <d v="2025-12-13T00:00:00"/>
    <s v="Bosch"/>
    <s v="Manufacturing"/>
    <s v="Germany"/>
    <s v="Singapore"/>
    <s v="Rotterdam"/>
    <x v="1"/>
    <s v="Madrid Maersk"/>
    <s v="40FT"/>
    <n v="2"/>
    <s v="Food"/>
    <n v="36222.75"/>
    <n v="10499.28"/>
    <n v="2572.52"/>
    <n v="808.26"/>
    <n v="362.23"/>
    <n v="125.19"/>
    <n v="1288.26"/>
    <n v="20567.009999999998"/>
    <n v="0"/>
    <s v="None"/>
    <n v="87.49"/>
    <s v="Completed"/>
    <s v="Pending"/>
    <s v="Critical"/>
    <s v="L. Chen"/>
    <s v="North America"/>
    <d v="2025-12-01T00:00:00"/>
  </r>
  <r>
    <s v="SHP00429"/>
    <s v="BK50429"/>
    <d v="2025-11-01T00:00:00"/>
    <d v="2025-11-05T00:00:00"/>
    <d v="2025-11-15T00:00:00"/>
    <s v="Reliance"/>
    <s v="Retail"/>
    <s v="India"/>
    <s v="Colombo"/>
    <s v="Singapore"/>
    <x v="4"/>
    <s v="Madrid Maersk"/>
    <s v="Reefer"/>
    <n v="1"/>
    <s v="Machinery"/>
    <n v="36306.400000000001"/>
    <n v="8647.16"/>
    <n v="1971.99"/>
    <n v="626.03"/>
    <n v="363.06"/>
    <n v="559.09"/>
    <n v="835.37"/>
    <n v="23303.7"/>
    <n v="4"/>
    <s v="Labor Strike"/>
    <n v="72.06"/>
    <s v="Delayed"/>
    <s v="Pending"/>
    <s v="High"/>
    <s v="R. Mehta"/>
    <s v="Asia"/>
    <d v="2025-11-01T00:00:00"/>
  </r>
  <r>
    <s v="SHP00165"/>
    <s v="BK50165"/>
    <d v="2025-12-13T00:00:00"/>
    <d v="2025-12-15T00:00:00"/>
    <d v="2025-12-30T00:00:00"/>
    <s v="Amazon"/>
    <s v="E-commerce"/>
    <s v="USA"/>
    <s v="Busan"/>
    <s v="Los Angeles"/>
    <x v="3"/>
    <s v="Ever Ace"/>
    <s v="20FT"/>
    <n v="2"/>
    <s v="Electronics"/>
    <n v="36484.660000000003"/>
    <n v="9526.4"/>
    <n v="2895.7"/>
    <n v="798.61"/>
    <n v="364.85"/>
    <n v="471.75"/>
    <n v="2127.0100000000002"/>
    <n v="20300.34"/>
    <n v="24"/>
    <s v="Weather"/>
    <n v="79.39"/>
    <s v="Delayed"/>
    <s v="Paid"/>
    <s v="High"/>
    <s v="R. Mehta"/>
    <s v="North America"/>
    <d v="2025-12-01T00:00:00"/>
  </r>
  <r>
    <s v="SHP00203"/>
    <s v="BK50203"/>
    <d v="2025-09-19T00:00:00"/>
    <d v="2025-09-21T00:00:00"/>
    <d v="2025-10-04T00:00:00"/>
    <s v="Reliance"/>
    <s v="Retail"/>
    <s v="India"/>
    <s v="Shanghai"/>
    <s v="Rotterdam"/>
    <x v="1"/>
    <s v="Mary Maersk"/>
    <s v="40FT"/>
    <n v="1"/>
    <s v="Chemicals"/>
    <n v="36532.620000000003"/>
    <n v="8769.61"/>
    <n v="1813.13"/>
    <n v="883.58"/>
    <n v="365.33"/>
    <n v="183.53"/>
    <n v="1889.17"/>
    <n v="22628.27"/>
    <n v="24"/>
    <s v="Port Congestion"/>
    <n v="73.08"/>
    <s v="Delayed"/>
    <s v="Paid"/>
    <s v="Critical"/>
    <s v="R. Mehta"/>
    <s v="Middle East"/>
    <d v="2025-09-01T00:00:00"/>
  </r>
  <r>
    <s v="SHP00720"/>
    <s v="BK50720"/>
    <d v="2025-06-12T00:00:00"/>
    <d v="2025-06-14T00:00:00"/>
    <d v="2025-07-05T00:00:00"/>
    <s v="Siemens"/>
    <s v="Engineering"/>
    <s v="Germany"/>
    <s v="Singapore"/>
    <s v="Rotterdam"/>
    <x v="1"/>
    <s v="Mumbai Maersk"/>
    <s v="High Cube"/>
    <n v="1"/>
    <s v="Food"/>
    <n v="36601.980000000003"/>
    <n v="9705.68"/>
    <n v="2085.3200000000002"/>
    <n v="685.59"/>
    <n v="366.02"/>
    <n v="616.37"/>
    <n v="2382.39"/>
    <n v="20760.61"/>
    <n v="36"/>
    <s v="Labor Strike"/>
    <n v="80.88"/>
    <s v="Delayed"/>
    <s v="Paid"/>
    <s v="Standard"/>
    <s v="M. Ahmed"/>
    <s v="North America"/>
    <d v="2025-06-01T00:00:00"/>
  </r>
  <r>
    <s v="SHP00483"/>
    <s v="BK50483"/>
    <d v="2025-07-20T00:00:00"/>
    <d v="2025-07-23T00:00:00"/>
    <d v="2025-08-18T00:00:00"/>
    <s v="LG"/>
    <s v="Electronics"/>
    <s v="South Korea"/>
    <s v="New York"/>
    <s v="Singapore"/>
    <x v="2"/>
    <s v="MSC Gülsün"/>
    <s v="Reefer"/>
    <n v="2"/>
    <s v="Chemicals"/>
    <n v="36657.379999999997"/>
    <n v="10030.06"/>
    <n v="2580.09"/>
    <n v="580.1"/>
    <n v="366.57"/>
    <n v="447.43"/>
    <n v="638.54999999999995"/>
    <n v="22014.58"/>
    <n v="24"/>
    <s v="Customs"/>
    <n v="83.58"/>
    <s v="Delayed"/>
    <s v="Paid"/>
    <s v="Critical"/>
    <s v="L. Chen"/>
    <s v="Middle East"/>
    <d v="2025-07-01T00:00:00"/>
  </r>
  <r>
    <s v="SHP00905"/>
    <s v="BK50905"/>
    <d v="2025-07-20T00:00:00"/>
    <d v="2025-07-21T00:00:00"/>
    <d v="2025-08-15T00:00:00"/>
    <s v="Samsung"/>
    <s v="Electronics"/>
    <s v="South Korea"/>
    <s v="Busan"/>
    <s v="Los Angeles"/>
    <x v="3"/>
    <s v="OOCL Hong Kong"/>
    <s v="20FT"/>
    <n v="1"/>
    <s v="Furniture"/>
    <n v="36735.24"/>
    <n v="10429.61"/>
    <n v="1843.99"/>
    <n v="402.86"/>
    <n v="367.35"/>
    <n v="789.01"/>
    <n v="2388.31"/>
    <n v="20514.11"/>
    <n v="8"/>
    <s v="Labor Strike"/>
    <n v="86.91"/>
    <s v="Delayed"/>
    <s v="Paid"/>
    <s v="Critical"/>
    <s v="A. Tan"/>
    <s v="North America"/>
    <d v="2025-07-01T00:00:00"/>
  </r>
  <r>
    <s v="SHP00138"/>
    <s v="BK50138"/>
    <d v="2025-03-08T00:00:00"/>
    <d v="2025-03-11T00:00:00"/>
    <d v="2025-03-22T00:00:00"/>
    <s v="Samsung"/>
    <s v="Electronics"/>
    <s v="South Korea"/>
    <s v="Colombo"/>
    <s v="Singapore"/>
    <x v="4"/>
    <s v="Madrid Maersk"/>
    <s v="40FT"/>
    <n v="2"/>
    <s v="Chemicals"/>
    <n v="36900.839999999997"/>
    <n v="6214.43"/>
    <n v="2399.7199999999998"/>
    <n v="544.89"/>
    <n v="369.01"/>
    <n v="279.70999999999998"/>
    <n v="607.55999999999995"/>
    <n v="26485.52"/>
    <n v="0"/>
    <s v="None"/>
    <n v="51.79"/>
    <s v="Completed"/>
    <s v="Paid"/>
    <s v="Standard"/>
    <s v="L. Chen"/>
    <s v="Europe"/>
    <d v="2025-03-01T00:00:00"/>
  </r>
  <r>
    <s v="SHP00595"/>
    <s v="BK50595"/>
    <d v="2025-08-30T00:00:00"/>
    <d v="2025-09-03T00:00:00"/>
    <d v="2025-09-29T00:00:00"/>
    <s v="Samsung"/>
    <s v="Electronics"/>
    <s v="South Korea"/>
    <s v="Singapore"/>
    <s v="Rotterdam"/>
    <x v="1"/>
    <s v="Monaco Maersk"/>
    <s v="Reefer"/>
    <n v="1"/>
    <s v="Machinery"/>
    <n v="36946.699999999997"/>
    <n v="8222.4699999999993"/>
    <n v="2229.1799999999998"/>
    <n v="699.71"/>
    <n v="369.47"/>
    <n v="757.65"/>
    <n v="1020.29"/>
    <n v="23647.93"/>
    <n v="36"/>
    <s v="Customs"/>
    <n v="68.52"/>
    <s v="Delayed"/>
    <s v="Paid"/>
    <s v="Standard"/>
    <s v="L. Chen"/>
    <s v="Asia"/>
    <d v="2025-08-01T00:00:00"/>
  </r>
  <r>
    <s v="SHP00670"/>
    <s v="BK50670"/>
    <d v="2025-01-27T00:00:00"/>
    <d v="2025-01-30T00:00:00"/>
    <d v="2025-02-23T00:00:00"/>
    <s v="Nestlé"/>
    <s v="Food"/>
    <s v="Switzerland"/>
    <s v="Singapore"/>
    <s v="Rotterdam"/>
    <x v="1"/>
    <s v="CMA CGM Jacques Saadé"/>
    <s v="40FT"/>
    <n v="1"/>
    <s v="Auto Parts"/>
    <n v="36981.24"/>
    <n v="9773.33"/>
    <n v="2049.0700000000002"/>
    <n v="563.36"/>
    <n v="369.81"/>
    <n v="690.55"/>
    <n v="1817.56"/>
    <n v="21717.56"/>
    <n v="0"/>
    <s v="None"/>
    <n v="81.44"/>
    <s v="Completed"/>
    <s v="Paid"/>
    <s v="Standard"/>
    <s v="J. Smith"/>
    <s v="Europe"/>
    <d v="2025-01-01T00:00:00"/>
  </r>
  <r>
    <s v="SHP00224"/>
    <s v="BK50224"/>
    <d v="2025-07-31T00:00:00"/>
    <d v="2025-08-04T00:00:00"/>
    <d v="2025-08-19T00:00:00"/>
    <s v="Adidas"/>
    <s v="Retail"/>
    <s v="Germany"/>
    <s v="Busan"/>
    <s v="Los Angeles"/>
    <x v="3"/>
    <s v="Monaco Maersk"/>
    <s v="Reefer"/>
    <n v="2"/>
    <s v="Food"/>
    <n v="36985.370000000003"/>
    <n v="6612.15"/>
    <n v="1637.85"/>
    <n v="680.94"/>
    <n v="369.85"/>
    <n v="851.69"/>
    <n v="397.04"/>
    <n v="26435.85"/>
    <n v="0"/>
    <s v="None"/>
    <n v="55.1"/>
    <s v="Completed"/>
    <s v="Pending"/>
    <s v="High"/>
    <s v="J. Smith"/>
    <s v="Europe"/>
    <d v="2025-07-01T00:00:00"/>
  </r>
  <r>
    <s v="SHP00160"/>
    <s v="BK50160"/>
    <d v="2025-11-26T00:00:00"/>
    <d v="2025-11-28T00:00:00"/>
    <d v="2025-12-15T00:00:00"/>
    <s v="Amazon"/>
    <s v="E-commerce"/>
    <s v="USA"/>
    <s v="Singapore"/>
    <s v="Rotterdam"/>
    <x v="1"/>
    <s v="CMA CGM Jacques Saadé"/>
    <s v="40FT"/>
    <n v="2"/>
    <s v="Chemicals"/>
    <n v="37158.22"/>
    <n v="10525.31"/>
    <n v="2371.08"/>
    <n v="468.36"/>
    <n v="371.58"/>
    <n v="156.77000000000001"/>
    <n v="1358.48"/>
    <n v="21906.639999999999"/>
    <n v="0"/>
    <s v="None"/>
    <n v="87.71"/>
    <s v="Completed"/>
    <s v="Pending"/>
    <s v="Standard"/>
    <s v="R. Mehta"/>
    <s v="North America"/>
    <d v="2025-11-01T00:00:00"/>
  </r>
  <r>
    <s v="SHP00887"/>
    <s v="BK50887"/>
    <d v="2025-05-14T00:00:00"/>
    <d v="2025-05-16T00:00:00"/>
    <d v="2025-06-10T00:00:00"/>
    <s v="LG"/>
    <s v="Electronics"/>
    <s v="South Korea"/>
    <s v="Shanghai"/>
    <s v="Rotterdam"/>
    <x v="1"/>
    <s v="Mumbai Maersk"/>
    <s v="Reefer"/>
    <n v="1"/>
    <s v="Furniture"/>
    <n v="37162.82"/>
    <n v="10778.18"/>
    <n v="1491.94"/>
    <n v="591.44000000000005"/>
    <n v="371.63"/>
    <n v="851.61"/>
    <n v="2290.19"/>
    <n v="20787.830000000002"/>
    <n v="36"/>
    <s v="Mechanical"/>
    <n v="89.82"/>
    <s v="Delayed"/>
    <s v="Pending"/>
    <s v="Standard"/>
    <s v="M. Ahmed"/>
    <s v="North America"/>
    <d v="2025-05-01T00:00:00"/>
  </r>
  <r>
    <s v="SHP00179"/>
    <s v="BK50179"/>
    <d v="2025-03-30T00:00:00"/>
    <d v="2025-03-31T00:00:00"/>
    <d v="2025-04-20T00:00:00"/>
    <s v="Amazon"/>
    <s v="E-commerce"/>
    <s v="USA"/>
    <s v="Singapore"/>
    <s v="Rotterdam"/>
    <x v="1"/>
    <s v="Ever Ace"/>
    <s v="40FT"/>
    <n v="4"/>
    <s v="Auto Parts"/>
    <n v="37276.01"/>
    <n v="8550.9599999999991"/>
    <n v="2409.89"/>
    <n v="485.17"/>
    <n v="372.76"/>
    <n v="616.89"/>
    <n v="837.74"/>
    <n v="24002.6"/>
    <n v="0"/>
    <s v="None"/>
    <n v="71.260000000000005"/>
    <s v="Completed"/>
    <s v="Pending"/>
    <s v="High"/>
    <s v="M. Ahmed"/>
    <s v="North America"/>
    <d v="2025-03-01T00:00:00"/>
  </r>
  <r>
    <s v="SHP00454"/>
    <s v="BK50454"/>
    <d v="2025-04-22T00:00:00"/>
    <d v="2025-04-24T00:00:00"/>
    <d v="2025-05-09T00:00:00"/>
    <s v="IKEA"/>
    <s v="Retail"/>
    <s v="Sweden"/>
    <s v="Shanghai"/>
    <s v="Rotterdam"/>
    <x v="1"/>
    <s v="Ever Ace"/>
    <s v="40FT"/>
    <n v="1"/>
    <s v="Furniture"/>
    <n v="37300.42"/>
    <n v="6218.49"/>
    <n v="1527.29"/>
    <n v="573.74"/>
    <n v="373"/>
    <n v="730.5"/>
    <n v="322.19"/>
    <n v="27555.21"/>
    <n v="0"/>
    <s v="None"/>
    <n v="51.82"/>
    <s v="Completed"/>
    <s v="Pending"/>
    <s v="High"/>
    <s v="L. Chen"/>
    <s v="North America"/>
    <d v="2025-04-01T00:00:00"/>
  </r>
  <r>
    <s v="SHP00453"/>
    <s v="BK50453"/>
    <d v="2025-02-11T00:00:00"/>
    <d v="2025-02-15T00:00:00"/>
    <d v="2025-02-28T00:00:00"/>
    <s v="IKEA"/>
    <s v="Retail"/>
    <s v="Sweden"/>
    <s v="Colombo"/>
    <s v="Rotterdam"/>
    <x v="2"/>
    <s v="Ever Ace"/>
    <s v="High Cube"/>
    <n v="2"/>
    <s v="Food"/>
    <n v="37348.410000000003"/>
    <n v="7684.81"/>
    <n v="2108.25"/>
    <n v="952.86"/>
    <n v="373.48"/>
    <n v="666.1"/>
    <n v="2469.65"/>
    <n v="23093.26"/>
    <n v="24"/>
    <s v="Mechanical"/>
    <n v="64.040000000000006"/>
    <s v="Delayed"/>
    <s v="Paid"/>
    <s v="Standard"/>
    <s v="J. Smith"/>
    <s v="Asia"/>
    <d v="2025-02-01T00:00:00"/>
  </r>
  <r>
    <s v="SHP00121"/>
    <s v="BK50121"/>
    <d v="2025-04-04T00:00:00"/>
    <d v="2025-04-06T00:00:00"/>
    <d v="2025-05-03T00:00:00"/>
    <s v="Siemens"/>
    <s v="Engineering"/>
    <s v="Germany"/>
    <s v="Nhava Sheva"/>
    <s v="Colombo"/>
    <x v="2"/>
    <s v="Ever Ace"/>
    <s v="Reefer"/>
    <n v="2"/>
    <s v="Chemicals"/>
    <n v="37352.870000000003"/>
    <n v="9448.31"/>
    <n v="2826.2"/>
    <n v="535.01"/>
    <n v="373.53"/>
    <n v="387.68"/>
    <n v="1894.78"/>
    <n v="21887.360000000001"/>
    <n v="24"/>
    <s v="Weather"/>
    <n v="78.739999999999995"/>
    <s v="Delayed"/>
    <s v="Pending"/>
    <s v="High"/>
    <s v="R. Mehta"/>
    <s v="Middle East"/>
    <d v="2025-04-01T00:00:00"/>
  </r>
  <r>
    <s v="SHP00577"/>
    <s v="BK50577"/>
    <d v="2025-07-24T00:00:00"/>
    <d v="2025-07-26T00:00:00"/>
    <d v="2025-08-17T00:00:00"/>
    <s v="Bosch"/>
    <s v="Manufacturing"/>
    <s v="Germany"/>
    <s v="Colombo"/>
    <s v="Singapore"/>
    <x v="4"/>
    <s v="Mumbai Maersk"/>
    <s v="40FT"/>
    <n v="1"/>
    <s v="Machinery"/>
    <n v="37354.71"/>
    <n v="6246.01"/>
    <n v="2880.89"/>
    <n v="900.21"/>
    <n v="373.55"/>
    <n v="259.19"/>
    <n v="496.87"/>
    <n v="26197.99"/>
    <n v="24"/>
    <s v="Weather"/>
    <n v="52.05"/>
    <s v="Delayed"/>
    <s v="Pending"/>
    <s v="Standard"/>
    <s v="R. Mehta"/>
    <s v="Middle East"/>
    <d v="2025-07-01T00:00:00"/>
  </r>
  <r>
    <s v="SHP00957"/>
    <s v="BK50957"/>
    <d v="2025-12-08T00:00:00"/>
    <d v="2025-12-12T00:00:00"/>
    <d v="2025-12-31T00:00:00"/>
    <s v="Siemens"/>
    <s v="Engineering"/>
    <s v="Germany"/>
    <s v="Singapore"/>
    <s v="Rotterdam"/>
    <x v="1"/>
    <s v="CMA CGM Jacques Saadé"/>
    <s v="High Cube"/>
    <n v="2"/>
    <s v="Machinery"/>
    <n v="37418.49"/>
    <n v="6995.86"/>
    <n v="2719.78"/>
    <n v="958.67"/>
    <n v="374.18"/>
    <n v="121.71"/>
    <n v="717.94"/>
    <n v="25530.35"/>
    <n v="24"/>
    <s v="Mechanical"/>
    <n v="58.3"/>
    <s v="Delayed"/>
    <s v="Paid"/>
    <s v="High"/>
    <s v="R. Mehta"/>
    <s v="Middle East"/>
    <d v="2025-12-01T00:00:00"/>
  </r>
  <r>
    <s v="SHP00218"/>
    <s v="BK50218"/>
    <d v="2025-12-19T00:00:00"/>
    <d v="2025-12-22T00:00:00"/>
    <d v="2026-01-16T00:00:00"/>
    <s v="Reliance"/>
    <s v="Retail"/>
    <s v="India"/>
    <s v="Colombo"/>
    <s v="Rotterdam"/>
    <x v="2"/>
    <s v="MSC Gülsün"/>
    <s v="High Cube"/>
    <n v="4"/>
    <s v="Electronics"/>
    <n v="37455.32"/>
    <n v="9627.7800000000007"/>
    <n v="1931.74"/>
    <n v="1070.19"/>
    <n v="374.55"/>
    <n v="559.87"/>
    <n v="1137.8599999999999"/>
    <n v="22753.33"/>
    <n v="0"/>
    <s v="None"/>
    <n v="80.23"/>
    <s v="Completed"/>
    <s v="Pending"/>
    <s v="High"/>
    <s v="M. Ahmed"/>
    <s v="North America"/>
    <d v="2025-12-01T00:00:00"/>
  </r>
  <r>
    <s v="SHP00284"/>
    <s v="BK50284"/>
    <d v="2025-10-15T00:00:00"/>
    <d v="2025-10-18T00:00:00"/>
    <d v="2025-11-07T00:00:00"/>
    <s v="Unilever"/>
    <s v="FMCG"/>
    <s v="UK"/>
    <s v="Singapore"/>
    <s v="Rotterdam"/>
    <x v="1"/>
    <s v="MSC Gülsün"/>
    <s v="Reefer"/>
    <n v="2"/>
    <s v="Electronics"/>
    <n v="37533.839999999997"/>
    <n v="9642.75"/>
    <n v="2139.9899999999998"/>
    <n v="788.06"/>
    <n v="375.34"/>
    <n v="717.47"/>
    <n v="779.63"/>
    <n v="23090.6"/>
    <n v="0"/>
    <s v="None"/>
    <n v="80.36"/>
    <s v="Completed"/>
    <s v="Pending"/>
    <s v="Standard"/>
    <s v="M. Ahmed"/>
    <s v="Asia"/>
    <d v="2025-10-01T00:00:00"/>
  </r>
  <r>
    <s v="SHP00636"/>
    <s v="BK50636"/>
    <d v="2025-01-10T00:00:00"/>
    <d v="2025-01-12T00:00:00"/>
    <d v="2025-01-24T00:00:00"/>
    <s v="Adidas"/>
    <s v="Retail"/>
    <s v="Germany"/>
    <s v="Singapore"/>
    <s v="Rotterdam"/>
    <x v="1"/>
    <s v="Ever Ace"/>
    <s v="20FT"/>
    <n v="2"/>
    <s v="Auto Parts"/>
    <n v="37540.089999999997"/>
    <n v="6314.93"/>
    <n v="1732.05"/>
    <n v="760.66"/>
    <n v="375.4"/>
    <n v="745.03"/>
    <n v="2079.63"/>
    <n v="25532.39"/>
    <n v="24"/>
    <s v="Customs"/>
    <n v="52.62"/>
    <s v="Delayed"/>
    <s v="Paid"/>
    <s v="High"/>
    <s v="J. Smith"/>
    <s v="Middle East"/>
    <d v="2025-01-01T00:00:00"/>
  </r>
  <r>
    <s v="SHP00591"/>
    <s v="BK50591"/>
    <d v="2025-06-09T00:00:00"/>
    <d v="2025-06-12T00:00:00"/>
    <d v="2025-07-05T00:00:00"/>
    <s v="Samsung"/>
    <s v="Electronics"/>
    <s v="South Korea"/>
    <s v="Busan"/>
    <s v="Los Angeles"/>
    <x v="3"/>
    <s v="Mary Maersk"/>
    <s v="20FT"/>
    <n v="1"/>
    <s v="Chemicals"/>
    <n v="37570.58"/>
    <n v="6634.06"/>
    <n v="2894.77"/>
    <n v="1019.53"/>
    <n v="375.71"/>
    <n v="786.21"/>
    <n v="1415.98"/>
    <n v="24444.32"/>
    <n v="0"/>
    <s v="None"/>
    <n v="55.28"/>
    <s v="Completed"/>
    <s v="Pending"/>
    <s v="High"/>
    <s v="M. Ahmed"/>
    <s v="Middle East"/>
    <d v="2025-06-01T00:00:00"/>
  </r>
  <r>
    <s v="SHP00431"/>
    <s v="BK50431"/>
    <d v="2025-02-18T00:00:00"/>
    <d v="2025-02-19T00:00:00"/>
    <d v="2025-03-12T00:00:00"/>
    <s v="Nestlé"/>
    <s v="Food"/>
    <s v="Switzerland"/>
    <s v="Busan"/>
    <s v="Los Angeles"/>
    <x v="3"/>
    <s v="MSC Gülsün"/>
    <s v="High Cube"/>
    <n v="2"/>
    <s v="Food"/>
    <n v="37694.519999999997"/>
    <n v="6781.23"/>
    <n v="1888.26"/>
    <n v="1117.3599999999999"/>
    <n v="376.95"/>
    <n v="113.16"/>
    <n v="2474.19"/>
    <n v="24943.37"/>
    <n v="0"/>
    <s v="None"/>
    <n v="56.51"/>
    <s v="Completed"/>
    <s v="Pending"/>
    <s v="Critical"/>
    <s v="A. Tan"/>
    <s v="North America"/>
    <d v="2025-02-01T00:00:00"/>
  </r>
  <r>
    <s v="SHP00004"/>
    <s v="BK50004"/>
    <d v="2025-09-04T00:00:00"/>
    <d v="2025-09-05T00:00:00"/>
    <d v="2025-09-25T00:00:00"/>
    <s v="LG"/>
    <s v="Electronics"/>
    <s v="South Korea"/>
    <s v="Jebel Ali"/>
    <s v="Nhava Sheva"/>
    <x v="0"/>
    <s v="Mumbai Maersk"/>
    <s v="40FT"/>
    <n v="1"/>
    <s v="Food"/>
    <n v="37760.550000000003"/>
    <n v="7410.01"/>
    <n v="2216.38"/>
    <n v="1030.74"/>
    <n v="377.61"/>
    <n v="658.9"/>
    <n v="2334.4699999999998"/>
    <n v="23732.44"/>
    <n v="24"/>
    <s v="Customs"/>
    <n v="61.75"/>
    <s v="Delayed"/>
    <s v="Paid"/>
    <s v="Standard"/>
    <s v="J. Smith"/>
    <s v="Asia"/>
    <d v="2025-09-01T00:00:00"/>
  </r>
  <r>
    <s v="SHP00034"/>
    <s v="BK50034"/>
    <d v="2025-08-31T00:00:00"/>
    <d v="2025-09-04T00:00:00"/>
    <d v="2025-09-17T00:00:00"/>
    <s v="Toyota"/>
    <s v="Automotive"/>
    <s v="Japan"/>
    <s v="New York"/>
    <s v="New York"/>
    <x v="2"/>
    <s v="Mary Maersk"/>
    <s v="20FT"/>
    <n v="1"/>
    <s v="Machinery"/>
    <n v="37792.29"/>
    <n v="6057.06"/>
    <n v="2836.14"/>
    <n v="787.91"/>
    <n v="377.92"/>
    <n v="834.53"/>
    <n v="904.51"/>
    <n v="25994.22"/>
    <n v="24"/>
    <s v="Port Congestion"/>
    <n v="50.48"/>
    <s v="Delayed"/>
    <s v="Paid"/>
    <s v="Standard"/>
    <s v="A. Tan"/>
    <s v="Europe"/>
    <d v="2025-08-01T00:00:00"/>
  </r>
  <r>
    <s v="SHP00765"/>
    <s v="BK50765"/>
    <d v="2025-02-07T00:00:00"/>
    <d v="2025-02-08T00:00:00"/>
    <d v="2025-03-04T00:00:00"/>
    <s v="LG"/>
    <s v="Electronics"/>
    <s v="South Korea"/>
    <s v="Busan"/>
    <s v="Los Angeles"/>
    <x v="3"/>
    <s v="OOCL Hong Kong"/>
    <s v="Reefer"/>
    <n v="1"/>
    <s v="Chemicals"/>
    <n v="37812.129999999997"/>
    <n v="6864.09"/>
    <n v="2700.69"/>
    <n v="925.03"/>
    <n v="378.12"/>
    <n v="153.38999999999999"/>
    <n v="991.92"/>
    <n v="25798.89"/>
    <n v="0"/>
    <s v="None"/>
    <n v="57.2"/>
    <s v="Completed"/>
    <s v="Pending"/>
    <s v="Critical"/>
    <s v="M. Ahmed"/>
    <s v="Asia"/>
    <d v="2025-02-01T00:00:00"/>
  </r>
  <r>
    <s v="SHP00240"/>
    <s v="BK50240"/>
    <d v="2025-02-01T00:00:00"/>
    <d v="2025-02-03T00:00:00"/>
    <d v="2025-02-16T00:00:00"/>
    <s v="Amazon"/>
    <s v="E-commerce"/>
    <s v="USA"/>
    <s v="Nhava Sheva"/>
    <s v="Shanghai"/>
    <x v="2"/>
    <s v="CMA CGM Jacques Saadé"/>
    <s v="20FT"/>
    <n v="1"/>
    <s v="Food"/>
    <n v="37851.81"/>
    <n v="9681.59"/>
    <n v="2245.39"/>
    <n v="378.76"/>
    <n v="378.52"/>
    <n v="372.54"/>
    <n v="2468.04"/>
    <n v="22326.97"/>
    <n v="4"/>
    <s v="Customs"/>
    <n v="80.680000000000007"/>
    <s v="Delayed"/>
    <s v="Pending"/>
    <s v="Critical"/>
    <s v="L. Chen"/>
    <s v="Middle East"/>
    <d v="2025-02-01T00:00:00"/>
  </r>
  <r>
    <s v="SHP00119"/>
    <s v="BK50119"/>
    <d v="2025-01-04T00:00:00"/>
    <d v="2025-01-05T00:00:00"/>
    <d v="2025-01-27T00:00:00"/>
    <s v="Reliance"/>
    <s v="Retail"/>
    <s v="India"/>
    <s v="Hamburg"/>
    <s v="Hamburg"/>
    <x v="2"/>
    <s v="Ever Ace"/>
    <s v="Reefer"/>
    <n v="1"/>
    <s v="Food"/>
    <n v="37882.400000000001"/>
    <n v="10048.51"/>
    <n v="1683.86"/>
    <n v="795.22"/>
    <n v="378.82"/>
    <n v="831.34"/>
    <n v="1885.43"/>
    <n v="22259.22"/>
    <n v="8"/>
    <s v="Mechanical"/>
    <n v="83.74"/>
    <s v="Delayed"/>
    <s v="Pending"/>
    <s v="Critical"/>
    <s v="M. Ahmed"/>
    <s v="North America"/>
    <d v="2025-01-01T00:00:00"/>
  </r>
  <r>
    <s v="SHP00505"/>
    <s v="BK50505"/>
    <d v="2025-03-18T00:00:00"/>
    <d v="2025-03-21T00:00:00"/>
    <d v="2025-04-06T00:00:00"/>
    <s v="Siemens"/>
    <s v="Engineering"/>
    <s v="Germany"/>
    <s v="Jebel Ali"/>
    <s v="Nhava Sheva"/>
    <x v="0"/>
    <s v="Ever Ace"/>
    <s v="40FT"/>
    <n v="2"/>
    <s v="Textiles"/>
    <n v="37949.19"/>
    <n v="10068.73"/>
    <n v="2988.9"/>
    <n v="1095.05"/>
    <n v="379.49"/>
    <n v="705.77"/>
    <n v="2336.91"/>
    <n v="20374.34"/>
    <n v="36"/>
    <s v="Mechanical"/>
    <n v="83.91"/>
    <s v="Delayed"/>
    <s v="Pending"/>
    <s v="Critical"/>
    <s v="L. Chen"/>
    <s v="Europe"/>
    <d v="2025-03-01T00:00:00"/>
  </r>
  <r>
    <s v="SHP00674"/>
    <s v="BK50674"/>
    <d v="2025-01-16T00:00:00"/>
    <d v="2025-01-20T00:00:00"/>
    <d v="2025-02-15T00:00:00"/>
    <s v="Reliance"/>
    <s v="Retail"/>
    <s v="India"/>
    <s v="Colombo"/>
    <s v="Rotterdam"/>
    <x v="2"/>
    <s v="OOCL Hong Kong"/>
    <s v="High Cube"/>
    <n v="4"/>
    <s v="Chemicals"/>
    <n v="38008.959999999999"/>
    <n v="6344.28"/>
    <n v="2665.04"/>
    <n v="460.16"/>
    <n v="380.09"/>
    <n v="244.67"/>
    <n v="767.22"/>
    <n v="27147.5"/>
    <n v="0"/>
    <s v="None"/>
    <n v="52.87"/>
    <s v="Completed"/>
    <s v="Pending"/>
    <s v="Critical"/>
    <s v="R. Mehta"/>
    <s v="Middle East"/>
    <d v="2025-01-01T00:00:00"/>
  </r>
  <r>
    <s v="SHP00036"/>
    <s v="BK50036"/>
    <d v="2025-02-05T00:00:00"/>
    <d v="2025-02-06T00:00:00"/>
    <d v="2025-03-06T00:00:00"/>
    <s v="Samsung"/>
    <s v="Electronics"/>
    <s v="South Korea"/>
    <s v="Singapore"/>
    <s v="Rotterdam"/>
    <x v="1"/>
    <s v="MSC Gülsün"/>
    <s v="40FT"/>
    <n v="2"/>
    <s v="Furniture"/>
    <n v="38022.29"/>
    <n v="8641.0300000000007"/>
    <n v="2071.2399999999998"/>
    <n v="688.41"/>
    <n v="380.22"/>
    <n v="669"/>
    <n v="1625.29"/>
    <n v="23947.1"/>
    <n v="24"/>
    <s v="Customs"/>
    <n v="72.010000000000005"/>
    <s v="Delayed"/>
    <s v="Paid"/>
    <s v="Critical"/>
    <s v="M. Ahmed"/>
    <s v="North America"/>
    <d v="2025-02-01T00:00:00"/>
  </r>
  <r>
    <s v="SHP00877"/>
    <s v="BK50877"/>
    <d v="2025-05-20T00:00:00"/>
    <d v="2025-05-24T00:00:00"/>
    <d v="2025-06-09T00:00:00"/>
    <s v="Samsung"/>
    <s v="Electronics"/>
    <s v="South Korea"/>
    <s v="Shanghai"/>
    <s v="Nhava Sheva"/>
    <x v="2"/>
    <s v="Madrid Maersk"/>
    <s v="20FT"/>
    <n v="1"/>
    <s v="Food"/>
    <n v="38084.9"/>
    <n v="9729.19"/>
    <n v="2402.9"/>
    <n v="983.74"/>
    <n v="380.85"/>
    <n v="729.96"/>
    <n v="1223.33"/>
    <n v="22634.93"/>
    <n v="0"/>
    <s v="None"/>
    <n v="81.08"/>
    <s v="Completed"/>
    <s v="Pending"/>
    <s v="High"/>
    <s v="L. Chen"/>
    <s v="Middle East"/>
    <d v="2025-05-01T00:00:00"/>
  </r>
  <r>
    <s v="SHP00766"/>
    <s v="BK50766"/>
    <d v="2025-12-30T00:00:00"/>
    <d v="2025-12-31T00:00:00"/>
    <d v="2026-01-16T00:00:00"/>
    <s v="Siemens"/>
    <s v="Engineering"/>
    <s v="Germany"/>
    <s v="Shanghai"/>
    <s v="Rotterdam"/>
    <x v="1"/>
    <s v="Mary Maersk"/>
    <s v="40FT"/>
    <n v="1"/>
    <s v="Chemicals"/>
    <n v="38286.71"/>
    <n v="10317.9"/>
    <n v="1999.17"/>
    <n v="708.84"/>
    <n v="382.87"/>
    <n v="650.59"/>
    <n v="1428"/>
    <n v="22799.34"/>
    <n v="12"/>
    <s v="Weather"/>
    <n v="85.98"/>
    <s v="Delayed"/>
    <s v="Paid"/>
    <s v="Standard"/>
    <s v="M. Ahmed"/>
    <s v="North America"/>
    <d v="2025-12-01T00:00:00"/>
  </r>
  <r>
    <s v="SHP00943"/>
    <s v="BK50943"/>
    <d v="2025-09-21T00:00:00"/>
    <d v="2025-09-24T00:00:00"/>
    <d v="2025-10-18T00:00:00"/>
    <s v="Pfizer"/>
    <s v="Pharma"/>
    <s v="USA"/>
    <s v="Shanghai"/>
    <s v="Rotterdam"/>
    <x v="1"/>
    <s v="Mary Maersk"/>
    <s v="High Cube"/>
    <n v="1"/>
    <s v="Machinery"/>
    <n v="38308.019999999997"/>
    <n v="7458.87"/>
    <n v="2532.35"/>
    <n v="455.54"/>
    <n v="383.08"/>
    <n v="146.19999999999999"/>
    <n v="882.49"/>
    <n v="26449.49"/>
    <n v="48"/>
    <s v="Customs"/>
    <n v="62.16"/>
    <s v="Delayed"/>
    <s v="Paid"/>
    <s v="Standard"/>
    <s v="A. Tan"/>
    <s v="Europe"/>
    <d v="2025-09-01T00:00:00"/>
  </r>
  <r>
    <s v="SHP00412"/>
    <s v="BK50412"/>
    <d v="2025-10-28T00:00:00"/>
    <d v="2025-10-31T00:00:00"/>
    <d v="2025-11-19T00:00:00"/>
    <s v="Toyota"/>
    <s v="Automotive"/>
    <s v="Japan"/>
    <s v="Busan"/>
    <s v="Los Angeles"/>
    <x v="3"/>
    <s v="Mary Maersk"/>
    <s v="40FT"/>
    <n v="2"/>
    <s v="Auto Parts"/>
    <n v="38466.81"/>
    <n v="7244.13"/>
    <n v="1590.84"/>
    <n v="1027.57"/>
    <n v="384.67"/>
    <n v="744.41"/>
    <n v="316.41000000000003"/>
    <n v="27158.78"/>
    <n v="8"/>
    <s v="Labor Strike"/>
    <n v="60.37"/>
    <s v="Delayed"/>
    <s v="Pending"/>
    <s v="High"/>
    <s v="M. Ahmed"/>
    <s v="Asia"/>
    <d v="2025-10-01T00:00:00"/>
  </r>
  <r>
    <s v="SHP00802"/>
    <s v="BK50802"/>
    <d v="2025-01-03T00:00:00"/>
    <d v="2025-01-07T00:00:00"/>
    <d v="2025-01-30T00:00:00"/>
    <s v="Adidas"/>
    <s v="Retail"/>
    <s v="Germany"/>
    <s v="Jebel Ali"/>
    <s v="Busan"/>
    <x v="2"/>
    <s v="Mumbai Maersk"/>
    <s v="40FT"/>
    <n v="1"/>
    <s v="Auto Parts"/>
    <n v="38542.019999999997"/>
    <n v="7388.01"/>
    <n v="1796.33"/>
    <n v="1115.52"/>
    <n v="385.42"/>
    <n v="794.97"/>
    <n v="2346.71"/>
    <n v="24715.06"/>
    <n v="0"/>
    <s v="None"/>
    <n v="61.57"/>
    <s v="Completed"/>
    <s v="Paid"/>
    <s v="Critical"/>
    <s v="R. Mehta"/>
    <s v="Europe"/>
    <d v="2025-01-01T00:00:00"/>
  </r>
  <r>
    <s v="SHP00285"/>
    <s v="BK50285"/>
    <d v="2025-12-18T00:00:00"/>
    <d v="2025-12-19T00:00:00"/>
    <d v="2026-01-07T00:00:00"/>
    <s v="Reliance"/>
    <s v="Retail"/>
    <s v="India"/>
    <s v="Shanghai"/>
    <s v="Jebel Ali"/>
    <x v="2"/>
    <s v="MSC Gülsün"/>
    <s v="High Cube"/>
    <n v="2"/>
    <s v="Electronics"/>
    <n v="38556.089999999997"/>
    <n v="10427.370000000001"/>
    <n v="1697.85"/>
    <n v="686"/>
    <n v="385.56"/>
    <n v="739.49"/>
    <n v="415.34"/>
    <n v="24204.48"/>
    <n v="36"/>
    <s v="Labor Strike"/>
    <n v="86.89"/>
    <s v="Delayed"/>
    <s v="Pending"/>
    <s v="Critical"/>
    <s v="J. Smith"/>
    <s v="Europe"/>
    <d v="2025-12-01T00:00:00"/>
  </r>
  <r>
    <s v="SHP00415"/>
    <s v="BK50415"/>
    <d v="2025-12-30T00:00:00"/>
    <d v="2026-01-03T00:00:00"/>
    <d v="2026-01-22T00:00:00"/>
    <s v="IKEA"/>
    <s v="Retail"/>
    <s v="Sweden"/>
    <s v="Jebel Ali"/>
    <s v="Hamburg"/>
    <x v="2"/>
    <s v="MSC Gülsün"/>
    <s v="40FT"/>
    <n v="2"/>
    <s v="Textiles"/>
    <n v="38560.75"/>
    <n v="10284.32"/>
    <n v="2732.31"/>
    <n v="631.94000000000005"/>
    <n v="385.61"/>
    <n v="625.36"/>
    <n v="1977.88"/>
    <n v="21923.33"/>
    <n v="12"/>
    <s v="Labor Strike"/>
    <n v="85.7"/>
    <s v="Delayed"/>
    <s v="Pending"/>
    <s v="Critical"/>
    <s v="J. Smith"/>
    <s v="Asia"/>
    <d v="2025-12-01T00:00:00"/>
  </r>
  <r>
    <s v="SHP00020"/>
    <s v="BK50020"/>
    <d v="2025-02-10T00:00:00"/>
    <d v="2025-02-13T00:00:00"/>
    <d v="2025-03-01T00:00:00"/>
    <s v="IKEA"/>
    <s v="Retail"/>
    <s v="Sweden"/>
    <s v="Shanghai"/>
    <s v="Rotterdam"/>
    <x v="1"/>
    <s v="Monaco Maersk"/>
    <s v="Reefer"/>
    <n v="1"/>
    <s v="Food"/>
    <n v="38564.480000000003"/>
    <n v="9606.7800000000007"/>
    <n v="1757.12"/>
    <n v="462.07"/>
    <n v="385.64"/>
    <n v="858.37"/>
    <n v="1415.24"/>
    <n v="24079.26"/>
    <n v="0"/>
    <s v="None"/>
    <n v="80.06"/>
    <s v="Completed"/>
    <s v="Pending"/>
    <s v="Critical"/>
    <s v="M. Ahmed"/>
    <s v="Asia"/>
    <d v="2025-02-01T00:00:00"/>
  </r>
  <r>
    <s v="SHP00488"/>
    <s v="BK50488"/>
    <d v="2025-09-16T00:00:00"/>
    <d v="2025-09-17T00:00:00"/>
    <d v="2025-10-12T00:00:00"/>
    <s v="LG"/>
    <s v="Electronics"/>
    <s v="South Korea"/>
    <s v="Busan"/>
    <s v="Los Angeles"/>
    <x v="3"/>
    <s v="Ever Ace"/>
    <s v="High Cube"/>
    <n v="4"/>
    <s v="Food"/>
    <n v="38601.699999999997"/>
    <n v="7173.09"/>
    <n v="2587.02"/>
    <n v="967.59"/>
    <n v="386.02"/>
    <n v="180.17"/>
    <n v="1654.34"/>
    <n v="25653.47"/>
    <n v="12"/>
    <s v="Labor Strike"/>
    <n v="59.78"/>
    <s v="Delayed"/>
    <s v="Pending"/>
    <s v="Standard"/>
    <s v="A. Tan"/>
    <s v="North America"/>
    <d v="2025-09-01T00:00:00"/>
  </r>
  <r>
    <s v="SHP00141"/>
    <s v="BK50141"/>
    <d v="2025-06-11T00:00:00"/>
    <d v="2025-06-13T00:00:00"/>
    <d v="2025-06-27T00:00:00"/>
    <s v="IKEA"/>
    <s v="Retail"/>
    <s v="Sweden"/>
    <s v="Busan"/>
    <s v="Los Angeles"/>
    <x v="3"/>
    <s v="Madrid Maersk"/>
    <s v="40FT"/>
    <n v="2"/>
    <s v="Food"/>
    <n v="38665.83"/>
    <n v="7153.05"/>
    <n v="2100.2199999999998"/>
    <n v="854.43"/>
    <n v="386.66"/>
    <n v="871.4"/>
    <n v="321.64999999999998"/>
    <n v="26978.42"/>
    <n v="8"/>
    <s v="Weather"/>
    <n v="59.61"/>
    <s v="Delayed"/>
    <s v="Pending"/>
    <s v="High"/>
    <s v="A. Tan"/>
    <s v="Europe"/>
    <d v="2025-06-01T00:00:00"/>
  </r>
  <r>
    <s v="SHP00037"/>
    <s v="BK50037"/>
    <d v="2025-06-03T00:00:00"/>
    <d v="2025-06-06T00:00:00"/>
    <d v="2025-06-17T00:00:00"/>
    <s v="IKEA"/>
    <s v="Retail"/>
    <s v="Sweden"/>
    <s v="Busan"/>
    <s v="Singapore"/>
    <x v="2"/>
    <s v="CMA CGM Jacques Saadé"/>
    <s v="High Cube"/>
    <n v="1"/>
    <s v="Auto Parts"/>
    <n v="38808.269999999997"/>
    <n v="9667.3799999999992"/>
    <n v="2035.75"/>
    <n v="507.57"/>
    <n v="388.08"/>
    <n v="147.65"/>
    <n v="1406.85"/>
    <n v="24654.99"/>
    <n v="0"/>
    <s v="None"/>
    <n v="80.56"/>
    <s v="Completed"/>
    <s v="Pending"/>
    <s v="Standard"/>
    <s v="R. Mehta"/>
    <s v="Middle East"/>
    <d v="2025-06-01T00:00:00"/>
  </r>
  <r>
    <s v="SHP00117"/>
    <s v="BK50117"/>
    <d v="2025-10-24T00:00:00"/>
    <d v="2025-10-27T00:00:00"/>
    <d v="2025-11-10T00:00:00"/>
    <s v="Amazon"/>
    <s v="E-commerce"/>
    <s v="USA"/>
    <s v="Colombo"/>
    <s v="Singapore"/>
    <x v="4"/>
    <s v="Mumbai Maersk"/>
    <s v="20FT"/>
    <n v="2"/>
    <s v="Electronics"/>
    <n v="38977.660000000003"/>
    <n v="8196.0400000000009"/>
    <n v="2946.86"/>
    <n v="1043.1099999999999"/>
    <n v="389.78"/>
    <n v="120.82"/>
    <n v="1878.06"/>
    <n v="24402.99"/>
    <n v="24"/>
    <s v="Mechanical"/>
    <n v="68.3"/>
    <s v="Delayed"/>
    <s v="Paid"/>
    <s v="High"/>
    <s v="J. Smith"/>
    <s v="Europe"/>
    <d v="2025-10-01T00:00:00"/>
  </r>
  <r>
    <s v="SHP00129"/>
    <s v="BK50129"/>
    <d v="2025-10-08T00:00:00"/>
    <d v="2025-10-09T00:00:00"/>
    <d v="2025-11-01T00:00:00"/>
    <s v="Reliance"/>
    <s v="Retail"/>
    <s v="India"/>
    <s v="Hamburg"/>
    <s v="Rotterdam"/>
    <x v="2"/>
    <s v="OOCL Hong Kong"/>
    <s v="40FT"/>
    <n v="2"/>
    <s v="Electronics"/>
    <n v="38995.360000000001"/>
    <n v="6906.91"/>
    <n v="1716.47"/>
    <n v="408.67"/>
    <n v="389.95"/>
    <n v="843.38"/>
    <n v="1569.47"/>
    <n v="27160.51"/>
    <n v="0"/>
    <s v="None"/>
    <n v="57.56"/>
    <s v="Completed"/>
    <s v="Paid"/>
    <s v="Critical"/>
    <s v="M. Ahmed"/>
    <s v="Europe"/>
    <d v="2025-10-01T00:00:00"/>
  </r>
  <r>
    <s v="SHP00147"/>
    <s v="BK50147"/>
    <d v="2025-04-24T00:00:00"/>
    <d v="2025-04-26T00:00:00"/>
    <d v="2025-05-11T00:00:00"/>
    <s v="LG"/>
    <s v="Electronics"/>
    <s v="South Korea"/>
    <s v="Jebel Ali"/>
    <s v="Nhava Sheva"/>
    <x v="0"/>
    <s v="Ever Ace"/>
    <s v="High Cube"/>
    <n v="1"/>
    <s v="Textiles"/>
    <n v="39002.51"/>
    <n v="6289.56"/>
    <n v="2529.91"/>
    <n v="800.91"/>
    <n v="390.03"/>
    <n v="732.33"/>
    <n v="2182.25"/>
    <n v="26077.52"/>
    <n v="24"/>
    <s v="Weather"/>
    <n v="52.41"/>
    <s v="Delayed"/>
    <s v="Pending"/>
    <s v="High"/>
    <s v="A. Tan"/>
    <s v="Asia"/>
    <d v="2025-04-01T00:00:00"/>
  </r>
  <r>
    <s v="SHP00249"/>
    <s v="BK50249"/>
    <d v="2025-06-30T00:00:00"/>
    <d v="2025-07-02T00:00:00"/>
    <d v="2025-07-18T00:00:00"/>
    <s v="Reliance"/>
    <s v="Retail"/>
    <s v="India"/>
    <s v="Jebel Ali"/>
    <s v="Nhava Sheva"/>
    <x v="0"/>
    <s v="MSC Gülsün"/>
    <s v="20FT"/>
    <n v="1"/>
    <s v="Textiles"/>
    <n v="39278.49"/>
    <n v="8850.48"/>
    <n v="3060.57"/>
    <n v="1020.9"/>
    <n v="392.78"/>
    <n v="782.16"/>
    <n v="527.58000000000004"/>
    <n v="24644.02"/>
    <n v="8"/>
    <s v="Mechanical"/>
    <n v="73.75"/>
    <s v="Delayed"/>
    <s v="Paid"/>
    <s v="Critical"/>
    <s v="J. Smith"/>
    <s v="Asia"/>
    <d v="2025-06-01T00:00:00"/>
  </r>
  <r>
    <s v="SHP00699"/>
    <s v="BK50699"/>
    <d v="2025-12-06T00:00:00"/>
    <d v="2025-12-07T00:00:00"/>
    <d v="2025-12-27T00:00:00"/>
    <s v="Nestlé"/>
    <s v="Food"/>
    <s v="Switzerland"/>
    <s v="Hamburg"/>
    <s v="Jebel Ali"/>
    <x v="2"/>
    <s v="MSC Gülsün"/>
    <s v="20FT"/>
    <n v="1"/>
    <s v="Auto Parts"/>
    <n v="39327.370000000003"/>
    <n v="11564.67"/>
    <n v="2536.19"/>
    <n v="513.08000000000004"/>
    <n v="393.27"/>
    <n v="700.7"/>
    <n v="399.08"/>
    <n v="23220.38"/>
    <n v="0"/>
    <s v="None"/>
    <n v="96.37"/>
    <s v="Completed"/>
    <s v="Paid"/>
    <s v="Standard"/>
    <s v="L. Chen"/>
    <s v="Europe"/>
    <d v="2025-12-01T00:00:00"/>
  </r>
  <r>
    <s v="SHP00895"/>
    <s v="BK50895"/>
    <d v="2025-02-17T00:00:00"/>
    <d v="2025-02-21T00:00:00"/>
    <d v="2025-03-04T00:00:00"/>
    <s v="Bosch"/>
    <s v="Manufacturing"/>
    <s v="Germany"/>
    <s v="Jebel Ali"/>
    <s v="Nhava Sheva"/>
    <x v="0"/>
    <s v="CMA CGM Jacques Saadé"/>
    <s v="High Cube"/>
    <n v="1"/>
    <s v="Electronics"/>
    <n v="39394.980000000003"/>
    <n v="7137.51"/>
    <n v="2942.5"/>
    <n v="1150.5"/>
    <n v="393.95"/>
    <n v="471.96"/>
    <n v="1641.81"/>
    <n v="25656.75"/>
    <n v="12"/>
    <s v="Weather"/>
    <n v="59.48"/>
    <s v="Delayed"/>
    <s v="Paid"/>
    <s v="Standard"/>
    <s v="L. Chen"/>
    <s v="Middle East"/>
    <d v="2025-02-01T00:00:00"/>
  </r>
  <r>
    <s v="SHP00485"/>
    <s v="BK50485"/>
    <d v="2025-09-18T00:00:00"/>
    <d v="2025-09-20T00:00:00"/>
    <d v="2025-10-17T00:00:00"/>
    <s v="Toyota"/>
    <s v="Automotive"/>
    <s v="Japan"/>
    <s v="Los Angeles"/>
    <s v="Jebel Ali"/>
    <x v="2"/>
    <s v="Madrid Maersk"/>
    <s v="40FT"/>
    <n v="1"/>
    <s v="Textiles"/>
    <n v="39489.51"/>
    <n v="9461.0499999999993"/>
    <n v="1937.96"/>
    <n v="840.69"/>
    <n v="394.9"/>
    <n v="605.1"/>
    <n v="444.97"/>
    <n v="25804.84"/>
    <n v="24"/>
    <s v="Weather"/>
    <n v="78.84"/>
    <s v="Delayed"/>
    <s v="Paid"/>
    <s v="Critical"/>
    <s v="L. Chen"/>
    <s v="North America"/>
    <d v="2025-09-01T00:00:00"/>
  </r>
  <r>
    <s v="SHP00342"/>
    <s v="BK50342"/>
    <d v="2025-06-27T00:00:00"/>
    <d v="2025-06-30T00:00:00"/>
    <d v="2025-07-27T00:00:00"/>
    <s v="Samsung"/>
    <s v="Electronics"/>
    <s v="South Korea"/>
    <s v="Los Angeles"/>
    <s v="Nhava Sheva"/>
    <x v="2"/>
    <s v="Mumbai Maersk"/>
    <s v="40FT"/>
    <n v="2"/>
    <s v="Textiles"/>
    <n v="39530.57"/>
    <n v="8079.28"/>
    <n v="1716.76"/>
    <n v="990.49"/>
    <n v="395.31"/>
    <n v="305.33999999999997"/>
    <n v="348.15"/>
    <n v="27695.24"/>
    <n v="4"/>
    <s v="Port Congestion"/>
    <n v="67.33"/>
    <s v="Delayed"/>
    <s v="Paid"/>
    <s v="High"/>
    <s v="R. Mehta"/>
    <s v="Europe"/>
    <d v="2025-06-01T00:00:00"/>
  </r>
  <r>
    <s v="SHP00508"/>
    <s v="BK50508"/>
    <d v="2025-09-04T00:00:00"/>
    <d v="2025-09-07T00:00:00"/>
    <d v="2025-10-04T00:00:00"/>
    <s v="Bosch"/>
    <s v="Manufacturing"/>
    <s v="Germany"/>
    <s v="Singapore"/>
    <s v="Rotterdam"/>
    <x v="1"/>
    <s v="Mumbai Maersk"/>
    <s v="40FT"/>
    <n v="2"/>
    <s v="Auto Parts"/>
    <n v="39687.519999999997"/>
    <n v="10502.55"/>
    <n v="2823.15"/>
    <n v="696.59"/>
    <n v="396.88"/>
    <n v="410.42"/>
    <n v="1816.04"/>
    <n v="23041.89"/>
    <n v="24"/>
    <s v="Customs"/>
    <n v="87.52"/>
    <s v="Delayed"/>
    <s v="Pending"/>
    <s v="High"/>
    <s v="J. Smith"/>
    <s v="Asia"/>
    <d v="2025-09-01T00:00:00"/>
  </r>
  <r>
    <s v="SHP00671"/>
    <s v="BK50671"/>
    <d v="2025-06-09T00:00:00"/>
    <d v="2025-06-13T00:00:00"/>
    <d v="2025-07-05T00:00:00"/>
    <s v="Amazon"/>
    <s v="E-commerce"/>
    <s v="USA"/>
    <s v="Jebel Ali"/>
    <s v="Nhava Sheva"/>
    <x v="0"/>
    <s v="Ever Ace"/>
    <s v="Reefer"/>
    <n v="4"/>
    <s v="Electronics"/>
    <n v="39732.47"/>
    <n v="7686.12"/>
    <n v="2227.3000000000002"/>
    <n v="795.94"/>
    <n v="397.32"/>
    <n v="248.45"/>
    <n v="2439.37"/>
    <n v="25937.97"/>
    <n v="8"/>
    <s v="Weather"/>
    <n v="64.05"/>
    <s v="Delayed"/>
    <s v="Paid"/>
    <s v="Critical"/>
    <s v="L. Chen"/>
    <s v="Middle East"/>
    <d v="2025-06-01T00:00:00"/>
  </r>
  <r>
    <s v="SHP00325"/>
    <s v="BK50325"/>
    <d v="2025-08-05T00:00:00"/>
    <d v="2025-08-06T00:00:00"/>
    <d v="2025-08-19T00:00:00"/>
    <s v="Adidas"/>
    <s v="Retail"/>
    <s v="Germany"/>
    <s v="Shanghai"/>
    <s v="Rotterdam"/>
    <x v="1"/>
    <s v="CMA CGM Jacques Saadé"/>
    <s v="Reefer"/>
    <n v="1"/>
    <s v="Food"/>
    <n v="39776.410000000003"/>
    <n v="8466.7199999999993"/>
    <n v="2760.72"/>
    <n v="603.38"/>
    <n v="397.76"/>
    <n v="651.30999999999995"/>
    <n v="1608.54"/>
    <n v="25287.98"/>
    <n v="48"/>
    <s v="Labor Strike"/>
    <n v="70.56"/>
    <s v="Delayed"/>
    <s v="Pending"/>
    <s v="High"/>
    <s v="L. Chen"/>
    <s v="North America"/>
    <d v="2025-08-01T00:00:00"/>
  </r>
  <r>
    <s v="SHP00764"/>
    <s v="BK50764"/>
    <d v="2025-02-23T00:00:00"/>
    <d v="2025-02-26T00:00:00"/>
    <d v="2025-03-10T00:00:00"/>
    <s v="LG"/>
    <s v="Electronics"/>
    <s v="South Korea"/>
    <s v="Singapore"/>
    <s v="Rotterdam"/>
    <x v="1"/>
    <s v="OOCL Hong Kong"/>
    <s v="High Cube"/>
    <n v="2"/>
    <s v="Machinery"/>
    <n v="39803.43"/>
    <n v="9807.73"/>
    <n v="2642.97"/>
    <n v="466.19"/>
    <n v="398.03"/>
    <n v="285.26"/>
    <n v="943.19"/>
    <n v="25260.06"/>
    <n v="12"/>
    <s v="Weather"/>
    <n v="81.73"/>
    <s v="Delayed"/>
    <s v="Pending"/>
    <s v="Critical"/>
    <s v="M. Ahmed"/>
    <s v="Europe"/>
    <d v="2025-02-01T00:00:00"/>
  </r>
  <r>
    <s v="SHP00889"/>
    <s v="BK50889"/>
    <d v="2025-12-08T00:00:00"/>
    <d v="2025-12-11T00:00:00"/>
    <d v="2026-01-02T00:00:00"/>
    <s v="LG"/>
    <s v="Electronics"/>
    <s v="South Korea"/>
    <s v="Busan"/>
    <s v="Los Angeles"/>
    <x v="3"/>
    <s v="Madrid Maersk"/>
    <s v="High Cube"/>
    <n v="2"/>
    <s v="Machinery"/>
    <n v="39997.64"/>
    <n v="11083.92"/>
    <n v="2392.39"/>
    <n v="682.76"/>
    <n v="399.98"/>
    <n v="119.24"/>
    <n v="2496.9899999999998"/>
    <n v="22822.36"/>
    <n v="0"/>
    <s v="None"/>
    <n v="92.37"/>
    <s v="Completed"/>
    <s v="Paid"/>
    <s v="Critical"/>
    <s v="M. Ahmed"/>
    <s v="Asia"/>
    <d v="2025-12-01T00:00:00"/>
  </r>
  <r>
    <s v="SHP00966"/>
    <s v="BK50966"/>
    <d v="2025-08-16T00:00:00"/>
    <d v="2025-08-17T00:00:00"/>
    <d v="2025-08-31T00:00:00"/>
    <s v="IKEA"/>
    <s v="Retail"/>
    <s v="Sweden"/>
    <s v="Shanghai"/>
    <s v="Rotterdam"/>
    <x v="1"/>
    <s v="OOCL Hong Kong"/>
    <s v="40FT"/>
    <n v="4"/>
    <s v="Furniture"/>
    <n v="40005.29"/>
    <n v="8735.94"/>
    <n v="1819.36"/>
    <n v="935.7"/>
    <n v="400.05"/>
    <n v="232.31"/>
    <n v="687.51"/>
    <n v="27194.42"/>
    <n v="0"/>
    <s v="None"/>
    <n v="72.8"/>
    <s v="Completed"/>
    <s v="Pending"/>
    <s v="Standard"/>
    <s v="R. Mehta"/>
    <s v="Asia"/>
    <d v="2025-08-01T00:00:00"/>
  </r>
  <r>
    <s v="SHP00277"/>
    <s v="BK50277"/>
    <d v="2025-03-28T00:00:00"/>
    <d v="2025-03-31T00:00:00"/>
    <d v="2025-04-28T00:00:00"/>
    <s v="Unilever"/>
    <s v="FMCG"/>
    <s v="UK"/>
    <s v="Jebel Ali"/>
    <s v="Nhava Sheva"/>
    <x v="0"/>
    <s v="Mary Maersk"/>
    <s v="20FT"/>
    <n v="2"/>
    <s v="Furniture"/>
    <n v="40157.08"/>
    <n v="8599.4"/>
    <n v="2762.53"/>
    <n v="944.79"/>
    <n v="401.57"/>
    <n v="521.1"/>
    <n v="923.36"/>
    <n v="26004.33"/>
    <n v="12"/>
    <s v="Port Congestion"/>
    <n v="71.66"/>
    <s v="Delayed"/>
    <s v="Pending"/>
    <s v="Standard"/>
    <s v="M. Ahmed"/>
    <s v="Asia"/>
    <d v="2025-03-01T00:00:00"/>
  </r>
  <r>
    <s v="SHP00423"/>
    <s v="BK50423"/>
    <d v="2025-11-07T00:00:00"/>
    <d v="2025-11-10T00:00:00"/>
    <d v="2025-11-25T00:00:00"/>
    <s v="Reliance"/>
    <s v="Retail"/>
    <s v="India"/>
    <s v="Hamburg"/>
    <s v="New York"/>
    <x v="2"/>
    <s v="Mary Maersk"/>
    <s v="40FT"/>
    <n v="1"/>
    <s v="Furniture"/>
    <n v="40268.01"/>
    <n v="10690.03"/>
    <n v="2213.94"/>
    <n v="475.16"/>
    <n v="402.68"/>
    <n v="252.2"/>
    <n v="680.67"/>
    <n v="25553.33"/>
    <n v="0"/>
    <s v="None"/>
    <n v="89.08"/>
    <s v="Completed"/>
    <s v="Pending"/>
    <s v="Critical"/>
    <s v="R. Mehta"/>
    <s v="Asia"/>
    <d v="2025-11-01T00:00:00"/>
  </r>
  <r>
    <s v="SHP00480"/>
    <s v="BK50480"/>
    <d v="2025-06-15T00:00:00"/>
    <d v="2025-06-18T00:00:00"/>
    <d v="2025-06-30T00:00:00"/>
    <s v="Nestlé"/>
    <s v="Food"/>
    <s v="Switzerland"/>
    <s v="Singapore"/>
    <s v="Rotterdam"/>
    <x v="1"/>
    <s v="OOCL Hong Kong"/>
    <s v="40FT"/>
    <n v="2"/>
    <s v="Textiles"/>
    <n v="40432.980000000003"/>
    <n v="11237.48"/>
    <n v="2556.62"/>
    <n v="443.34"/>
    <n v="404.33"/>
    <n v="214.59"/>
    <n v="692.65"/>
    <n v="24883.97"/>
    <n v="0"/>
    <s v="None"/>
    <n v="93.65"/>
    <s v="Completed"/>
    <s v="Paid"/>
    <s v="Standard"/>
    <s v="J. Smith"/>
    <s v="Europe"/>
    <d v="2025-06-01T00:00:00"/>
  </r>
  <r>
    <s v="SHP00992"/>
    <s v="BK50992"/>
    <d v="2025-09-26T00:00:00"/>
    <d v="2025-09-29T00:00:00"/>
    <d v="2025-10-24T00:00:00"/>
    <s v="LG"/>
    <s v="Electronics"/>
    <s v="South Korea"/>
    <s v="Hamburg"/>
    <s v="Shanghai"/>
    <x v="2"/>
    <s v="CMA CGM Jacques Saadé"/>
    <s v="High Cube"/>
    <n v="1"/>
    <s v="Auto Parts"/>
    <n v="40537.300000000003"/>
    <n v="7679.41"/>
    <n v="2557.87"/>
    <n v="916.21"/>
    <n v="405.37"/>
    <n v="315.67"/>
    <n v="1192.54"/>
    <n v="27470.23"/>
    <n v="24"/>
    <s v="Weather"/>
    <n v="64"/>
    <s v="Delayed"/>
    <s v="Pending"/>
    <s v="High"/>
    <s v="R. Mehta"/>
    <s v="Asia"/>
    <d v="2025-09-01T00:00:00"/>
  </r>
  <r>
    <s v="SHP00712"/>
    <s v="BK50712"/>
    <d v="2025-02-10T00:00:00"/>
    <d v="2025-02-11T00:00:00"/>
    <d v="2025-03-07T00:00:00"/>
    <s v="LG"/>
    <s v="Electronics"/>
    <s v="South Korea"/>
    <s v="Shanghai"/>
    <s v="Rotterdam"/>
    <x v="1"/>
    <s v="Monaco Maersk"/>
    <s v="High Cube"/>
    <n v="2"/>
    <s v="Chemicals"/>
    <n v="40616.410000000003"/>
    <n v="10161.209999999999"/>
    <n v="1707.32"/>
    <n v="931.68"/>
    <n v="406.16"/>
    <n v="538.83000000000004"/>
    <n v="2290.4"/>
    <n v="24580.81"/>
    <n v="4"/>
    <s v="Mechanical"/>
    <n v="84.68"/>
    <s v="Delayed"/>
    <s v="Paid"/>
    <s v="High"/>
    <s v="J. Smith"/>
    <s v="North America"/>
    <d v="2025-02-01T00:00:00"/>
  </r>
  <r>
    <s v="SHP00271"/>
    <s v="BK50271"/>
    <d v="2025-02-09T00:00:00"/>
    <d v="2025-02-10T00:00:00"/>
    <d v="2025-02-28T00:00:00"/>
    <s v="Bosch"/>
    <s v="Manufacturing"/>
    <s v="Germany"/>
    <s v="Singapore"/>
    <s v="Colombo"/>
    <x v="2"/>
    <s v="Mumbai Maersk"/>
    <s v="Reefer"/>
    <n v="2"/>
    <s v="Furniture"/>
    <n v="40626.949999999997"/>
    <n v="7120.86"/>
    <n v="1853.56"/>
    <n v="994.53"/>
    <n v="406.27"/>
    <n v="738.73"/>
    <n v="738.12"/>
    <n v="28774.880000000001"/>
    <n v="0"/>
    <s v="None"/>
    <n v="59.34"/>
    <s v="Completed"/>
    <s v="Pending"/>
    <s v="Standard"/>
    <s v="R. Mehta"/>
    <s v="Asia"/>
    <d v="2025-02-01T00:00:00"/>
  </r>
  <r>
    <s v="SHP00222"/>
    <s v="BK50222"/>
    <d v="2025-07-01T00:00:00"/>
    <d v="2025-07-03T00:00:00"/>
    <d v="2025-07-20T00:00:00"/>
    <s v="Siemens"/>
    <s v="Engineering"/>
    <s v="Germany"/>
    <s v="Jebel Ali"/>
    <s v="Nhava Sheva"/>
    <x v="0"/>
    <s v="OOCL Hong Kong"/>
    <s v="High Cube"/>
    <n v="1"/>
    <s v="Food"/>
    <n v="40658.58"/>
    <n v="12046.23"/>
    <n v="2598.5100000000002"/>
    <n v="518.89"/>
    <n v="406.59"/>
    <n v="420.22"/>
    <n v="1024.55"/>
    <n v="23643.59"/>
    <n v="24"/>
    <s v="Mechanical"/>
    <n v="100.39"/>
    <s v="Delayed"/>
    <s v="Pending"/>
    <s v="High"/>
    <s v="A. Tan"/>
    <s v="North America"/>
    <d v="2025-07-01T00:00:00"/>
  </r>
  <r>
    <s v="SHP00737"/>
    <s v="BK50737"/>
    <d v="2025-10-30T00:00:00"/>
    <d v="2025-10-31T00:00:00"/>
    <d v="2025-11-14T00:00:00"/>
    <s v="Bosch"/>
    <s v="Manufacturing"/>
    <s v="Germany"/>
    <s v="Jebel Ali"/>
    <s v="Nhava Sheva"/>
    <x v="0"/>
    <s v="Mary Maersk"/>
    <s v="40FT"/>
    <n v="4"/>
    <s v="Electronics"/>
    <n v="40909.07"/>
    <n v="8697.34"/>
    <n v="1996.64"/>
    <n v="866.73"/>
    <n v="409.09"/>
    <n v="834.98"/>
    <n v="1320.8"/>
    <n v="26783.49"/>
    <n v="0"/>
    <s v="None"/>
    <n v="72.48"/>
    <s v="Completed"/>
    <s v="Pending"/>
    <s v="Critical"/>
    <s v="M. Ahmed"/>
    <s v="North America"/>
    <d v="2025-10-01T00:00:00"/>
  </r>
  <r>
    <s v="SHP00010"/>
    <s v="BK50010"/>
    <d v="2025-08-14T00:00:00"/>
    <d v="2025-08-17T00:00:00"/>
    <d v="2025-09-14T00:00:00"/>
    <s v="LG"/>
    <s v="Electronics"/>
    <s v="South Korea"/>
    <s v="Colombo"/>
    <s v="Hamburg"/>
    <x v="2"/>
    <s v="CMA CGM Jacques Saadé"/>
    <s v="20FT"/>
    <n v="1"/>
    <s v="Furniture"/>
    <n v="40914.449999999997"/>
    <n v="8449.39"/>
    <n v="2618.9299999999998"/>
    <n v="1189.95"/>
    <n v="409.14"/>
    <n v="668.72"/>
    <n v="1180.77"/>
    <n v="26397.55"/>
    <n v="48"/>
    <s v="Port Congestion"/>
    <n v="70.41"/>
    <s v="Delayed"/>
    <s v="Paid"/>
    <s v="Critical"/>
    <s v="L. Chen"/>
    <s v="Middle East"/>
    <d v="2025-08-01T00:00:00"/>
  </r>
  <r>
    <s v="SHP00196"/>
    <s v="BK50196"/>
    <d v="2025-11-24T00:00:00"/>
    <d v="2025-11-26T00:00:00"/>
    <d v="2025-12-25T00:00:00"/>
    <s v="Toyota"/>
    <s v="Automotive"/>
    <s v="Japan"/>
    <s v="Singapore"/>
    <s v="Rotterdam"/>
    <x v="1"/>
    <s v="Mumbai Maersk"/>
    <s v="Reefer"/>
    <n v="1"/>
    <s v="Machinery"/>
    <n v="40927.279999999999"/>
    <n v="9969.01"/>
    <n v="2544.38"/>
    <n v="579.88"/>
    <n v="409.27"/>
    <n v="418.64"/>
    <n v="2222.37"/>
    <n v="24783.73"/>
    <n v="24"/>
    <s v="Labor Strike"/>
    <n v="83.08"/>
    <s v="Delayed"/>
    <s v="Pending"/>
    <s v="Critical"/>
    <s v="A. Tan"/>
    <s v="Asia"/>
    <d v="2025-11-01T00:00:00"/>
  </r>
  <r>
    <s v="SHP00724"/>
    <s v="BK50724"/>
    <d v="2025-02-17T00:00:00"/>
    <d v="2025-02-21T00:00:00"/>
    <d v="2025-03-08T00:00:00"/>
    <s v="LG"/>
    <s v="Electronics"/>
    <s v="South Korea"/>
    <s v="Shanghai"/>
    <s v="Rotterdam"/>
    <x v="1"/>
    <s v="Mumbai Maersk"/>
    <s v="20FT"/>
    <n v="1"/>
    <s v="Electronics"/>
    <n v="41145.769999999997"/>
    <n v="8964.15"/>
    <n v="1965.07"/>
    <n v="806.59"/>
    <n v="411.46"/>
    <n v="193.46"/>
    <n v="1863.12"/>
    <n v="26941.919999999998"/>
    <n v="48"/>
    <s v="Labor Strike"/>
    <n v="74.7"/>
    <s v="Delayed"/>
    <s v="Pending"/>
    <s v="High"/>
    <s v="J. Smith"/>
    <s v="Europe"/>
    <d v="2025-02-01T00:00:00"/>
  </r>
  <r>
    <s v="SHP00252"/>
    <s v="BK50252"/>
    <d v="2025-07-07T00:00:00"/>
    <d v="2025-07-09T00:00:00"/>
    <d v="2025-07-24T00:00:00"/>
    <s v="Adidas"/>
    <s v="Retail"/>
    <s v="Germany"/>
    <s v="New York"/>
    <s v="Colombo"/>
    <x v="2"/>
    <s v="Ever Ace"/>
    <s v="Reefer"/>
    <n v="1"/>
    <s v="Electronics"/>
    <n v="41187.370000000003"/>
    <n v="7483.3"/>
    <n v="2398.61"/>
    <n v="507.2"/>
    <n v="411.87"/>
    <n v="804.16"/>
    <n v="1631.05"/>
    <n v="27951.18"/>
    <n v="48"/>
    <s v="Port Congestion"/>
    <n v="62.36"/>
    <s v="Delayed"/>
    <s v="Paid"/>
    <s v="Standard"/>
    <s v="M. Ahmed"/>
    <s v="Asia"/>
    <d v="2025-07-01T00:00:00"/>
  </r>
  <r>
    <s v="SHP00927"/>
    <s v="BK50927"/>
    <d v="2025-03-24T00:00:00"/>
    <d v="2025-03-27T00:00:00"/>
    <d v="2025-04-12T00:00:00"/>
    <s v="Amazon"/>
    <s v="E-commerce"/>
    <s v="USA"/>
    <s v="Busan"/>
    <s v="Los Angeles"/>
    <x v="3"/>
    <s v="Ever Ace"/>
    <s v="Reefer"/>
    <n v="2"/>
    <s v="Machinery"/>
    <n v="41234.65"/>
    <n v="10123.540000000001"/>
    <n v="3143.04"/>
    <n v="1089.8699999999999"/>
    <n v="412.35"/>
    <n v="690.82"/>
    <n v="1883.04"/>
    <n v="23891.99"/>
    <n v="0"/>
    <s v="None"/>
    <n v="84.36"/>
    <s v="Completed"/>
    <s v="Pending"/>
    <s v="Standard"/>
    <s v="M. Ahmed"/>
    <s v="North America"/>
    <d v="2025-03-01T00:00:00"/>
  </r>
  <r>
    <s v="SHP00154"/>
    <s v="BK50154"/>
    <d v="2025-05-28T00:00:00"/>
    <d v="2025-05-29T00:00:00"/>
    <d v="2025-06-16T00:00:00"/>
    <s v="Nestlé"/>
    <s v="Food"/>
    <s v="Switzerland"/>
    <s v="Singapore"/>
    <s v="Rotterdam"/>
    <x v="1"/>
    <s v="Monaco Maersk"/>
    <s v="High Cube"/>
    <n v="1"/>
    <s v="Machinery"/>
    <n v="41269.730000000003"/>
    <n v="8256.1"/>
    <n v="1731.39"/>
    <n v="1139.17"/>
    <n v="412.7"/>
    <n v="409.73"/>
    <n v="525.71"/>
    <n v="28794.93"/>
    <n v="8"/>
    <s v="Port Congestion"/>
    <n v="68.8"/>
    <s v="Delayed"/>
    <s v="Paid"/>
    <s v="High"/>
    <s v="M. Ahmed"/>
    <s v="Middle East"/>
    <d v="2025-05-01T00:00:00"/>
  </r>
  <r>
    <s v="SHP00736"/>
    <s v="BK50736"/>
    <d v="2025-05-02T00:00:00"/>
    <d v="2025-05-06T00:00:00"/>
    <d v="2025-06-03T00:00:00"/>
    <s v="LG"/>
    <s v="Electronics"/>
    <s v="South Korea"/>
    <s v="Singapore"/>
    <s v="Rotterdam"/>
    <x v="1"/>
    <s v="Monaco Maersk"/>
    <s v="Reefer"/>
    <n v="2"/>
    <s v="Chemicals"/>
    <n v="41362.46"/>
    <n v="10677.81"/>
    <n v="2541.34"/>
    <n v="1016.81"/>
    <n v="413.62"/>
    <n v="140.6"/>
    <n v="546.69000000000005"/>
    <n v="26025.59"/>
    <n v="4"/>
    <s v="Customs"/>
    <n v="88.98"/>
    <s v="Delayed"/>
    <s v="Paid"/>
    <s v="Critical"/>
    <s v="L. Chen"/>
    <s v="Europe"/>
    <d v="2025-05-01T00:00:00"/>
  </r>
  <r>
    <s v="SHP00321"/>
    <s v="BK50321"/>
    <d v="2025-01-21T00:00:00"/>
    <d v="2025-01-23T00:00:00"/>
    <d v="2025-02-07T00:00:00"/>
    <s v="Siemens"/>
    <s v="Engineering"/>
    <s v="Germany"/>
    <s v="Singapore"/>
    <s v="Rotterdam"/>
    <x v="1"/>
    <s v="CMA CGM Jacques Saadé"/>
    <s v="20FT"/>
    <n v="1"/>
    <s v="Machinery"/>
    <n v="41448.75"/>
    <n v="12203.35"/>
    <n v="2637.66"/>
    <n v="1190.0999999999999"/>
    <n v="414.49"/>
    <n v="197"/>
    <n v="1140.6400000000001"/>
    <n v="23665.51"/>
    <n v="0"/>
    <s v="None"/>
    <n v="101.69"/>
    <s v="Completed"/>
    <s v="Paid"/>
    <s v="Critical"/>
    <s v="L. Chen"/>
    <s v="Middle East"/>
    <d v="2025-01-01T00:00:00"/>
  </r>
  <r>
    <s v="SHP00180"/>
    <s v="BK50180"/>
    <d v="2025-06-25T00:00:00"/>
    <d v="2025-06-28T00:00:00"/>
    <d v="2025-07-26T00:00:00"/>
    <s v="Siemens"/>
    <s v="Engineering"/>
    <s v="Germany"/>
    <s v="Shanghai"/>
    <s v="Rotterdam"/>
    <x v="1"/>
    <s v="Monaco Maersk"/>
    <s v="High Cube"/>
    <n v="2"/>
    <s v="Auto Parts"/>
    <n v="41520.68"/>
    <n v="10068.89"/>
    <n v="2968.28"/>
    <n v="1000.78"/>
    <n v="415.21"/>
    <n v="680"/>
    <n v="2438.0300000000002"/>
    <n v="23949.49"/>
    <n v="12"/>
    <s v="Labor Strike"/>
    <n v="83.91"/>
    <s v="Delayed"/>
    <s v="Paid"/>
    <s v="Standard"/>
    <s v="M. Ahmed"/>
    <s v="North America"/>
    <d v="2025-06-01T00:00:00"/>
  </r>
  <r>
    <s v="SHP00133"/>
    <s v="BK50133"/>
    <d v="2025-04-26T00:00:00"/>
    <d v="2025-04-29T00:00:00"/>
    <d v="2025-05-15T00:00:00"/>
    <s v="IKEA"/>
    <s v="Retail"/>
    <s v="Sweden"/>
    <s v="Colombo"/>
    <s v="Singapore"/>
    <x v="4"/>
    <s v="Mary Maersk"/>
    <s v="40FT"/>
    <n v="2"/>
    <s v="Textiles"/>
    <n v="41548.730000000003"/>
    <n v="11902.47"/>
    <n v="2179.94"/>
    <n v="515.34"/>
    <n v="415.49"/>
    <n v="490.72"/>
    <n v="1945.52"/>
    <n v="24099.25"/>
    <n v="0"/>
    <s v="None"/>
    <n v="99.19"/>
    <s v="Completed"/>
    <s v="Paid"/>
    <s v="High"/>
    <s v="A. Tan"/>
    <s v="Asia"/>
    <d v="2025-04-01T00:00:00"/>
  </r>
  <r>
    <s v="SHP00956"/>
    <s v="BK50956"/>
    <d v="2025-03-04T00:00:00"/>
    <d v="2025-03-06T00:00:00"/>
    <d v="2025-03-21T00:00:00"/>
    <s v="IKEA"/>
    <s v="Retail"/>
    <s v="Sweden"/>
    <s v="Colombo"/>
    <s v="Singapore"/>
    <x v="4"/>
    <s v="CMA CGM Jacques Saadé"/>
    <s v="40FT"/>
    <n v="1"/>
    <s v="Chemicals"/>
    <n v="41576.53"/>
    <n v="12401.23"/>
    <n v="1744.31"/>
    <n v="896.6"/>
    <n v="415.77"/>
    <n v="323.85000000000002"/>
    <n v="458.55"/>
    <n v="25336.22"/>
    <n v="0"/>
    <s v="None"/>
    <n v="103.34"/>
    <s v="Completed"/>
    <s v="Paid"/>
    <s v="High"/>
    <s v="M. Ahmed"/>
    <s v="Europe"/>
    <d v="2025-03-01T00:00:00"/>
  </r>
  <r>
    <s v="SHP00322"/>
    <s v="BK50322"/>
    <d v="2025-10-10T00:00:00"/>
    <d v="2025-10-11T00:00:00"/>
    <d v="2025-11-01T00:00:00"/>
    <s v="Nestlé"/>
    <s v="Food"/>
    <s v="Switzerland"/>
    <s v="Jebel Ali"/>
    <s v="Nhava Sheva"/>
    <x v="0"/>
    <s v="Madrid Maersk"/>
    <s v="Reefer"/>
    <n v="2"/>
    <s v="Machinery"/>
    <n v="41669.71"/>
    <n v="11042.03"/>
    <n v="2934.94"/>
    <n v="490.67"/>
    <n v="416.7"/>
    <n v="326.02999999999997"/>
    <n v="1363.75"/>
    <n v="25095.59"/>
    <n v="12"/>
    <s v="Labor Strike"/>
    <n v="92.02"/>
    <s v="Delayed"/>
    <s v="Pending"/>
    <s v="High"/>
    <s v="M. Ahmed"/>
    <s v="Asia"/>
    <d v="2025-10-01T00:00:00"/>
  </r>
  <r>
    <s v="SHP00186"/>
    <s v="BK50186"/>
    <d v="2025-05-07T00:00:00"/>
    <d v="2025-05-09T00:00:00"/>
    <d v="2025-05-23T00:00:00"/>
    <s v="Bosch"/>
    <s v="Manufacturing"/>
    <s v="Germany"/>
    <s v="Jebel Ali"/>
    <s v="Nhava Sheva"/>
    <x v="0"/>
    <s v="Mary Maersk"/>
    <s v="20FT"/>
    <n v="2"/>
    <s v="Chemicals"/>
    <n v="41815.440000000002"/>
    <n v="10021.969999999999"/>
    <n v="1762.69"/>
    <n v="595.32000000000005"/>
    <n v="418.15"/>
    <n v="197.88"/>
    <n v="1356.92"/>
    <n v="27462.51"/>
    <n v="24"/>
    <s v="Customs"/>
    <n v="83.52"/>
    <s v="Delayed"/>
    <s v="Paid"/>
    <s v="High"/>
    <s v="L. Chen"/>
    <s v="North America"/>
    <d v="2025-05-01T00:00:00"/>
  </r>
  <r>
    <s v="SHP00504"/>
    <s v="BK50504"/>
    <d v="2025-02-09T00:00:00"/>
    <d v="2025-02-13T00:00:00"/>
    <d v="2025-03-09T00:00:00"/>
    <s v="Toyota"/>
    <s v="Automotive"/>
    <s v="Japan"/>
    <s v="Shanghai"/>
    <s v="Shanghai"/>
    <x v="2"/>
    <s v="OOCL Hong Kong"/>
    <s v="20FT"/>
    <n v="1"/>
    <s v="Chemicals"/>
    <n v="41907.74"/>
    <n v="10323.35"/>
    <n v="2886.49"/>
    <n v="1077"/>
    <n v="419.08"/>
    <n v="336.51"/>
    <n v="658.42"/>
    <n v="26206.89"/>
    <n v="36"/>
    <s v="Labor Strike"/>
    <n v="86.03"/>
    <s v="Delayed"/>
    <s v="Paid"/>
    <s v="High"/>
    <s v="L. Chen"/>
    <s v="Asia"/>
    <d v="2025-02-01T00:00:00"/>
  </r>
  <r>
    <s v="SHP00289"/>
    <s v="BK50289"/>
    <d v="2025-10-14T00:00:00"/>
    <d v="2025-10-17T00:00:00"/>
    <d v="2025-11-04T00:00:00"/>
    <s v="Bosch"/>
    <s v="Manufacturing"/>
    <s v="Germany"/>
    <s v="Busan"/>
    <s v="Los Angeles"/>
    <x v="3"/>
    <s v="Mary Maersk"/>
    <s v="High Cube"/>
    <n v="2"/>
    <s v="Chemicals"/>
    <n v="41962.06"/>
    <n v="12578.66"/>
    <n v="3154.97"/>
    <n v="1151.8599999999999"/>
    <n v="419.62"/>
    <n v="152.52000000000001"/>
    <n v="887.6"/>
    <n v="23616.83"/>
    <n v="4"/>
    <s v="Mechanical"/>
    <n v="104.82"/>
    <s v="Delayed"/>
    <s v="Paid"/>
    <s v="High"/>
    <s v="M. Ahmed"/>
    <s v="Europe"/>
    <d v="2025-10-01T00:00:00"/>
  </r>
  <r>
    <s v="SHP00239"/>
    <s v="BK50239"/>
    <d v="2025-03-05T00:00:00"/>
    <d v="2025-03-09T00:00:00"/>
    <d v="2025-03-28T00:00:00"/>
    <s v="Adidas"/>
    <s v="Retail"/>
    <s v="Germany"/>
    <s v="Singapore"/>
    <s v="Rotterdam"/>
    <x v="1"/>
    <s v="Monaco Maersk"/>
    <s v="40FT"/>
    <n v="1"/>
    <s v="Chemicals"/>
    <n v="41976.7"/>
    <n v="10265.49"/>
    <n v="3013.95"/>
    <n v="955.66"/>
    <n v="419.77"/>
    <n v="579.9"/>
    <n v="1075.33"/>
    <n v="25666.6"/>
    <n v="0"/>
    <s v="None"/>
    <n v="85.55"/>
    <s v="Completed"/>
    <s v="Pending"/>
    <s v="Critical"/>
    <s v="A. Tan"/>
    <s v="Asia"/>
    <d v="2025-03-01T00:00:00"/>
  </r>
  <r>
    <s v="SHP00783"/>
    <s v="BK50783"/>
    <d v="2025-08-09T00:00:00"/>
    <d v="2025-08-12T00:00:00"/>
    <d v="2025-09-08T00:00:00"/>
    <s v="Bosch"/>
    <s v="Manufacturing"/>
    <s v="Germany"/>
    <s v="Colombo"/>
    <s v="Singapore"/>
    <x v="4"/>
    <s v="Monaco Maersk"/>
    <s v="20FT"/>
    <n v="2"/>
    <s v="Electronics"/>
    <n v="42039.17"/>
    <n v="11024.39"/>
    <n v="2642.36"/>
    <n v="1139.6199999999999"/>
    <n v="420.39"/>
    <n v="373.16"/>
    <n v="334.88"/>
    <n v="26104.37"/>
    <n v="48"/>
    <s v="Customs"/>
    <n v="91.87"/>
    <s v="Delayed"/>
    <s v="Paid"/>
    <s v="Critical"/>
    <s v="M. Ahmed"/>
    <s v="Europe"/>
    <d v="2025-08-01T00:00:00"/>
  </r>
  <r>
    <s v="SHP00688"/>
    <s v="BK50688"/>
    <d v="2025-10-31T00:00:00"/>
    <d v="2025-11-02T00:00:00"/>
    <d v="2025-11-28T00:00:00"/>
    <s v="LG"/>
    <s v="Electronics"/>
    <s v="South Korea"/>
    <s v="Singapore"/>
    <s v="Rotterdam"/>
    <x v="1"/>
    <s v="Mary Maersk"/>
    <s v="High Cube"/>
    <n v="4"/>
    <s v="Machinery"/>
    <n v="42084.32"/>
    <n v="11869.12"/>
    <n v="2698.8"/>
    <n v="760.01"/>
    <n v="420.84"/>
    <n v="521.58000000000004"/>
    <n v="2204.6799999999998"/>
    <n v="23609.29"/>
    <n v="48"/>
    <s v="Port Congestion"/>
    <n v="98.91"/>
    <s v="Delayed"/>
    <s v="Pending"/>
    <s v="Critical"/>
    <s v="J. Smith"/>
    <s v="Middle East"/>
    <d v="2025-10-01T00:00:00"/>
  </r>
  <r>
    <s v="SHP00450"/>
    <s v="BK50450"/>
    <d v="2025-03-01T00:00:00"/>
    <d v="2025-03-05T00:00:00"/>
    <d v="2025-03-27T00:00:00"/>
    <s v="Pfizer"/>
    <s v="Pharma"/>
    <s v="USA"/>
    <s v="Colombo"/>
    <s v="Busan"/>
    <x v="2"/>
    <s v="Monaco Maersk"/>
    <s v="High Cube"/>
    <n v="2"/>
    <s v="Furniture"/>
    <n v="42088.81"/>
    <n v="8891.4699999999993"/>
    <n v="2302.52"/>
    <n v="669.4"/>
    <n v="420.89"/>
    <n v="190.44"/>
    <n v="894.98"/>
    <n v="28719.11"/>
    <n v="0"/>
    <s v="None"/>
    <n v="74.099999999999994"/>
    <s v="Completed"/>
    <s v="Pending"/>
    <s v="High"/>
    <s v="L. Chen"/>
    <s v="North America"/>
    <d v="2025-03-01T00:00:00"/>
  </r>
  <r>
    <s v="SHP00241"/>
    <s v="BK50241"/>
    <d v="2025-03-20T00:00:00"/>
    <d v="2025-03-23T00:00:00"/>
    <d v="2025-04-06T00:00:00"/>
    <s v="Unilever"/>
    <s v="FMCG"/>
    <s v="UK"/>
    <s v="Shanghai"/>
    <s v="Rotterdam"/>
    <x v="1"/>
    <s v="OOCL Hong Kong"/>
    <s v="High Cube"/>
    <n v="2"/>
    <s v="Furniture"/>
    <n v="42136.23"/>
    <n v="10412.64"/>
    <n v="2866.23"/>
    <n v="504.03"/>
    <n v="421.36"/>
    <n v="874.29"/>
    <n v="2352.4"/>
    <n v="24705.279999999999"/>
    <n v="24"/>
    <s v="Mechanical"/>
    <n v="86.77"/>
    <s v="Delayed"/>
    <s v="Pending"/>
    <s v="Critical"/>
    <s v="M. Ahmed"/>
    <s v="Middle East"/>
    <d v="2025-03-01T00:00:00"/>
  </r>
  <r>
    <s v="SHP00403"/>
    <s v="BK50403"/>
    <d v="2025-03-21T00:00:00"/>
    <d v="2025-03-25T00:00:00"/>
    <d v="2025-04-18T00:00:00"/>
    <s v="Reliance"/>
    <s v="Retail"/>
    <s v="India"/>
    <s v="Hamburg"/>
    <s v="New York"/>
    <x v="2"/>
    <s v="Mumbai Maersk"/>
    <s v="40FT"/>
    <n v="1"/>
    <s v="Machinery"/>
    <n v="42147.03"/>
    <n v="9777.07"/>
    <n v="2104.87"/>
    <n v="1233.44"/>
    <n v="421.47"/>
    <n v="667.67"/>
    <n v="870.19"/>
    <n v="27072.32"/>
    <n v="24"/>
    <s v="Port Congestion"/>
    <n v="81.48"/>
    <s v="Delayed"/>
    <s v="Pending"/>
    <s v="High"/>
    <s v="J. Smith"/>
    <s v="Middle East"/>
    <d v="2025-03-01T00:00:00"/>
  </r>
  <r>
    <s v="SHP00593"/>
    <s v="BK50593"/>
    <d v="2025-03-04T00:00:00"/>
    <d v="2025-03-05T00:00:00"/>
    <d v="2025-03-29T00:00:00"/>
    <s v="Adidas"/>
    <s v="Retail"/>
    <s v="Germany"/>
    <s v="Singapore"/>
    <s v="Rotterdam"/>
    <x v="1"/>
    <s v="Ever Ace"/>
    <s v="20FT"/>
    <n v="2"/>
    <s v="Textiles"/>
    <n v="42198.67"/>
    <n v="8186.36"/>
    <n v="1805.82"/>
    <n v="1121.1099999999999"/>
    <n v="421.99"/>
    <n v="403.97"/>
    <n v="413.19"/>
    <n v="29846.23"/>
    <n v="0"/>
    <s v="None"/>
    <n v="68.22"/>
    <s v="Completed"/>
    <s v="Paid"/>
    <s v="High"/>
    <s v="R. Mehta"/>
    <s v="North America"/>
    <d v="2025-03-01T00:00:00"/>
  </r>
  <r>
    <s v="SHP00363"/>
    <s v="BK50363"/>
    <d v="2025-02-06T00:00:00"/>
    <d v="2025-02-08T00:00:00"/>
    <d v="2025-03-08T00:00:00"/>
    <s v="Reliance"/>
    <s v="Retail"/>
    <s v="India"/>
    <s v="Colombo"/>
    <s v="Singapore"/>
    <x v="4"/>
    <s v="Ever Ace"/>
    <s v="40FT"/>
    <n v="2"/>
    <s v="Auto Parts"/>
    <n v="42220.47"/>
    <n v="11770.04"/>
    <n v="3097.33"/>
    <n v="684.16"/>
    <n v="422.2"/>
    <n v="151.53"/>
    <n v="1538.24"/>
    <n v="24556.97"/>
    <n v="36"/>
    <s v="Labor Strike"/>
    <n v="98.08"/>
    <s v="Delayed"/>
    <s v="Pending"/>
    <s v="High"/>
    <s v="M. Ahmed"/>
    <s v="Europe"/>
    <d v="2025-02-01T00:00:00"/>
  </r>
  <r>
    <s v="SHP00749"/>
    <s v="BK50749"/>
    <d v="2025-11-12T00:00:00"/>
    <d v="2025-11-13T00:00:00"/>
    <d v="2025-12-02T00:00:00"/>
    <s v="Adidas"/>
    <s v="Retail"/>
    <s v="Germany"/>
    <s v="Shanghai"/>
    <s v="Rotterdam"/>
    <x v="1"/>
    <s v="Madrid Maersk"/>
    <s v="20FT"/>
    <n v="2"/>
    <s v="Furniture"/>
    <n v="42228.63"/>
    <n v="12621.35"/>
    <n v="2153.69"/>
    <n v="1182.3599999999999"/>
    <n v="422.29"/>
    <n v="614.65"/>
    <n v="947.25"/>
    <n v="24287.040000000001"/>
    <n v="12"/>
    <s v="Customs"/>
    <n v="105.18"/>
    <s v="Delayed"/>
    <s v="Pending"/>
    <s v="Critical"/>
    <s v="L. Chen"/>
    <s v="Asia"/>
    <d v="2025-11-01T00:00:00"/>
  </r>
  <r>
    <s v="SHP00227"/>
    <s v="BK50227"/>
    <d v="2025-01-07T00:00:00"/>
    <d v="2025-01-11T00:00:00"/>
    <d v="2025-02-04T00:00:00"/>
    <s v="Pfizer"/>
    <s v="Pharma"/>
    <s v="USA"/>
    <s v="Busan"/>
    <s v="Los Angeles"/>
    <x v="3"/>
    <s v="Madrid Maersk"/>
    <s v="High Cube"/>
    <n v="4"/>
    <s v="Chemicals"/>
    <n v="42231.69"/>
    <n v="12386.92"/>
    <n v="2594.9"/>
    <n v="663.64"/>
    <n v="422.32"/>
    <n v="580.11"/>
    <n v="1894.72"/>
    <n v="23689.08"/>
    <n v="4"/>
    <s v="Mechanical"/>
    <n v="103.22"/>
    <s v="Delayed"/>
    <s v="Paid"/>
    <s v="Standard"/>
    <s v="M. Ahmed"/>
    <s v="Asia"/>
    <d v="2025-01-01T00:00:00"/>
  </r>
  <r>
    <s v="SHP00071"/>
    <s v="BK50071"/>
    <d v="2025-02-26T00:00:00"/>
    <d v="2025-02-27T00:00:00"/>
    <d v="2025-03-17T00:00:00"/>
    <s v="Adidas"/>
    <s v="Retail"/>
    <s v="Germany"/>
    <s v="Shanghai"/>
    <s v="Rotterdam"/>
    <x v="1"/>
    <s v="OOCL Hong Kong"/>
    <s v="Reefer"/>
    <n v="1"/>
    <s v="Textiles"/>
    <n v="42239.56"/>
    <n v="11949.01"/>
    <n v="3234.39"/>
    <n v="557.64"/>
    <n v="422.4"/>
    <n v="284.73"/>
    <n v="960.56"/>
    <n v="24830.83"/>
    <n v="0"/>
    <s v="None"/>
    <n v="99.58"/>
    <s v="Completed"/>
    <s v="Paid"/>
    <s v="Standard"/>
    <s v="J. Smith"/>
    <s v="North America"/>
    <d v="2025-02-01T00:00:00"/>
  </r>
  <r>
    <s v="SHP00150"/>
    <s v="BK50150"/>
    <d v="2025-05-21T00:00:00"/>
    <d v="2025-05-22T00:00:00"/>
    <d v="2025-06-19T00:00:00"/>
    <s v="Siemens"/>
    <s v="Engineering"/>
    <s v="Germany"/>
    <s v="Jebel Ali"/>
    <s v="Nhava Sheva"/>
    <x v="0"/>
    <s v="Ever Ace"/>
    <s v="40FT"/>
    <n v="1"/>
    <s v="Chemicals"/>
    <n v="42266.48"/>
    <n v="8666.4599999999991"/>
    <n v="2678.31"/>
    <n v="535.89"/>
    <n v="422.66"/>
    <n v="383.51"/>
    <n v="2099.62"/>
    <n v="27480.03"/>
    <n v="4"/>
    <s v="Weather"/>
    <n v="72.22"/>
    <s v="Delayed"/>
    <s v="Pending"/>
    <s v="High"/>
    <s v="J. Smith"/>
    <s v="North America"/>
    <d v="2025-05-01T00:00:00"/>
  </r>
  <r>
    <s v="SHP00404"/>
    <s v="BK50404"/>
    <d v="2025-12-09T00:00:00"/>
    <d v="2025-12-11T00:00:00"/>
    <d v="2025-12-23T00:00:00"/>
    <s v="Siemens"/>
    <s v="Engineering"/>
    <s v="Germany"/>
    <s v="Shanghai"/>
    <s v="Busan"/>
    <x v="2"/>
    <s v="Mary Maersk"/>
    <s v="40FT"/>
    <n v="1"/>
    <s v="Textiles"/>
    <n v="42360.94"/>
    <n v="11671.6"/>
    <n v="2932.56"/>
    <n v="530.21"/>
    <n v="423.61"/>
    <n v="567.03"/>
    <n v="2108.06"/>
    <n v="24127.87"/>
    <n v="48"/>
    <s v="Mechanical"/>
    <n v="97.26"/>
    <s v="Delayed"/>
    <s v="Paid"/>
    <s v="High"/>
    <s v="J. Smith"/>
    <s v="North America"/>
    <d v="2025-12-01T00:00:00"/>
  </r>
  <r>
    <s v="SHP00365"/>
    <s v="BK50365"/>
    <d v="2025-02-03T00:00:00"/>
    <d v="2025-02-06T00:00:00"/>
    <d v="2025-03-03T00:00:00"/>
    <s v="Nestlé"/>
    <s v="Food"/>
    <s v="Switzerland"/>
    <s v="Busan"/>
    <s v="Los Angeles"/>
    <x v="3"/>
    <s v="Monaco Maersk"/>
    <s v="20FT"/>
    <n v="4"/>
    <s v="Auto Parts"/>
    <n v="42383.23"/>
    <n v="7105.16"/>
    <n v="3082.51"/>
    <n v="565.48"/>
    <n v="423.83"/>
    <n v="268.58999999999997"/>
    <n v="2477.2600000000002"/>
    <n v="28460.400000000001"/>
    <n v="36"/>
    <s v="Weather"/>
    <n v="59.21"/>
    <s v="Delayed"/>
    <s v="Pending"/>
    <s v="Standard"/>
    <s v="M. Ahmed"/>
    <s v="North America"/>
    <d v="2025-02-01T00:00:00"/>
  </r>
  <r>
    <s v="SHP00414"/>
    <s v="BK50414"/>
    <d v="2025-08-21T00:00:00"/>
    <d v="2025-08-24T00:00:00"/>
    <d v="2025-09-21T00:00:00"/>
    <s v="Amazon"/>
    <s v="E-commerce"/>
    <s v="USA"/>
    <s v="Shanghai"/>
    <s v="Rotterdam"/>
    <x v="1"/>
    <s v="Mary Maersk"/>
    <s v="High Cube"/>
    <n v="2"/>
    <s v="Auto Parts"/>
    <n v="42387.839999999997"/>
    <n v="8401.5"/>
    <n v="2251.9699999999998"/>
    <n v="946.59"/>
    <n v="423.88"/>
    <n v="539.91999999999996"/>
    <n v="756.01"/>
    <n v="29067.97"/>
    <n v="0"/>
    <s v="None"/>
    <n v="70.010000000000005"/>
    <s v="Completed"/>
    <s v="Pending"/>
    <s v="Standard"/>
    <s v="L. Chen"/>
    <s v="Asia"/>
    <d v="2025-08-01T00:00:00"/>
  </r>
  <r>
    <s v="SHP00629"/>
    <s v="BK50629"/>
    <d v="2025-08-17T00:00:00"/>
    <d v="2025-08-20T00:00:00"/>
    <d v="2025-09-14T00:00:00"/>
    <s v="Nestlé"/>
    <s v="Food"/>
    <s v="Switzerland"/>
    <s v="Colombo"/>
    <s v="Singapore"/>
    <x v="4"/>
    <s v="Ever Ace"/>
    <s v="Reefer"/>
    <n v="1"/>
    <s v="Auto Parts"/>
    <n v="42605.2"/>
    <n v="8416.6299999999992"/>
    <n v="1847.34"/>
    <n v="1266.23"/>
    <n v="426.05"/>
    <n v="460.06"/>
    <n v="1178.01"/>
    <n v="29010.880000000001"/>
    <n v="8"/>
    <s v="Mechanical"/>
    <n v="70.14"/>
    <s v="Delayed"/>
    <s v="Pending"/>
    <s v="High"/>
    <s v="A. Tan"/>
    <s v="Asia"/>
    <d v="2025-08-01T00:00:00"/>
  </r>
  <r>
    <s v="SHP00826"/>
    <s v="BK50826"/>
    <d v="2025-05-15T00:00:00"/>
    <d v="2025-05-18T00:00:00"/>
    <d v="2025-06-15T00:00:00"/>
    <s v="LG"/>
    <s v="Electronics"/>
    <s v="South Korea"/>
    <s v="Los Angeles"/>
    <s v="Hamburg"/>
    <x v="2"/>
    <s v="Mary Maersk"/>
    <s v="20FT"/>
    <n v="1"/>
    <s v="Electronics"/>
    <n v="42684.55"/>
    <n v="10456.42"/>
    <n v="2219.52"/>
    <n v="649.39"/>
    <n v="426.85"/>
    <n v="339.66"/>
    <n v="2342.79"/>
    <n v="26249.919999999998"/>
    <n v="24"/>
    <s v="Port Congestion"/>
    <n v="87.14"/>
    <s v="Delayed"/>
    <s v="Pending"/>
    <s v="Critical"/>
    <s v="R. Mehta"/>
    <s v="Middle East"/>
    <d v="2025-05-01T00:00:00"/>
  </r>
  <r>
    <s v="SHP00808"/>
    <s v="BK50808"/>
    <d v="2025-08-30T00:00:00"/>
    <d v="2025-09-02T00:00:00"/>
    <d v="2025-09-25T00:00:00"/>
    <s v="Samsung"/>
    <s v="Electronics"/>
    <s v="South Korea"/>
    <s v="Singapore"/>
    <s v="Rotterdam"/>
    <x v="2"/>
    <s v="Ever Ace"/>
    <s v="High Cube"/>
    <n v="1"/>
    <s v="Electronics"/>
    <n v="42806.37"/>
    <n v="10445.69"/>
    <n v="2367.67"/>
    <n v="448.38"/>
    <n v="428.06"/>
    <n v="708.38"/>
    <n v="651.59"/>
    <n v="27756.6"/>
    <n v="0"/>
    <s v="None"/>
    <n v="87.05"/>
    <s v="Completed"/>
    <s v="Pending"/>
    <s v="Critical"/>
    <s v="A. Tan"/>
    <s v="Asia"/>
    <d v="2025-08-01T00:00:00"/>
  </r>
  <r>
    <s v="SHP00383"/>
    <s v="BK50383"/>
    <d v="2025-02-25T00:00:00"/>
    <d v="2025-02-26T00:00:00"/>
    <d v="2025-03-15T00:00:00"/>
    <s v="LG"/>
    <s v="Electronics"/>
    <s v="South Korea"/>
    <s v="Shanghai"/>
    <s v="Rotterdam"/>
    <x v="1"/>
    <s v="Mumbai Maersk"/>
    <s v="40FT"/>
    <n v="2"/>
    <s v="Auto Parts"/>
    <n v="42894.1"/>
    <n v="8616.2099999999991"/>
    <n v="2371.4499999999998"/>
    <n v="520.05999999999995"/>
    <n v="428.94"/>
    <n v="292.27"/>
    <n v="1936.7"/>
    <n v="28728.47"/>
    <n v="4"/>
    <s v="Mechanical"/>
    <n v="71.8"/>
    <s v="Delayed"/>
    <s v="Paid"/>
    <s v="Standard"/>
    <s v="L. Chen"/>
    <s v="Middle East"/>
    <d v="2025-02-01T00:00:00"/>
  </r>
  <r>
    <s v="SHP00473"/>
    <s v="BK50473"/>
    <d v="2025-08-26T00:00:00"/>
    <d v="2025-08-30T00:00:00"/>
    <d v="2025-09-14T00:00:00"/>
    <s v="Nestlé"/>
    <s v="Food"/>
    <s v="Switzerland"/>
    <s v="Singapore"/>
    <s v="Rotterdam"/>
    <x v="1"/>
    <s v="Ever Ace"/>
    <s v="40FT"/>
    <n v="2"/>
    <s v="Furniture"/>
    <n v="42916.46"/>
    <n v="8341.52"/>
    <n v="2413.56"/>
    <n v="1230.9100000000001"/>
    <n v="429.16"/>
    <n v="545.12"/>
    <n v="2245.54"/>
    <n v="27710.65"/>
    <n v="48"/>
    <s v="Mechanical"/>
    <n v="69.510000000000005"/>
    <s v="Delayed"/>
    <s v="Pending"/>
    <s v="High"/>
    <s v="L. Chen"/>
    <s v="Europe"/>
    <d v="2025-08-01T00:00:00"/>
  </r>
  <r>
    <s v="SHP00677"/>
    <s v="BK50677"/>
    <d v="2025-09-21T00:00:00"/>
    <d v="2025-09-22T00:00:00"/>
    <d v="2025-10-08T00:00:00"/>
    <s v="Adidas"/>
    <s v="Retail"/>
    <s v="Germany"/>
    <s v="Colombo"/>
    <s v="Singapore"/>
    <x v="4"/>
    <s v="CMA CGM Jacques Saadé"/>
    <s v="Reefer"/>
    <n v="2"/>
    <s v="Furniture"/>
    <n v="42929.51"/>
    <n v="9915.5300000000007"/>
    <n v="2009.38"/>
    <n v="1114"/>
    <n v="429.3"/>
    <n v="749.38"/>
    <n v="1299.99"/>
    <n v="27411.93"/>
    <n v="24"/>
    <s v="Mechanical"/>
    <n v="82.63"/>
    <s v="Delayed"/>
    <s v="Pending"/>
    <s v="Standard"/>
    <s v="A. Tan"/>
    <s v="Middle East"/>
    <d v="2025-09-01T00:00:00"/>
  </r>
  <r>
    <s v="SHP00399"/>
    <s v="BK50399"/>
    <d v="2025-12-30T00:00:00"/>
    <d v="2026-01-02T00:00:00"/>
    <d v="2026-01-26T00:00:00"/>
    <s v="Nestlé"/>
    <s v="Food"/>
    <s v="Switzerland"/>
    <s v="Shanghai"/>
    <s v="Rotterdam"/>
    <x v="1"/>
    <s v="Ever Ace"/>
    <s v="High Cube"/>
    <n v="1"/>
    <s v="Machinery"/>
    <n v="42952.86"/>
    <n v="12161.2"/>
    <n v="2549.96"/>
    <n v="1101.8399999999999"/>
    <n v="429.53"/>
    <n v="807.97"/>
    <n v="421.17"/>
    <n v="25481.19"/>
    <n v="4"/>
    <s v="Labor Strike"/>
    <n v="101.34"/>
    <s v="Delayed"/>
    <s v="Paid"/>
    <s v="Critical"/>
    <s v="R. Mehta"/>
    <s v="Europe"/>
    <d v="2025-12-01T00:00:00"/>
  </r>
  <r>
    <s v="SHP00632"/>
    <s v="BK50632"/>
    <d v="2025-06-05T00:00:00"/>
    <d v="2025-06-08T00:00:00"/>
    <d v="2025-06-28T00:00:00"/>
    <s v="Adidas"/>
    <s v="Retail"/>
    <s v="Germany"/>
    <s v="Colombo"/>
    <s v="Singapore"/>
    <x v="4"/>
    <s v="Ever Ace"/>
    <s v="20FT"/>
    <n v="2"/>
    <s v="Machinery"/>
    <n v="43108.39"/>
    <n v="7968.26"/>
    <n v="2131.9499999999998"/>
    <n v="534.12"/>
    <n v="431.08"/>
    <n v="221.13"/>
    <n v="1204.9000000000001"/>
    <n v="30616.95"/>
    <n v="4"/>
    <s v="Mechanical"/>
    <n v="66.400000000000006"/>
    <s v="Delayed"/>
    <s v="Paid"/>
    <s v="Critical"/>
    <s v="M. Ahmed"/>
    <s v="Europe"/>
    <d v="2025-06-01T00:00:00"/>
  </r>
  <r>
    <s v="SHP00343"/>
    <s v="BK50343"/>
    <d v="2025-10-01T00:00:00"/>
    <d v="2025-10-02T00:00:00"/>
    <d v="2025-10-20T00:00:00"/>
    <s v="Bosch"/>
    <s v="Manufacturing"/>
    <s v="Germany"/>
    <s v="Jebel Ali"/>
    <s v="Nhava Sheva"/>
    <x v="0"/>
    <s v="OOCL Hong Kong"/>
    <s v="40FT"/>
    <n v="1"/>
    <s v="Furniture"/>
    <n v="43328.98"/>
    <n v="11605.73"/>
    <n v="2288.2800000000002"/>
    <n v="580.35"/>
    <n v="433.29"/>
    <n v="251.23"/>
    <n v="669.87"/>
    <n v="27500.23"/>
    <n v="8"/>
    <s v="Customs"/>
    <n v="96.71"/>
    <s v="Delayed"/>
    <s v="Pending"/>
    <s v="High"/>
    <s v="L. Chen"/>
    <s v="Europe"/>
    <d v="2025-10-01T00:00:00"/>
  </r>
  <r>
    <s v="SHP00167"/>
    <s v="BK50167"/>
    <d v="2025-04-11T00:00:00"/>
    <d v="2025-04-12T00:00:00"/>
    <d v="2025-05-08T00:00:00"/>
    <s v="Adidas"/>
    <s v="Retail"/>
    <s v="Germany"/>
    <s v="New York"/>
    <s v="Nhava Sheva"/>
    <x v="2"/>
    <s v="OOCL Hong Kong"/>
    <s v="High Cube"/>
    <n v="4"/>
    <s v="Machinery"/>
    <n v="43375.22"/>
    <n v="11917.7"/>
    <n v="1849.07"/>
    <n v="877.22"/>
    <n v="433.75"/>
    <n v="682.92"/>
    <n v="1904.88"/>
    <n v="25709.68"/>
    <n v="24"/>
    <s v="Port Congestion"/>
    <n v="99.31"/>
    <s v="Delayed"/>
    <s v="Paid"/>
    <s v="Critical"/>
    <s v="J. Smith"/>
    <s v="Asia"/>
    <d v="2025-04-01T00:00:00"/>
  </r>
  <r>
    <s v="SHP00722"/>
    <s v="BK50722"/>
    <d v="2025-09-29T00:00:00"/>
    <d v="2025-09-30T00:00:00"/>
    <d v="2025-10-20T00:00:00"/>
    <s v="Reliance"/>
    <s v="Retail"/>
    <s v="India"/>
    <s v="Colombo"/>
    <s v="Singapore"/>
    <x v="4"/>
    <s v="Monaco Maersk"/>
    <s v="High Cube"/>
    <n v="4"/>
    <s v="Auto Parts"/>
    <n v="43397.3"/>
    <n v="7763.74"/>
    <n v="2810.96"/>
    <n v="1124.78"/>
    <n v="433.97"/>
    <n v="121.59"/>
    <n v="781.35"/>
    <n v="30360.91"/>
    <n v="24"/>
    <s v="Port Congestion"/>
    <n v="64.7"/>
    <s v="Delayed"/>
    <s v="Pending"/>
    <s v="High"/>
    <s v="M. Ahmed"/>
    <s v="Europe"/>
    <d v="2025-09-01T00:00:00"/>
  </r>
  <r>
    <s v="SHP00786"/>
    <s v="BK50786"/>
    <d v="2025-07-07T00:00:00"/>
    <d v="2025-07-09T00:00:00"/>
    <d v="2025-08-04T00:00:00"/>
    <s v="Siemens"/>
    <s v="Engineering"/>
    <s v="Germany"/>
    <s v="Singapore"/>
    <s v="Rotterdam"/>
    <x v="1"/>
    <s v="Mary Maersk"/>
    <s v="20FT"/>
    <n v="2"/>
    <s v="Chemicals"/>
    <n v="43401.86"/>
    <n v="12093.55"/>
    <n v="1916.74"/>
    <n v="1105.31"/>
    <n v="434.02"/>
    <n v="434.58"/>
    <n v="2474.37"/>
    <n v="24943.29"/>
    <n v="24"/>
    <s v="Labor Strike"/>
    <n v="100.78"/>
    <s v="Delayed"/>
    <s v="Paid"/>
    <s v="Standard"/>
    <s v="L. Chen"/>
    <s v="North America"/>
    <d v="2025-07-01T00:00:00"/>
  </r>
  <r>
    <s v="SHP00210"/>
    <s v="BK50210"/>
    <d v="2025-11-12T00:00:00"/>
    <d v="2025-11-15T00:00:00"/>
    <d v="2025-12-04T00:00:00"/>
    <s v="Toyota"/>
    <s v="Automotive"/>
    <s v="Japan"/>
    <s v="Jebel Ali"/>
    <s v="Nhava Sheva"/>
    <x v="0"/>
    <s v="Ever Ace"/>
    <s v="Reefer"/>
    <n v="2"/>
    <s v="Textiles"/>
    <n v="43485.22"/>
    <n v="8368.15"/>
    <n v="3436.11"/>
    <n v="948.02"/>
    <n v="434.85"/>
    <n v="779.81"/>
    <n v="1520.68"/>
    <n v="27997.599999999999"/>
    <n v="0"/>
    <s v="None"/>
    <n v="69.73"/>
    <s v="Completed"/>
    <s v="Pending"/>
    <s v="Critical"/>
    <s v="L. Chen"/>
    <s v="North America"/>
    <d v="2025-11-01T00:00:00"/>
  </r>
  <r>
    <s v="SHP00089"/>
    <s v="BK50089"/>
    <d v="2025-06-07T00:00:00"/>
    <d v="2025-06-08T00:00:00"/>
    <d v="2025-06-20T00:00:00"/>
    <s v="Amazon"/>
    <s v="E-commerce"/>
    <s v="USA"/>
    <s v="Busan"/>
    <s v="Los Angeles"/>
    <x v="3"/>
    <s v="Mumbai Maersk"/>
    <s v="Reefer"/>
    <n v="1"/>
    <s v="Machinery"/>
    <n v="43489.49"/>
    <n v="12769.37"/>
    <n v="2674.7"/>
    <n v="1137.51"/>
    <n v="434.89"/>
    <n v="846.43"/>
    <n v="2473"/>
    <n v="23153.59"/>
    <n v="0"/>
    <s v="None"/>
    <n v="106.41"/>
    <s v="Completed"/>
    <s v="Pending"/>
    <s v="High"/>
    <s v="M. Ahmed"/>
    <s v="Europe"/>
    <d v="2025-06-01T00:00:00"/>
  </r>
  <r>
    <s v="SHP00131"/>
    <s v="BK50131"/>
    <d v="2025-03-19T00:00:00"/>
    <d v="2025-03-21T00:00:00"/>
    <d v="2025-04-03T00:00:00"/>
    <s v="Amazon"/>
    <s v="E-commerce"/>
    <s v="USA"/>
    <s v="Rotterdam"/>
    <s v="Busan"/>
    <x v="2"/>
    <s v="MSC Gülsün"/>
    <s v="20FT"/>
    <n v="4"/>
    <s v="Furniture"/>
    <n v="43498.57"/>
    <n v="10654.71"/>
    <n v="2328.46"/>
    <n v="859.74"/>
    <n v="434.99"/>
    <n v="526.84"/>
    <n v="944.08"/>
    <n v="27749.75"/>
    <n v="8"/>
    <s v="Mechanical"/>
    <n v="88.79"/>
    <s v="Delayed"/>
    <s v="Paid"/>
    <s v="Critical"/>
    <s v="A. Tan"/>
    <s v="Asia"/>
    <d v="2025-03-01T00:00:00"/>
  </r>
  <r>
    <s v="SHP00291"/>
    <s v="BK50291"/>
    <d v="2025-01-12T00:00:00"/>
    <d v="2025-01-13T00:00:00"/>
    <d v="2025-02-09T00:00:00"/>
    <s v="Samsung"/>
    <s v="Electronics"/>
    <s v="South Korea"/>
    <s v="Jebel Ali"/>
    <s v="Nhava Sheva"/>
    <x v="0"/>
    <s v="Madrid Maersk"/>
    <s v="40FT"/>
    <n v="2"/>
    <s v="Auto Parts"/>
    <n v="43543.519999999997"/>
    <n v="8736.73"/>
    <n v="2305.37"/>
    <n v="1175.22"/>
    <n v="435.44"/>
    <n v="589.71"/>
    <n v="1758.87"/>
    <n v="28542.18"/>
    <n v="0"/>
    <s v="None"/>
    <n v="72.81"/>
    <s v="Completed"/>
    <s v="Paid"/>
    <s v="Critical"/>
    <s v="M. Ahmed"/>
    <s v="North America"/>
    <d v="2025-01-01T00:00:00"/>
  </r>
  <r>
    <s v="SHP00733"/>
    <s v="BK50733"/>
    <d v="2025-08-06T00:00:00"/>
    <d v="2025-08-10T00:00:00"/>
    <d v="2025-09-04T00:00:00"/>
    <s v="Reliance"/>
    <s v="Retail"/>
    <s v="India"/>
    <s v="Los Angeles"/>
    <s v="Colombo"/>
    <x v="2"/>
    <s v="CMA CGM Jacques Saadé"/>
    <s v="20FT"/>
    <n v="4"/>
    <s v="Electronics"/>
    <n v="43574.66"/>
    <n v="8686.7199999999993"/>
    <n v="2069.7199999999998"/>
    <n v="697.51"/>
    <n v="435.75"/>
    <n v="155.24"/>
    <n v="2306.9899999999998"/>
    <n v="29222.73"/>
    <n v="4"/>
    <s v="Weather"/>
    <n v="72.39"/>
    <s v="Delayed"/>
    <s v="Pending"/>
    <s v="Standard"/>
    <s v="L. Chen"/>
    <s v="North America"/>
    <d v="2025-08-01T00:00:00"/>
  </r>
  <r>
    <s v="SHP00425"/>
    <s v="BK50425"/>
    <d v="2025-12-26T00:00:00"/>
    <d v="2025-12-29T00:00:00"/>
    <d v="2026-01-13T00:00:00"/>
    <s v="Samsung"/>
    <s v="Electronics"/>
    <s v="South Korea"/>
    <s v="Singapore"/>
    <s v="Rotterdam"/>
    <x v="1"/>
    <s v="Monaco Maersk"/>
    <s v="Reefer"/>
    <n v="2"/>
    <s v="Furniture"/>
    <n v="43602.55"/>
    <n v="11704.05"/>
    <n v="2841.93"/>
    <n v="1003.04"/>
    <n v="436.03"/>
    <n v="241.91"/>
    <n v="2298.71"/>
    <n v="25076.880000000001"/>
    <n v="36"/>
    <s v="Weather"/>
    <n v="97.53"/>
    <s v="Delayed"/>
    <s v="Paid"/>
    <s v="Standard"/>
    <s v="R. Mehta"/>
    <s v="North America"/>
    <d v="2025-12-01T00:00:00"/>
  </r>
  <r>
    <s v="SHP00594"/>
    <s v="BK50594"/>
    <d v="2025-05-10T00:00:00"/>
    <d v="2025-05-11T00:00:00"/>
    <d v="2025-05-29T00:00:00"/>
    <s v="Nestlé"/>
    <s v="Food"/>
    <s v="Switzerland"/>
    <s v="Singapore"/>
    <s v="Singapore"/>
    <x v="2"/>
    <s v="Monaco Maersk"/>
    <s v="Reefer"/>
    <n v="2"/>
    <s v="Machinery"/>
    <n v="43616.1"/>
    <n v="9579.2099999999991"/>
    <n v="2672.4"/>
    <n v="826.46"/>
    <n v="436.16"/>
    <n v="293.23"/>
    <n v="1711.98"/>
    <n v="28096.66"/>
    <n v="0"/>
    <s v="None"/>
    <n v="79.83"/>
    <s v="Completed"/>
    <s v="Pending"/>
    <s v="Critical"/>
    <s v="L. Chen"/>
    <s v="Middle East"/>
    <d v="2025-05-01T00:00:00"/>
  </r>
  <r>
    <s v="SHP00358"/>
    <s v="BK50358"/>
    <d v="2025-04-24T00:00:00"/>
    <d v="2025-04-28T00:00:00"/>
    <d v="2025-05-26T00:00:00"/>
    <s v="Pfizer"/>
    <s v="Pharma"/>
    <s v="USA"/>
    <s v="Jebel Ali"/>
    <s v="Nhava Sheva"/>
    <x v="0"/>
    <s v="Mumbai Maersk"/>
    <s v="High Cube"/>
    <n v="2"/>
    <s v="Auto Parts"/>
    <n v="43683.24"/>
    <n v="10194.33"/>
    <n v="3076.2"/>
    <n v="783.6"/>
    <n v="436.83"/>
    <n v="314.94"/>
    <n v="1522.62"/>
    <n v="27354.720000000001"/>
    <n v="48"/>
    <s v="Weather"/>
    <n v="84.95"/>
    <s v="Delayed"/>
    <s v="Paid"/>
    <s v="Critical"/>
    <s v="L. Chen"/>
    <s v="Middle East"/>
    <d v="2025-04-01T00:00:00"/>
  </r>
  <r>
    <s v="SHP00630"/>
    <s v="BK50630"/>
    <d v="2025-12-21T00:00:00"/>
    <d v="2025-12-25T00:00:00"/>
    <d v="2026-01-21T00:00:00"/>
    <s v="Siemens"/>
    <s v="Engineering"/>
    <s v="Germany"/>
    <s v="New York"/>
    <s v="Nhava Sheva"/>
    <x v="2"/>
    <s v="Madrid Maersk"/>
    <s v="40FT"/>
    <n v="1"/>
    <s v="Chemicals"/>
    <n v="43766.91"/>
    <n v="12144.6"/>
    <n v="3202.48"/>
    <n v="690.01"/>
    <n v="437.67"/>
    <n v="238.12"/>
    <n v="1367.99"/>
    <n v="25686.04"/>
    <n v="0"/>
    <s v="None"/>
    <n v="101.2"/>
    <s v="Completed"/>
    <s v="Pending"/>
    <s v="Standard"/>
    <s v="M. Ahmed"/>
    <s v="Middle East"/>
    <d v="2025-12-01T00:00:00"/>
  </r>
  <r>
    <s v="SHP00532"/>
    <s v="BK50532"/>
    <d v="2025-07-05T00:00:00"/>
    <d v="2025-07-06T00:00:00"/>
    <d v="2025-07-18T00:00:00"/>
    <s v="Nestlé"/>
    <s v="Food"/>
    <s v="Switzerland"/>
    <s v="Jebel Ali"/>
    <s v="Nhava Sheva"/>
    <x v="0"/>
    <s v="Mary Maersk"/>
    <s v="20FT"/>
    <n v="2"/>
    <s v="Machinery"/>
    <n v="43873.17"/>
    <n v="12019"/>
    <n v="3133.61"/>
    <n v="1077.6099999999999"/>
    <n v="438.73"/>
    <n v="368.05"/>
    <n v="720.8"/>
    <n v="26115.37"/>
    <n v="24"/>
    <s v="Weather"/>
    <n v="100.16"/>
    <s v="Delayed"/>
    <s v="Paid"/>
    <s v="High"/>
    <s v="L. Chen"/>
    <s v="Middle East"/>
    <d v="2025-07-01T00:00:00"/>
  </r>
  <r>
    <s v="SHP00821"/>
    <s v="BK50821"/>
    <d v="2025-12-23T00:00:00"/>
    <d v="2025-12-25T00:00:00"/>
    <d v="2026-01-08T00:00:00"/>
    <s v="Pfizer"/>
    <s v="Pharma"/>
    <s v="USA"/>
    <s v="Busan"/>
    <s v="Los Angeles"/>
    <x v="3"/>
    <s v="Mary Maersk"/>
    <s v="40FT"/>
    <n v="2"/>
    <s v="Food"/>
    <n v="43917.24"/>
    <n v="8495.34"/>
    <n v="2700.68"/>
    <n v="475.6"/>
    <n v="439.17"/>
    <n v="248.18"/>
    <n v="2189.21"/>
    <n v="29369.06"/>
    <n v="8"/>
    <s v="Weather"/>
    <n v="70.790000000000006"/>
    <s v="Delayed"/>
    <s v="Paid"/>
    <s v="Standard"/>
    <s v="A. Tan"/>
    <s v="North America"/>
    <d v="2025-12-01T00:00:00"/>
  </r>
  <r>
    <s v="SHP00279"/>
    <s v="BK50279"/>
    <d v="2025-08-11T00:00:00"/>
    <d v="2025-08-14T00:00:00"/>
    <d v="2025-08-27T00:00:00"/>
    <s v="Samsung"/>
    <s v="Electronics"/>
    <s v="South Korea"/>
    <s v="Jebel Ali"/>
    <s v="Nhava Sheva"/>
    <x v="0"/>
    <s v="Monaco Maersk"/>
    <s v="40FT"/>
    <n v="4"/>
    <s v="Textiles"/>
    <n v="43927.13"/>
    <n v="12794.16"/>
    <n v="2882.25"/>
    <n v="474.64"/>
    <n v="439.27"/>
    <n v="376.98"/>
    <n v="957.88"/>
    <n v="26001.95"/>
    <n v="0"/>
    <s v="None"/>
    <n v="106.62"/>
    <s v="Completed"/>
    <s v="Paid"/>
    <s v="High"/>
    <s v="A. Tan"/>
    <s v="North America"/>
    <d v="2025-08-01T00:00:00"/>
  </r>
  <r>
    <s v="SHP00679"/>
    <s v="BK50679"/>
    <d v="2025-11-25T00:00:00"/>
    <d v="2025-11-28T00:00:00"/>
    <d v="2025-12-22T00:00:00"/>
    <s v="IKEA"/>
    <s v="Retail"/>
    <s v="Sweden"/>
    <s v="Shanghai"/>
    <s v="Rotterdam"/>
    <x v="1"/>
    <s v="CMA CGM Jacques Saadé"/>
    <s v="20FT"/>
    <n v="2"/>
    <s v="Electronics"/>
    <n v="43929.87"/>
    <n v="7126.65"/>
    <n v="1835.2"/>
    <n v="1141.68"/>
    <n v="439.3"/>
    <n v="601.45000000000005"/>
    <n v="785.58"/>
    <n v="32000.01"/>
    <n v="4"/>
    <s v="Mechanical"/>
    <n v="59.39"/>
    <s v="Delayed"/>
    <s v="Pending"/>
    <s v="Critical"/>
    <s v="M. Ahmed"/>
    <s v="North America"/>
    <d v="2025-11-01T00:00:00"/>
  </r>
  <r>
    <s v="SHP00477"/>
    <s v="BK50477"/>
    <d v="2025-10-15T00:00:00"/>
    <d v="2025-10-17T00:00:00"/>
    <d v="2025-11-07T00:00:00"/>
    <s v="Reliance"/>
    <s v="Retail"/>
    <s v="India"/>
    <s v="Singapore"/>
    <s v="Rotterdam"/>
    <x v="1"/>
    <s v="Monaco Maersk"/>
    <s v="High Cube"/>
    <n v="1"/>
    <s v="Electronics"/>
    <n v="43944.54"/>
    <n v="11171.26"/>
    <n v="1885.96"/>
    <n v="660.84"/>
    <n v="439.45"/>
    <n v="623.84"/>
    <n v="2386.7600000000002"/>
    <n v="26776.43"/>
    <n v="0"/>
    <s v="None"/>
    <n v="93.09"/>
    <s v="Completed"/>
    <s v="Paid"/>
    <s v="Standard"/>
    <s v="J. Smith"/>
    <s v="North America"/>
    <d v="2025-10-01T00:00:00"/>
  </r>
  <r>
    <s v="SHP00181"/>
    <s v="BK50181"/>
    <d v="2025-10-23T00:00:00"/>
    <d v="2025-10-26T00:00:00"/>
    <d v="2025-11-22T00:00:00"/>
    <s v="Samsung"/>
    <s v="Electronics"/>
    <s v="South Korea"/>
    <s v="Colombo"/>
    <s v="Hamburg"/>
    <x v="2"/>
    <s v="MSC Gülsün"/>
    <s v="20FT"/>
    <n v="2"/>
    <s v="Electronics"/>
    <n v="43990.73"/>
    <n v="7125.26"/>
    <n v="3481.64"/>
    <n v="536.48"/>
    <n v="439.91"/>
    <n v="814.92"/>
    <n v="2053.5700000000002"/>
    <n v="29538.95"/>
    <n v="4"/>
    <s v="Port Congestion"/>
    <n v="59.38"/>
    <s v="Delayed"/>
    <s v="Paid"/>
    <s v="Standard"/>
    <s v="A. Tan"/>
    <s v="North America"/>
    <d v="2025-10-01T00:00:00"/>
  </r>
  <r>
    <s v="SHP00932"/>
    <s v="BK50932"/>
    <d v="2025-06-15T00:00:00"/>
    <d v="2025-06-16T00:00:00"/>
    <d v="2025-07-11T00:00:00"/>
    <s v="Unilever"/>
    <s v="FMCG"/>
    <s v="UK"/>
    <s v="Shanghai"/>
    <s v="Rotterdam"/>
    <x v="1"/>
    <s v="Ever Ace"/>
    <s v="Reefer"/>
    <n v="2"/>
    <s v="Textiles"/>
    <n v="44016.68"/>
    <n v="12064.3"/>
    <n v="2825.97"/>
    <n v="626"/>
    <n v="440.17"/>
    <n v="534.48"/>
    <n v="570.22"/>
    <n v="26955.54"/>
    <n v="0"/>
    <s v="None"/>
    <n v="100.54"/>
    <s v="Completed"/>
    <s v="Pending"/>
    <s v="High"/>
    <s v="J. Smith"/>
    <s v="Asia"/>
    <d v="2025-06-01T00:00:00"/>
  </r>
  <r>
    <s v="SHP00929"/>
    <s v="BK50929"/>
    <d v="2025-06-30T00:00:00"/>
    <d v="2025-07-03T00:00:00"/>
    <d v="2025-07-18T00:00:00"/>
    <s v="Adidas"/>
    <s v="Retail"/>
    <s v="Germany"/>
    <s v="Jebel Ali"/>
    <s v="Nhava Sheva"/>
    <x v="0"/>
    <s v="OOCL Hong Kong"/>
    <s v="High Cube"/>
    <n v="1"/>
    <s v="Chemicals"/>
    <n v="44064.91"/>
    <n v="8964.3700000000008"/>
    <n v="3425.29"/>
    <n v="1126.1600000000001"/>
    <n v="440.65"/>
    <n v="850.85"/>
    <n v="1568.87"/>
    <n v="27688.720000000001"/>
    <n v="0"/>
    <s v="None"/>
    <n v="74.7"/>
    <s v="Completed"/>
    <s v="Paid"/>
    <s v="Standard"/>
    <s v="J. Smith"/>
    <s v="Europe"/>
    <d v="2025-06-01T00:00:00"/>
  </r>
  <r>
    <s v="SHP00125"/>
    <s v="BK50125"/>
    <d v="2025-07-08T00:00:00"/>
    <d v="2025-07-12T00:00:00"/>
    <d v="2025-07-31T00:00:00"/>
    <s v="IKEA"/>
    <s v="Retail"/>
    <s v="Sweden"/>
    <s v="Rotterdam"/>
    <s v="Los Angeles"/>
    <x v="2"/>
    <s v="CMA CGM Jacques Saadé"/>
    <s v="Reefer"/>
    <n v="1"/>
    <s v="Chemicals"/>
    <n v="44165.9"/>
    <n v="10425.61"/>
    <n v="2050.2600000000002"/>
    <n v="1082.78"/>
    <n v="441.66"/>
    <n v="216.88"/>
    <n v="880.26"/>
    <n v="29068.45"/>
    <n v="4"/>
    <s v="Weather"/>
    <n v="86.88"/>
    <s v="Delayed"/>
    <s v="Paid"/>
    <s v="Critical"/>
    <s v="R. Mehta"/>
    <s v="Middle East"/>
    <d v="2025-07-01T00:00:00"/>
  </r>
  <r>
    <s v="SHP00274"/>
    <s v="BK50274"/>
    <d v="2025-01-18T00:00:00"/>
    <d v="2025-01-22T00:00:00"/>
    <d v="2025-02-16T00:00:00"/>
    <s v="LG"/>
    <s v="Electronics"/>
    <s v="South Korea"/>
    <s v="Busan"/>
    <s v="Hamburg"/>
    <x v="2"/>
    <s v="OOCL Hong Kong"/>
    <s v="20FT"/>
    <n v="2"/>
    <s v="Auto Parts"/>
    <n v="44171.61"/>
    <n v="7664.56"/>
    <n v="3378.47"/>
    <n v="928.95"/>
    <n v="441.72"/>
    <n v="474.16"/>
    <n v="1617.82"/>
    <n v="29665.93"/>
    <n v="12"/>
    <s v="Mechanical"/>
    <n v="63.87"/>
    <s v="Delayed"/>
    <s v="Pending"/>
    <s v="Standard"/>
    <s v="J. Smith"/>
    <s v="North America"/>
    <d v="2025-01-01T00:00:00"/>
  </r>
  <r>
    <s v="SHP00627"/>
    <s v="BK50627"/>
    <d v="2025-10-21T00:00:00"/>
    <d v="2025-10-22T00:00:00"/>
    <d v="2025-11-17T00:00:00"/>
    <s v="Bosch"/>
    <s v="Manufacturing"/>
    <s v="Germany"/>
    <s v="Singapore"/>
    <s v="Rotterdam"/>
    <x v="1"/>
    <s v="Monaco Maersk"/>
    <s v="High Cube"/>
    <n v="1"/>
    <s v="Auto Parts"/>
    <n v="44184.58"/>
    <n v="10790.02"/>
    <n v="2798.77"/>
    <n v="496.29"/>
    <n v="441.85"/>
    <n v="581.80999999999995"/>
    <n v="490.83"/>
    <n v="28585.01"/>
    <n v="0"/>
    <s v="None"/>
    <n v="89.92"/>
    <s v="Completed"/>
    <s v="Paid"/>
    <s v="Standard"/>
    <s v="R. Mehta"/>
    <s v="Europe"/>
    <d v="2025-10-01T00:00:00"/>
  </r>
  <r>
    <s v="SHP00084"/>
    <s v="BK50084"/>
    <d v="2025-03-19T00:00:00"/>
    <d v="2025-03-20T00:00:00"/>
    <d v="2025-03-31T00:00:00"/>
    <s v="Pfizer"/>
    <s v="Pharma"/>
    <s v="USA"/>
    <s v="Singapore"/>
    <s v="Nhava Sheva"/>
    <x v="2"/>
    <s v="OOCL Hong Kong"/>
    <s v="High Cube"/>
    <n v="1"/>
    <s v="Furniture"/>
    <n v="44221.07"/>
    <n v="13095.12"/>
    <n v="3058.25"/>
    <n v="1246.03"/>
    <n v="442.21"/>
    <n v="789.14"/>
    <n v="503.63"/>
    <n v="25086.69"/>
    <n v="4"/>
    <s v="Labor Strike"/>
    <n v="109.13"/>
    <s v="Delayed"/>
    <s v="Pending"/>
    <s v="High"/>
    <s v="L. Chen"/>
    <s v="North America"/>
    <d v="2025-03-01T00:00:00"/>
  </r>
  <r>
    <s v="SHP00468"/>
    <s v="BK50468"/>
    <d v="2025-10-18T00:00:00"/>
    <d v="2025-10-19T00:00:00"/>
    <d v="2025-11-12T00:00:00"/>
    <s v="Amazon"/>
    <s v="E-commerce"/>
    <s v="USA"/>
    <s v="Busan"/>
    <s v="Los Angeles"/>
    <x v="3"/>
    <s v="Madrid Maersk"/>
    <s v="20FT"/>
    <n v="1"/>
    <s v="Machinery"/>
    <n v="44293.03"/>
    <n v="13119"/>
    <n v="2236.9499999999998"/>
    <n v="1217.55"/>
    <n v="442.93"/>
    <n v="834.61"/>
    <n v="1931.25"/>
    <n v="24510.74"/>
    <n v="4"/>
    <s v="Weather"/>
    <n v="109.33"/>
    <s v="Delayed"/>
    <s v="Paid"/>
    <s v="Standard"/>
    <s v="R. Mehta"/>
    <s v="Europe"/>
    <d v="2025-10-01T00:00:00"/>
  </r>
  <r>
    <s v="SHP00178"/>
    <s v="BK50178"/>
    <d v="2025-01-02T00:00:00"/>
    <d v="2025-01-03T00:00:00"/>
    <d v="2025-01-28T00:00:00"/>
    <s v="Amazon"/>
    <s v="E-commerce"/>
    <s v="USA"/>
    <s v="Busan"/>
    <s v="Los Angeles"/>
    <x v="3"/>
    <s v="Monaco Maersk"/>
    <s v="20FT"/>
    <n v="2"/>
    <s v="Electronics"/>
    <n v="44410.76"/>
    <n v="9328.16"/>
    <n v="3502.02"/>
    <n v="721.15"/>
    <n v="444.11"/>
    <n v="850.24"/>
    <n v="2210.77"/>
    <n v="27354.31"/>
    <n v="0"/>
    <s v="None"/>
    <n v="77.73"/>
    <s v="Completed"/>
    <s v="Pending"/>
    <s v="Standard"/>
    <s v="A. Tan"/>
    <s v="Europe"/>
    <d v="2025-01-01T00:00:00"/>
  </r>
  <r>
    <s v="SHP00416"/>
    <s v="BK50416"/>
    <d v="2025-09-24T00:00:00"/>
    <d v="2025-09-27T00:00:00"/>
    <d v="2025-10-16T00:00:00"/>
    <s v="Siemens"/>
    <s v="Engineering"/>
    <s v="Germany"/>
    <s v="Colombo"/>
    <s v="Singapore"/>
    <x v="4"/>
    <s v="OOCL Hong Kong"/>
    <s v="40FT"/>
    <n v="4"/>
    <s v="Machinery"/>
    <n v="44530.06"/>
    <n v="7654.97"/>
    <n v="1952.45"/>
    <n v="663.82"/>
    <n v="445.3"/>
    <n v="582.26"/>
    <n v="1299.97"/>
    <n v="31931.29"/>
    <n v="12"/>
    <s v="Mechanical"/>
    <n v="63.79"/>
    <s v="Delayed"/>
    <s v="Paid"/>
    <s v="High"/>
    <s v="M. Ahmed"/>
    <s v="Europe"/>
    <d v="2025-09-01T00:00:00"/>
  </r>
  <r>
    <s v="SHP00933"/>
    <s v="BK50933"/>
    <d v="2025-03-06T00:00:00"/>
    <d v="2025-03-10T00:00:00"/>
    <d v="2025-04-02T00:00:00"/>
    <s v="Pfizer"/>
    <s v="Pharma"/>
    <s v="USA"/>
    <s v="Colombo"/>
    <s v="Singapore"/>
    <x v="4"/>
    <s v="Madrid Maersk"/>
    <s v="20FT"/>
    <n v="1"/>
    <s v="Machinery"/>
    <n v="44548.98"/>
    <n v="11365.05"/>
    <n v="1996.1"/>
    <n v="1199.28"/>
    <n v="445.49"/>
    <n v="358.31"/>
    <n v="895.81"/>
    <n v="28288.94"/>
    <n v="0"/>
    <s v="None"/>
    <n v="94.71"/>
    <s v="Completed"/>
    <s v="Pending"/>
    <s v="Critical"/>
    <s v="L. Chen"/>
    <s v="Europe"/>
    <d v="2025-03-01T00:00:00"/>
  </r>
  <r>
    <s v="SHP00194"/>
    <s v="BK50194"/>
    <d v="2025-08-25T00:00:00"/>
    <d v="2025-08-26T00:00:00"/>
    <d v="2025-09-14T00:00:00"/>
    <s v="Nestlé"/>
    <s v="Food"/>
    <s v="Switzerland"/>
    <s v="Singapore"/>
    <s v="Rotterdam"/>
    <x v="1"/>
    <s v="CMA CGM Jacques Saadé"/>
    <s v="Reefer"/>
    <n v="4"/>
    <s v="Auto Parts"/>
    <n v="44761.39"/>
    <n v="10245.23"/>
    <n v="3056.85"/>
    <n v="673.93"/>
    <n v="447.61"/>
    <n v="722.02"/>
    <n v="1183.29"/>
    <n v="28432.46"/>
    <n v="0"/>
    <s v="None"/>
    <n v="85.38"/>
    <s v="Completed"/>
    <s v="Paid"/>
    <s v="Critical"/>
    <s v="R. Mehta"/>
    <s v="Europe"/>
    <d v="2025-08-01T00:00:00"/>
  </r>
  <r>
    <s v="SHP00061"/>
    <s v="BK50061"/>
    <d v="2025-10-27T00:00:00"/>
    <d v="2025-10-31T00:00:00"/>
    <d v="2025-11-12T00:00:00"/>
    <s v="LG"/>
    <s v="Electronics"/>
    <s v="South Korea"/>
    <s v="Busan"/>
    <s v="Los Angeles"/>
    <x v="3"/>
    <s v="OOCL Hong Kong"/>
    <s v="High Cube"/>
    <n v="2"/>
    <s v="Auto Parts"/>
    <n v="45033.99"/>
    <n v="9349.27"/>
    <n v="2941.75"/>
    <n v="884.47"/>
    <n v="450.34"/>
    <n v="834.05"/>
    <n v="604.24"/>
    <n v="29969.87"/>
    <n v="0"/>
    <s v="None"/>
    <n v="77.91"/>
    <s v="Completed"/>
    <s v="Pending"/>
    <s v="High"/>
    <s v="A. Tan"/>
    <s v="North America"/>
    <d v="2025-10-01T00:00:00"/>
  </r>
  <r>
    <s v="SHP00705"/>
    <s v="BK50705"/>
    <d v="2025-04-22T00:00:00"/>
    <d v="2025-04-23T00:00:00"/>
    <d v="2025-05-12T00:00:00"/>
    <s v="IKEA"/>
    <s v="Retail"/>
    <s v="Sweden"/>
    <s v="Busan"/>
    <s v="Los Angeles"/>
    <x v="3"/>
    <s v="Mary Maersk"/>
    <s v="40FT"/>
    <n v="2"/>
    <s v="Textiles"/>
    <n v="45054.2"/>
    <n v="11491.95"/>
    <n v="2202.0100000000002"/>
    <n v="1332.17"/>
    <n v="450.54"/>
    <n v="130.47"/>
    <n v="597.58000000000004"/>
    <n v="28849.48"/>
    <n v="12"/>
    <s v="Labor Strike"/>
    <n v="95.77"/>
    <s v="Delayed"/>
    <s v="Paid"/>
    <s v="Critical"/>
    <s v="A. Tan"/>
    <s v="Middle East"/>
    <d v="2025-04-01T00:00:00"/>
  </r>
  <r>
    <s v="SHP00993"/>
    <s v="BK50993"/>
    <d v="2025-09-25T00:00:00"/>
    <d v="2025-09-26T00:00:00"/>
    <d v="2025-10-16T00:00:00"/>
    <s v="Toyota"/>
    <s v="Automotive"/>
    <s v="Japan"/>
    <s v="Jebel Ali"/>
    <s v="Nhava Sheva"/>
    <x v="0"/>
    <s v="Mary Maersk"/>
    <s v="20FT"/>
    <n v="2"/>
    <s v="Auto Parts"/>
    <n v="45090.49"/>
    <n v="7470.66"/>
    <n v="2671.38"/>
    <n v="750.94"/>
    <n v="450.9"/>
    <n v="298.82"/>
    <n v="1631.67"/>
    <n v="31816.12"/>
    <n v="24"/>
    <s v="Weather"/>
    <n v="62.26"/>
    <s v="Delayed"/>
    <s v="Pending"/>
    <s v="Standard"/>
    <s v="A. Tan"/>
    <s v="Europe"/>
    <d v="2025-09-01T00:00:00"/>
  </r>
  <r>
    <s v="SHP00901"/>
    <s v="BK50901"/>
    <d v="2025-01-22T00:00:00"/>
    <d v="2025-01-25T00:00:00"/>
    <d v="2025-02-20T00:00:00"/>
    <s v="Unilever"/>
    <s v="FMCG"/>
    <s v="UK"/>
    <s v="Colombo"/>
    <s v="Singapore"/>
    <x v="4"/>
    <s v="Madrid Maersk"/>
    <s v="20FT"/>
    <n v="2"/>
    <s v="Textiles"/>
    <n v="45453.83"/>
    <n v="12078.43"/>
    <n v="2900.3"/>
    <n v="575.26"/>
    <n v="454.54"/>
    <n v="699.45"/>
    <n v="1791.96"/>
    <n v="26953.89"/>
    <n v="0"/>
    <s v="None"/>
    <n v="100.65"/>
    <s v="Completed"/>
    <s v="Paid"/>
    <s v="Critical"/>
    <s v="R. Mehta"/>
    <s v="Middle East"/>
    <d v="2025-01-01T00:00:00"/>
  </r>
  <r>
    <s v="SHP00376"/>
    <s v="BK50376"/>
    <d v="2025-03-20T00:00:00"/>
    <d v="2025-03-21T00:00:00"/>
    <d v="2025-04-06T00:00:00"/>
    <s v="Bosch"/>
    <s v="Manufacturing"/>
    <s v="Germany"/>
    <s v="Singapore"/>
    <s v="Rotterdam"/>
    <x v="1"/>
    <s v="Mary Maersk"/>
    <s v="Reefer"/>
    <n v="2"/>
    <s v="Electronics"/>
    <n v="45538.59"/>
    <n v="11285.48"/>
    <n v="2127.5"/>
    <n v="472.67"/>
    <n v="455.39"/>
    <n v="556.44000000000005"/>
    <n v="1846.25"/>
    <n v="28794.86"/>
    <n v="0"/>
    <s v="None"/>
    <n v="94.05"/>
    <s v="Completed"/>
    <s v="Pending"/>
    <s v="High"/>
    <s v="A. Tan"/>
    <s v="Europe"/>
    <d v="2025-03-01T00:00:00"/>
  </r>
  <r>
    <s v="SHP00605"/>
    <s v="BK50605"/>
    <d v="2025-02-15T00:00:00"/>
    <d v="2025-02-16T00:00:00"/>
    <d v="2025-03-10T00:00:00"/>
    <s v="Siemens"/>
    <s v="Engineering"/>
    <s v="Germany"/>
    <s v="Busan"/>
    <s v="Los Angeles"/>
    <x v="3"/>
    <s v="Madrid Maersk"/>
    <s v="20FT"/>
    <n v="2"/>
    <s v="Machinery"/>
    <n v="45757.599999999999"/>
    <n v="12168.25"/>
    <n v="3160.69"/>
    <n v="1329.59"/>
    <n v="457.58"/>
    <n v="220.86"/>
    <n v="1812.05"/>
    <n v="26608.58"/>
    <n v="0"/>
    <s v="None"/>
    <n v="101.4"/>
    <s v="Completed"/>
    <s v="Paid"/>
    <s v="Critical"/>
    <s v="J. Smith"/>
    <s v="Europe"/>
    <d v="2025-02-01T00:00:00"/>
  </r>
  <r>
    <s v="SHP00354"/>
    <s v="BK50354"/>
    <d v="2025-09-18T00:00:00"/>
    <d v="2025-09-20T00:00:00"/>
    <d v="2025-10-19T00:00:00"/>
    <s v="Toyota"/>
    <s v="Automotive"/>
    <s v="Japan"/>
    <s v="Busan"/>
    <s v="Los Angeles"/>
    <x v="3"/>
    <s v="Monaco Maersk"/>
    <s v="High Cube"/>
    <n v="2"/>
    <s v="Electronics"/>
    <n v="45765.65"/>
    <n v="11091"/>
    <n v="2215.16"/>
    <n v="663.37"/>
    <n v="457.66"/>
    <n v="486.84"/>
    <n v="1067.7"/>
    <n v="29783.919999999998"/>
    <n v="36"/>
    <s v="Weather"/>
    <n v="92.42"/>
    <s v="Delayed"/>
    <s v="Paid"/>
    <s v="High"/>
    <s v="L. Chen"/>
    <s v="North America"/>
    <d v="2025-09-01T00:00:00"/>
  </r>
  <r>
    <s v="SHP00355"/>
    <s v="BK50355"/>
    <d v="2025-10-26T00:00:00"/>
    <d v="2025-10-29T00:00:00"/>
    <d v="2025-11-26T00:00:00"/>
    <s v="Reliance"/>
    <s v="Retail"/>
    <s v="India"/>
    <s v="Colombo"/>
    <s v="Nhava Sheva"/>
    <x v="2"/>
    <s v="Mary Maersk"/>
    <s v="Reefer"/>
    <n v="2"/>
    <s v="Textiles"/>
    <n v="45830.91"/>
    <n v="10205.9"/>
    <n v="3174.46"/>
    <n v="1063.44"/>
    <n v="458.31"/>
    <n v="768.6"/>
    <n v="2156.4699999999998"/>
    <n v="28003.73"/>
    <n v="0"/>
    <s v="None"/>
    <n v="85.05"/>
    <s v="Completed"/>
    <s v="Paid"/>
    <s v="Standard"/>
    <s v="J. Smith"/>
    <s v="North America"/>
    <d v="2025-10-01T00:00:00"/>
  </r>
  <r>
    <s v="SHP00362"/>
    <s v="BK50362"/>
    <d v="2025-03-18T00:00:00"/>
    <d v="2025-03-20T00:00:00"/>
    <d v="2025-04-06T00:00:00"/>
    <s v="LG"/>
    <s v="Electronics"/>
    <s v="South Korea"/>
    <s v="Rotterdam"/>
    <s v="Hamburg"/>
    <x v="2"/>
    <s v="Ever Ace"/>
    <s v="Reefer"/>
    <n v="2"/>
    <s v="Textiles"/>
    <n v="45921.33"/>
    <n v="11877.18"/>
    <n v="3302.68"/>
    <n v="954.28"/>
    <n v="459.21"/>
    <n v="806.25"/>
    <n v="496.37"/>
    <n v="28025.360000000001"/>
    <n v="12"/>
    <s v="Customs"/>
    <n v="98.98"/>
    <s v="Delayed"/>
    <s v="Pending"/>
    <s v="High"/>
    <s v="M. Ahmed"/>
    <s v="Middle East"/>
    <d v="2025-03-01T00:00:00"/>
  </r>
  <r>
    <s v="SHP00352"/>
    <s v="BK50352"/>
    <d v="2025-07-21T00:00:00"/>
    <d v="2025-07-25T00:00:00"/>
    <d v="2025-08-07T00:00:00"/>
    <s v="Reliance"/>
    <s v="Retail"/>
    <s v="India"/>
    <s v="Shanghai"/>
    <s v="Rotterdam"/>
    <x v="1"/>
    <s v="Mary Maersk"/>
    <s v="40FT"/>
    <n v="2"/>
    <s v="Furniture"/>
    <n v="45939.26"/>
    <n v="11297.44"/>
    <n v="3116.2"/>
    <n v="751.37"/>
    <n v="459.39"/>
    <n v="507.71"/>
    <n v="2489.7399999999998"/>
    <n v="27317.41"/>
    <n v="12"/>
    <s v="Customs"/>
    <n v="94.15"/>
    <s v="Delayed"/>
    <s v="Pending"/>
    <s v="Critical"/>
    <s v="M. Ahmed"/>
    <s v="Middle East"/>
    <d v="2025-07-01T00:00:00"/>
  </r>
  <r>
    <s v="SHP00550"/>
    <s v="BK50550"/>
    <d v="2025-11-11T00:00:00"/>
    <d v="2025-11-14T00:00:00"/>
    <d v="2025-12-11T00:00:00"/>
    <s v="IKEA"/>
    <s v="Retail"/>
    <s v="Sweden"/>
    <s v="Jebel Ali"/>
    <s v="Nhava Sheva"/>
    <x v="0"/>
    <s v="Monaco Maersk"/>
    <s v="High Cube"/>
    <n v="2"/>
    <s v="Food"/>
    <n v="46040.43"/>
    <n v="9935.1200000000008"/>
    <n v="2660.16"/>
    <n v="1164.4100000000001"/>
    <n v="460.4"/>
    <n v="709.89"/>
    <n v="2178.7600000000002"/>
    <n v="28931.69"/>
    <n v="8"/>
    <s v="Labor Strike"/>
    <n v="82.79"/>
    <s v="Delayed"/>
    <s v="Pending"/>
    <s v="Critical"/>
    <s v="M. Ahmed"/>
    <s v="North America"/>
    <d v="2025-11-01T00:00:00"/>
  </r>
  <r>
    <s v="SHP00247"/>
    <s v="BK50247"/>
    <d v="2025-10-16T00:00:00"/>
    <d v="2025-10-19T00:00:00"/>
    <d v="2025-11-07T00:00:00"/>
    <s v="Toyota"/>
    <s v="Automotive"/>
    <s v="Japan"/>
    <s v="Los Angeles"/>
    <s v="Nhava Sheva"/>
    <x v="2"/>
    <s v="Ever Ace"/>
    <s v="Reefer"/>
    <n v="4"/>
    <s v="Textiles"/>
    <n v="46162.080000000002"/>
    <n v="8459.3700000000008"/>
    <n v="2591.7800000000002"/>
    <n v="1007.49"/>
    <n v="461.62"/>
    <n v="642.36"/>
    <n v="326.74"/>
    <n v="32672.720000000001"/>
    <n v="0"/>
    <s v="None"/>
    <n v="70.489999999999995"/>
    <s v="Completed"/>
    <s v="Pending"/>
    <s v="Critical"/>
    <s v="R. Mehta"/>
    <s v="Asia"/>
    <d v="2025-10-01T00:00:00"/>
  </r>
  <r>
    <s v="SHP00640"/>
    <s v="BK50640"/>
    <d v="2025-07-26T00:00:00"/>
    <d v="2025-07-29T00:00:00"/>
    <d v="2025-08-19T00:00:00"/>
    <s v="Unilever"/>
    <s v="FMCG"/>
    <s v="UK"/>
    <s v="Jebel Ali"/>
    <s v="Nhava Sheva"/>
    <x v="0"/>
    <s v="Monaco Maersk"/>
    <s v="20FT"/>
    <n v="2"/>
    <s v="Machinery"/>
    <n v="46273.46"/>
    <n v="9386.35"/>
    <n v="2556.0500000000002"/>
    <n v="1146.3499999999999"/>
    <n v="462.73"/>
    <n v="516.71"/>
    <n v="2472.4299999999998"/>
    <n v="29732.84"/>
    <n v="48"/>
    <s v="Port Congestion"/>
    <n v="78.22"/>
    <s v="Delayed"/>
    <s v="Paid"/>
    <s v="Standard"/>
    <s v="R. Mehta"/>
    <s v="Asia"/>
    <d v="2025-07-01T00:00:00"/>
  </r>
  <r>
    <s v="SHP00175"/>
    <s v="BK50175"/>
    <d v="2025-05-31T00:00:00"/>
    <d v="2025-06-02T00:00:00"/>
    <d v="2025-06-29T00:00:00"/>
    <s v="Nestlé"/>
    <s v="Food"/>
    <s v="Switzerland"/>
    <s v="Shanghai"/>
    <s v="Rotterdam"/>
    <x v="1"/>
    <s v="CMA CGM Jacques Saadé"/>
    <s v="20FT"/>
    <n v="2"/>
    <s v="Machinery"/>
    <n v="46279.09"/>
    <n v="10794.68"/>
    <n v="3061.13"/>
    <n v="970.93"/>
    <n v="462.79"/>
    <n v="353.18"/>
    <n v="1593.99"/>
    <n v="29042.39"/>
    <n v="12"/>
    <s v="Customs"/>
    <n v="89.96"/>
    <s v="Delayed"/>
    <s v="Pending"/>
    <s v="Critical"/>
    <s v="A. Tan"/>
    <s v="Asia"/>
    <d v="2025-05-01T00:00:00"/>
  </r>
  <r>
    <s v="SHP00983"/>
    <s v="BK50983"/>
    <d v="2025-07-22T00:00:00"/>
    <d v="2025-07-24T00:00:00"/>
    <d v="2025-08-03T00:00:00"/>
    <s v="Pfizer"/>
    <s v="Pharma"/>
    <s v="USA"/>
    <s v="Shanghai"/>
    <s v="Rotterdam"/>
    <x v="1"/>
    <s v="CMA CGM Jacques Saadé"/>
    <s v="20FT"/>
    <n v="2"/>
    <s v="Food"/>
    <n v="46353.04"/>
    <n v="9113.17"/>
    <n v="2488.85"/>
    <n v="1388.05"/>
    <n v="463.53"/>
    <n v="861.46"/>
    <n v="2424.4"/>
    <n v="29613.58"/>
    <n v="0"/>
    <s v="None"/>
    <n v="75.94"/>
    <s v="Completed"/>
    <s v="Paid"/>
    <s v="Standard"/>
    <s v="J. Smith"/>
    <s v="Asia"/>
    <d v="2025-07-01T00:00:00"/>
  </r>
  <r>
    <s v="SHP00095"/>
    <s v="BK50095"/>
    <d v="2025-06-11T00:00:00"/>
    <d v="2025-06-14T00:00:00"/>
    <d v="2025-07-01T00:00:00"/>
    <s v="Nestlé"/>
    <s v="Food"/>
    <s v="Switzerland"/>
    <s v="Singapore"/>
    <s v="Rotterdam"/>
    <x v="1"/>
    <s v="OOCL Hong Kong"/>
    <s v="20FT"/>
    <n v="2"/>
    <s v="Furniture"/>
    <n v="46469.62"/>
    <n v="12193.86"/>
    <n v="3656.51"/>
    <n v="947.21"/>
    <n v="464.7"/>
    <n v="477.8"/>
    <n v="1451.06"/>
    <n v="27278.48"/>
    <n v="48"/>
    <s v="Port Congestion"/>
    <n v="101.62"/>
    <s v="Delayed"/>
    <s v="Pending"/>
    <s v="High"/>
    <s v="R. Mehta"/>
    <s v="Europe"/>
    <d v="2025-06-01T00:00:00"/>
  </r>
  <r>
    <s v="SHP00487"/>
    <s v="BK50487"/>
    <d v="2025-05-01T00:00:00"/>
    <d v="2025-05-02T00:00:00"/>
    <d v="2025-05-19T00:00:00"/>
    <s v="Nestlé"/>
    <s v="Food"/>
    <s v="Switzerland"/>
    <s v="Colombo"/>
    <s v="Los Angeles"/>
    <x v="2"/>
    <s v="Mary Maersk"/>
    <s v="40FT"/>
    <n v="2"/>
    <s v="Electronics"/>
    <n v="46694.34"/>
    <n v="11013.22"/>
    <n v="2563.89"/>
    <n v="845.04"/>
    <n v="466.94"/>
    <n v="132.11000000000001"/>
    <n v="2477.48"/>
    <n v="29195.66"/>
    <n v="0"/>
    <s v="None"/>
    <n v="91.78"/>
    <s v="Completed"/>
    <s v="Pending"/>
    <s v="Standard"/>
    <s v="M. Ahmed"/>
    <s v="Asia"/>
    <d v="2025-05-01T00:00:00"/>
  </r>
  <r>
    <s v="SHP00748"/>
    <s v="BK50748"/>
    <d v="2025-11-02T00:00:00"/>
    <d v="2025-11-04T00:00:00"/>
    <d v="2025-11-30T00:00:00"/>
    <s v="Pfizer"/>
    <s v="Pharma"/>
    <s v="USA"/>
    <s v="Colombo"/>
    <s v="Singapore"/>
    <x v="4"/>
    <s v="OOCL Hong Kong"/>
    <s v="40FT"/>
    <n v="2"/>
    <s v="Chemicals"/>
    <n v="46807.45"/>
    <n v="12147.41"/>
    <n v="2302.36"/>
    <n v="840.16"/>
    <n v="468.07"/>
    <n v="651.66999999999996"/>
    <n v="1478.92"/>
    <n v="28918.86"/>
    <n v="12"/>
    <s v="Labor Strike"/>
    <n v="101.23"/>
    <s v="Delayed"/>
    <s v="Paid"/>
    <s v="Critical"/>
    <s v="J. Smith"/>
    <s v="North America"/>
    <d v="2025-11-01T00:00:00"/>
  </r>
  <r>
    <s v="SHP00335"/>
    <s v="BK50335"/>
    <d v="2025-11-30T00:00:00"/>
    <d v="2025-12-02T00:00:00"/>
    <d v="2025-12-17T00:00:00"/>
    <s v="LG"/>
    <s v="Electronics"/>
    <s v="South Korea"/>
    <s v="Jebel Ali"/>
    <s v="Nhava Sheva"/>
    <x v="0"/>
    <s v="OOCL Hong Kong"/>
    <s v="40FT"/>
    <n v="2"/>
    <s v="Textiles"/>
    <n v="47037.18"/>
    <n v="13999.68"/>
    <n v="3749.42"/>
    <n v="895.96"/>
    <n v="470.37"/>
    <n v="131.79"/>
    <n v="1619.77"/>
    <n v="26170.19"/>
    <n v="4"/>
    <s v="Port Congestion"/>
    <n v="116.66"/>
    <s v="Delayed"/>
    <s v="Pending"/>
    <s v="Critical"/>
    <s v="M. Ahmed"/>
    <s v="Middle East"/>
    <d v="2025-11-01T00:00:00"/>
  </r>
  <r>
    <s v="SHP00774"/>
    <s v="BK50774"/>
    <d v="2025-12-26T00:00:00"/>
    <d v="2025-12-27T00:00:00"/>
    <d v="2026-01-08T00:00:00"/>
    <s v="Bosch"/>
    <s v="Manufacturing"/>
    <s v="Germany"/>
    <s v="Shanghai"/>
    <s v="Rotterdam"/>
    <x v="1"/>
    <s v="Monaco Maersk"/>
    <s v="High Cube"/>
    <n v="2"/>
    <s v="Food"/>
    <n v="47049.47"/>
    <n v="13440.69"/>
    <n v="3262.28"/>
    <n v="908.41"/>
    <n v="470.49"/>
    <n v="412.98"/>
    <n v="1847.41"/>
    <n v="26707.21"/>
    <n v="8"/>
    <s v="Mechanical"/>
    <n v="112.01"/>
    <s v="Delayed"/>
    <s v="Paid"/>
    <s v="Critical"/>
    <s v="L. Chen"/>
    <s v="Asia"/>
    <d v="2025-12-01T00:00:00"/>
  </r>
  <r>
    <s v="SHP00290"/>
    <s v="BK50290"/>
    <d v="2025-10-30T00:00:00"/>
    <d v="2025-11-03T00:00:00"/>
    <d v="2025-11-18T00:00:00"/>
    <s v="Amazon"/>
    <s v="E-commerce"/>
    <s v="USA"/>
    <s v="Jebel Ali"/>
    <s v="Nhava Sheva"/>
    <x v="0"/>
    <s v="OOCL Hong Kong"/>
    <s v="High Cube"/>
    <n v="2"/>
    <s v="Furniture"/>
    <n v="47267.43"/>
    <n v="12662.99"/>
    <n v="3451.93"/>
    <n v="1093.75"/>
    <n v="472.67"/>
    <n v="892.67"/>
    <n v="1902.55"/>
    <n v="26790.87"/>
    <n v="8"/>
    <s v="Customs"/>
    <n v="105.52"/>
    <s v="Delayed"/>
    <s v="Paid"/>
    <s v="High"/>
    <s v="M. Ahmed"/>
    <s v="North America"/>
    <d v="2025-10-01T00:00:00"/>
  </r>
  <r>
    <s v="SHP00347"/>
    <s v="BK50347"/>
    <d v="2025-10-25T00:00:00"/>
    <d v="2025-10-26T00:00:00"/>
    <d v="2025-11-15T00:00:00"/>
    <s v="Reliance"/>
    <s v="Retail"/>
    <s v="India"/>
    <s v="New York"/>
    <s v="Rotterdam"/>
    <x v="2"/>
    <s v="CMA CGM Jacques Saadé"/>
    <s v="High Cube"/>
    <n v="4"/>
    <s v="Auto Parts"/>
    <n v="47395.1"/>
    <n v="12332.83"/>
    <n v="3768.2"/>
    <n v="719.61"/>
    <n v="473.95"/>
    <n v="139.63999999999999"/>
    <n v="703.9"/>
    <n v="29256.97"/>
    <n v="36"/>
    <s v="Port Congestion"/>
    <n v="102.77"/>
    <s v="Delayed"/>
    <s v="Paid"/>
    <s v="Critical"/>
    <s v="J. Smith"/>
    <s v="Middle East"/>
    <d v="2025-10-01T00:00:00"/>
  </r>
  <r>
    <s v="SHP00819"/>
    <s v="BK50819"/>
    <d v="2025-09-20T00:00:00"/>
    <d v="2025-09-23T00:00:00"/>
    <d v="2025-10-20T00:00:00"/>
    <s v="Nestlé"/>
    <s v="Food"/>
    <s v="Switzerland"/>
    <s v="New York"/>
    <s v="Busan"/>
    <x v="2"/>
    <s v="MSC Gülsün"/>
    <s v="20FT"/>
    <n v="2"/>
    <s v="Textiles"/>
    <n v="47640.77"/>
    <n v="10117.61"/>
    <n v="3736.63"/>
    <n v="1230.58"/>
    <n v="476.41"/>
    <n v="553.82000000000005"/>
    <n v="1410.88"/>
    <n v="30114.84"/>
    <n v="12"/>
    <s v="Customs"/>
    <n v="84.31"/>
    <s v="Delayed"/>
    <s v="Paid"/>
    <s v="High"/>
    <s v="M. Ahmed"/>
    <s v="Middle East"/>
    <d v="2025-09-01T00:00:00"/>
  </r>
  <r>
    <s v="SHP00230"/>
    <s v="BK50230"/>
    <d v="2025-02-10T00:00:00"/>
    <d v="2025-02-13T00:00:00"/>
    <d v="2025-03-09T00:00:00"/>
    <s v="Unilever"/>
    <s v="FMCG"/>
    <s v="UK"/>
    <s v="Jebel Ali"/>
    <s v="Nhava Sheva"/>
    <x v="0"/>
    <s v="Monaco Maersk"/>
    <s v="40FT"/>
    <n v="4"/>
    <s v="Chemicals"/>
    <n v="47656.06"/>
    <n v="12202.29"/>
    <n v="3567.08"/>
    <n v="512.05999999999995"/>
    <n v="476.56"/>
    <n v="508.31"/>
    <n v="360.16"/>
    <n v="30029.599999999999"/>
    <n v="8"/>
    <s v="Customs"/>
    <n v="101.69"/>
    <s v="Delayed"/>
    <s v="Paid"/>
    <s v="High"/>
    <s v="A. Tan"/>
    <s v="Europe"/>
    <d v="2025-02-01T00:00:00"/>
  </r>
  <r>
    <s v="SHP00832"/>
    <s v="BK50832"/>
    <d v="2025-10-08T00:00:00"/>
    <d v="2025-10-12T00:00:00"/>
    <d v="2025-10-23T00:00:00"/>
    <s v="Adidas"/>
    <s v="Retail"/>
    <s v="Germany"/>
    <s v="Jebel Ali"/>
    <s v="Jebel Ali"/>
    <x v="2"/>
    <s v="Madrid Maersk"/>
    <s v="Reefer"/>
    <n v="2"/>
    <s v="Furniture"/>
    <n v="47821.5"/>
    <n v="9110.9699999999993"/>
    <n v="2818.29"/>
    <n v="1012.95"/>
    <n v="478.22"/>
    <n v="848.15"/>
    <n v="695.11"/>
    <n v="32857.81"/>
    <n v="0"/>
    <s v="None"/>
    <n v="75.92"/>
    <s v="Completed"/>
    <s v="Paid"/>
    <s v="Standard"/>
    <s v="M. Ahmed"/>
    <s v="North America"/>
    <d v="2025-10-01T00:00:00"/>
  </r>
  <r>
    <s v="SHP00493"/>
    <s v="BK50493"/>
    <d v="2025-04-04T00:00:00"/>
    <d v="2025-04-05T00:00:00"/>
    <d v="2025-04-30T00:00:00"/>
    <s v="Adidas"/>
    <s v="Retail"/>
    <s v="Germany"/>
    <s v="Colombo"/>
    <s v="Singapore"/>
    <x v="4"/>
    <s v="Mary Maersk"/>
    <s v="Reefer"/>
    <n v="2"/>
    <s v="Textiles"/>
    <n v="47908.94"/>
    <n v="11108.21"/>
    <n v="2735.31"/>
    <n v="568.41"/>
    <n v="479.09"/>
    <n v="666.42"/>
    <n v="652.02"/>
    <n v="31699.48"/>
    <n v="0"/>
    <s v="None"/>
    <n v="92.57"/>
    <s v="Completed"/>
    <s v="Paid"/>
    <s v="Standard"/>
    <s v="A. Tan"/>
    <s v="Middle East"/>
    <d v="2025-04-01T00:00:00"/>
  </r>
  <r>
    <s v="SHP00576"/>
    <s v="BK50576"/>
    <d v="2025-11-08T00:00:00"/>
    <d v="2025-11-09T00:00:00"/>
    <d v="2025-11-30T00:00:00"/>
    <s v="Unilever"/>
    <s v="FMCG"/>
    <s v="UK"/>
    <s v="Singapore"/>
    <s v="New York"/>
    <x v="2"/>
    <s v="Mary Maersk"/>
    <s v="High Cube"/>
    <n v="4"/>
    <s v="Furniture"/>
    <n v="47920.38"/>
    <n v="10956.62"/>
    <n v="2346.84"/>
    <n v="1284.07"/>
    <n v="479.2"/>
    <n v="571.88"/>
    <n v="518.42999999999995"/>
    <n v="31763.34"/>
    <n v="0"/>
    <s v="None"/>
    <n v="91.31"/>
    <s v="Completed"/>
    <s v="Paid"/>
    <s v="Standard"/>
    <s v="L. Chen"/>
    <s v="Asia"/>
    <d v="2025-11-01T00:00:00"/>
  </r>
  <r>
    <s v="SHP00660"/>
    <s v="BK50660"/>
    <d v="2025-02-01T00:00:00"/>
    <d v="2025-02-04T00:00:00"/>
    <d v="2025-02-20T00:00:00"/>
    <s v="Samsung"/>
    <s v="Electronics"/>
    <s v="South Korea"/>
    <s v="New York"/>
    <s v="Singapore"/>
    <x v="2"/>
    <s v="OOCL Hong Kong"/>
    <s v="40FT"/>
    <n v="4"/>
    <s v="Textiles"/>
    <n v="47926.87"/>
    <n v="11974.52"/>
    <n v="2307.86"/>
    <n v="957.21"/>
    <n v="479.27"/>
    <n v="575.91999999999996"/>
    <n v="2485.08"/>
    <n v="29147.01"/>
    <n v="24"/>
    <s v="Weather"/>
    <n v="99.79"/>
    <s v="Delayed"/>
    <s v="Paid"/>
    <s v="Standard"/>
    <s v="R. Mehta"/>
    <s v="Middle East"/>
    <d v="2025-02-01T00:00:00"/>
  </r>
  <r>
    <s v="SHP00554"/>
    <s v="BK50554"/>
    <d v="2025-07-14T00:00:00"/>
    <d v="2025-07-16T00:00:00"/>
    <d v="2025-08-13T00:00:00"/>
    <s v="Adidas"/>
    <s v="Retail"/>
    <s v="Germany"/>
    <s v="Colombo"/>
    <s v="Singapore"/>
    <x v="4"/>
    <s v="Ever Ace"/>
    <s v="40FT"/>
    <n v="2"/>
    <s v="Electronics"/>
    <n v="48019.97"/>
    <n v="13922.87"/>
    <n v="2267"/>
    <n v="481.36"/>
    <n v="480.2"/>
    <n v="375.19"/>
    <n v="1375.53"/>
    <n v="29117.82"/>
    <n v="0"/>
    <s v="None"/>
    <n v="116.02"/>
    <s v="Completed"/>
    <s v="Paid"/>
    <s v="Critical"/>
    <s v="L. Chen"/>
    <s v="Europe"/>
    <d v="2025-07-01T00:00:00"/>
  </r>
  <r>
    <s v="SHP00156"/>
    <s v="BK50156"/>
    <d v="2025-11-30T00:00:00"/>
    <d v="2025-12-02T00:00:00"/>
    <d v="2025-12-26T00:00:00"/>
    <s v="Pfizer"/>
    <s v="Pharma"/>
    <s v="USA"/>
    <s v="Colombo"/>
    <s v="Singapore"/>
    <x v="4"/>
    <s v="Mary Maersk"/>
    <s v="High Cube"/>
    <n v="2"/>
    <s v="Electronics"/>
    <n v="48197.08"/>
    <n v="11803.4"/>
    <n v="3446.04"/>
    <n v="1340.48"/>
    <n v="481.97"/>
    <n v="596.23"/>
    <n v="1336.89"/>
    <n v="29192.07"/>
    <n v="0"/>
    <s v="None"/>
    <n v="98.36"/>
    <s v="Completed"/>
    <s v="Paid"/>
    <s v="High"/>
    <s v="M. Ahmed"/>
    <s v="Asia"/>
    <d v="2025-11-01T00:00:00"/>
  </r>
  <r>
    <s v="SHP00259"/>
    <s v="BK50259"/>
    <d v="2025-03-05T00:00:00"/>
    <d v="2025-03-08T00:00:00"/>
    <d v="2025-03-31T00:00:00"/>
    <s v="Siemens"/>
    <s v="Engineering"/>
    <s v="Germany"/>
    <s v="Jebel Ali"/>
    <s v="Nhava Sheva"/>
    <x v="0"/>
    <s v="Ever Ace"/>
    <s v="20FT"/>
    <n v="2"/>
    <s v="Auto Parts"/>
    <n v="48349.43"/>
    <n v="13463.68"/>
    <n v="2608.64"/>
    <n v="1018.74"/>
    <n v="483.49"/>
    <n v="790.07"/>
    <n v="2498.0500000000002"/>
    <n v="27486.76"/>
    <n v="0"/>
    <s v="None"/>
    <n v="112.2"/>
    <s v="Completed"/>
    <s v="Pending"/>
    <s v="Critical"/>
    <s v="A. Tan"/>
    <s v="North America"/>
    <d v="2025-03-01T00:00:00"/>
  </r>
  <r>
    <s v="SHP00474"/>
    <s v="BK50474"/>
    <d v="2025-01-07T00:00:00"/>
    <d v="2025-01-08T00:00:00"/>
    <d v="2025-01-21T00:00:00"/>
    <s v="Reliance"/>
    <s v="Retail"/>
    <s v="India"/>
    <s v="Colombo"/>
    <s v="Singapore"/>
    <x v="4"/>
    <s v="Monaco Maersk"/>
    <s v="High Cube"/>
    <n v="2"/>
    <s v="Auto Parts"/>
    <n v="48534.64"/>
    <n v="11816"/>
    <n v="3113.56"/>
    <n v="548.13"/>
    <n v="485.35"/>
    <n v="492.61"/>
    <n v="1179.44"/>
    <n v="30899.55"/>
    <n v="0"/>
    <s v="None"/>
    <n v="98.47"/>
    <s v="Completed"/>
    <s v="Paid"/>
    <s v="Standard"/>
    <s v="R. Mehta"/>
    <s v="Europe"/>
    <d v="2025-01-01T00:00:00"/>
  </r>
  <r>
    <s v="SHP00326"/>
    <s v="BK50326"/>
    <d v="2025-05-02T00:00:00"/>
    <d v="2025-05-06T00:00:00"/>
    <d v="2025-05-21T00:00:00"/>
    <s v="Adidas"/>
    <s v="Retail"/>
    <s v="Germany"/>
    <s v="Busan"/>
    <s v="Los Angeles"/>
    <x v="3"/>
    <s v="Madrid Maersk"/>
    <s v="20FT"/>
    <n v="2"/>
    <s v="Auto Parts"/>
    <n v="48610.400000000001"/>
    <n v="10678.78"/>
    <n v="3510.62"/>
    <n v="827.29"/>
    <n v="486.1"/>
    <n v="504.07"/>
    <n v="2037.81"/>
    <n v="30565.73"/>
    <n v="4"/>
    <s v="Port Congestion"/>
    <n v="88.99"/>
    <s v="Delayed"/>
    <s v="Paid"/>
    <s v="Standard"/>
    <s v="R. Mehta"/>
    <s v="North America"/>
    <d v="2025-05-01T00:00:00"/>
  </r>
  <r>
    <s v="SHP00276"/>
    <s v="BK50276"/>
    <d v="2025-01-13T00:00:00"/>
    <d v="2025-01-17T00:00:00"/>
    <d v="2025-02-12T00:00:00"/>
    <s v="Samsung"/>
    <s v="Electronics"/>
    <s v="South Korea"/>
    <s v="Shanghai"/>
    <s v="Rotterdam"/>
    <x v="1"/>
    <s v="Mumbai Maersk"/>
    <s v="20FT"/>
    <n v="2"/>
    <s v="Auto Parts"/>
    <n v="48667.23"/>
    <n v="10950.02"/>
    <n v="2530.1"/>
    <n v="1007.61"/>
    <n v="486.67"/>
    <n v="525.85"/>
    <n v="535.35"/>
    <n v="32631.63"/>
    <n v="36"/>
    <s v="Port Congestion"/>
    <n v="91.25"/>
    <s v="Delayed"/>
    <s v="Paid"/>
    <s v="High"/>
    <s v="A. Tan"/>
    <s v="Middle East"/>
    <d v="2025-01-01T00:00:00"/>
  </r>
  <r>
    <s v="SHP00600"/>
    <s v="BK50600"/>
    <d v="2025-11-05T00:00:00"/>
    <d v="2025-11-09T00:00:00"/>
    <d v="2025-11-25T00:00:00"/>
    <s v="Adidas"/>
    <s v="Retail"/>
    <s v="Germany"/>
    <s v="Colombo"/>
    <s v="Singapore"/>
    <x v="4"/>
    <s v="MSC Gülsün"/>
    <s v="High Cube"/>
    <n v="2"/>
    <s v="Machinery"/>
    <n v="48871.22"/>
    <n v="10016.09"/>
    <n v="1981.03"/>
    <n v="1435.26"/>
    <n v="488.71"/>
    <n v="364.04"/>
    <n v="433.61"/>
    <n v="34152.480000000003"/>
    <n v="0"/>
    <s v="None"/>
    <n v="83.47"/>
    <s v="Completed"/>
    <s v="Pending"/>
    <s v="Critical"/>
    <s v="M. Ahmed"/>
    <s v="Middle East"/>
    <d v="2025-11-01T00:00:00"/>
  </r>
  <r>
    <s v="SHP00466"/>
    <s v="BK50466"/>
    <d v="2025-10-03T00:00:00"/>
    <d v="2025-10-05T00:00:00"/>
    <d v="2025-10-16T00:00:00"/>
    <s v="Toyota"/>
    <s v="Automotive"/>
    <s v="Japan"/>
    <s v="Jebel Ali"/>
    <s v="Nhava Sheva"/>
    <x v="0"/>
    <s v="OOCL Hong Kong"/>
    <s v="20FT"/>
    <n v="4"/>
    <s v="Auto Parts"/>
    <n v="48909.57"/>
    <n v="8215.69"/>
    <n v="2457.5"/>
    <n v="1316.62"/>
    <n v="489.1"/>
    <n v="103"/>
    <n v="1917.88"/>
    <n v="34409.78"/>
    <n v="0"/>
    <s v="None"/>
    <n v="68.459999999999994"/>
    <s v="Completed"/>
    <s v="Pending"/>
    <s v="High"/>
    <s v="R. Mehta"/>
    <s v="Asia"/>
    <d v="2025-10-01T00:00:00"/>
  </r>
  <r>
    <s v="SHP00517"/>
    <s v="BK50517"/>
    <d v="2025-11-07T00:00:00"/>
    <d v="2025-11-09T00:00:00"/>
    <d v="2025-11-20T00:00:00"/>
    <s v="Siemens"/>
    <s v="Engineering"/>
    <s v="Germany"/>
    <s v="Shanghai"/>
    <s v="Busan"/>
    <x v="2"/>
    <s v="OOCL Hong Kong"/>
    <s v="High Cube"/>
    <n v="2"/>
    <s v="Auto Parts"/>
    <n v="48964.33"/>
    <n v="11073.08"/>
    <n v="3817.21"/>
    <n v="1449.04"/>
    <n v="489.64"/>
    <n v="828.01"/>
    <n v="1229.96"/>
    <n v="30077.39"/>
    <n v="0"/>
    <s v="None"/>
    <n v="92.28"/>
    <s v="Completed"/>
    <s v="Pending"/>
    <s v="Standard"/>
    <s v="R. Mehta"/>
    <s v="Asia"/>
    <d v="2025-11-01T00:00:00"/>
  </r>
  <r>
    <s v="SHP00051"/>
    <s v="BK50051"/>
    <d v="2025-06-17T00:00:00"/>
    <d v="2025-06-20T00:00:00"/>
    <d v="2025-07-03T00:00:00"/>
    <s v="Bosch"/>
    <s v="Manufacturing"/>
    <s v="Germany"/>
    <s v="Colombo"/>
    <s v="Singapore"/>
    <x v="4"/>
    <s v="MSC Gülsün"/>
    <s v="40FT"/>
    <n v="2"/>
    <s v="Food"/>
    <n v="48991.85"/>
    <n v="10933.9"/>
    <n v="2125.0500000000002"/>
    <n v="843.5"/>
    <n v="489.92"/>
    <n v="524.41"/>
    <n v="2098.44"/>
    <n v="31976.63"/>
    <n v="48"/>
    <s v="Mechanical"/>
    <n v="91.12"/>
    <s v="Delayed"/>
    <s v="Paid"/>
    <s v="Standard"/>
    <s v="J. Smith"/>
    <s v="Middle East"/>
    <d v="2025-06-01T00:00:00"/>
  </r>
  <r>
    <s v="SHP00003"/>
    <s v="BK50003"/>
    <d v="2025-12-21T00:00:00"/>
    <d v="2025-12-24T00:00:00"/>
    <d v="2026-01-04T00:00:00"/>
    <s v="Samsung"/>
    <s v="Electronics"/>
    <s v="South Korea"/>
    <s v="Jebel Ali"/>
    <s v="Nhava Sheva"/>
    <x v="0"/>
    <s v="Ever Ace"/>
    <s v="40FT"/>
    <n v="4"/>
    <s v="Machinery"/>
    <n v="49247.29"/>
    <n v="13881.31"/>
    <n v="2247.5100000000002"/>
    <n v="498.97"/>
    <n v="492.47"/>
    <n v="241.6"/>
    <n v="1652.17"/>
    <n v="30233.26"/>
    <n v="4"/>
    <s v="Mechanical"/>
    <n v="115.68"/>
    <s v="Delayed"/>
    <s v="Pending"/>
    <s v="High"/>
    <s v="A. Tan"/>
    <s v="Middle East"/>
    <d v="2025-12-01T00:00:00"/>
  </r>
  <r>
    <s v="SHP00448"/>
    <s v="BK50448"/>
    <d v="2025-02-28T00:00:00"/>
    <d v="2025-03-02T00:00:00"/>
    <d v="2025-03-17T00:00:00"/>
    <s v="Amazon"/>
    <s v="E-commerce"/>
    <s v="USA"/>
    <s v="Shanghai"/>
    <s v="Rotterdam"/>
    <x v="1"/>
    <s v="Mumbai Maersk"/>
    <s v="40FT"/>
    <n v="2"/>
    <s v="Furniture"/>
    <n v="49283.24"/>
    <n v="8483.15"/>
    <n v="3610.44"/>
    <n v="1449.14"/>
    <n v="492.83"/>
    <n v="409.52"/>
    <n v="587.51"/>
    <n v="34250.65"/>
    <n v="8"/>
    <s v="Mechanical"/>
    <n v="70.69"/>
    <s v="Delayed"/>
    <s v="Paid"/>
    <s v="Standard"/>
    <s v="R. Mehta"/>
    <s v="Asia"/>
    <d v="2025-02-01T00:00:00"/>
  </r>
  <r>
    <s v="SHP00857"/>
    <s v="BK50857"/>
    <d v="2025-10-18T00:00:00"/>
    <d v="2025-10-22T00:00:00"/>
    <d v="2025-11-19T00:00:00"/>
    <s v="Samsung"/>
    <s v="Electronics"/>
    <s v="South Korea"/>
    <s v="Shanghai"/>
    <s v="Rotterdam"/>
    <x v="1"/>
    <s v="CMA CGM Jacques Saadé"/>
    <s v="40FT"/>
    <n v="2"/>
    <s v="Auto Parts"/>
    <n v="49609.49"/>
    <n v="9867.11"/>
    <n v="3630.27"/>
    <n v="1360.58"/>
    <n v="496.09"/>
    <n v="681.54"/>
    <n v="1125.8"/>
    <n v="32448.1"/>
    <n v="12"/>
    <s v="Weather"/>
    <n v="82.23"/>
    <s v="Delayed"/>
    <s v="Paid"/>
    <s v="Critical"/>
    <s v="L. Chen"/>
    <s v="North America"/>
    <d v="2025-10-01T00:00:00"/>
  </r>
  <r>
    <s v="SHP00159"/>
    <s v="BK50159"/>
    <d v="2025-08-25T00:00:00"/>
    <d v="2025-08-28T00:00:00"/>
    <d v="2025-09-14T00:00:00"/>
    <s v="Siemens"/>
    <s v="Engineering"/>
    <s v="Germany"/>
    <s v="Colombo"/>
    <s v="Singapore"/>
    <x v="4"/>
    <s v="MSC Gülsün"/>
    <s v="Reefer"/>
    <n v="2"/>
    <s v="Furniture"/>
    <n v="49954.9"/>
    <n v="9184.83"/>
    <n v="3587.43"/>
    <n v="1284.68"/>
    <n v="499.55"/>
    <n v="439.63"/>
    <n v="995.91"/>
    <n v="33962.870000000003"/>
    <n v="36"/>
    <s v="Mechanical"/>
    <n v="76.540000000000006"/>
    <s v="Delayed"/>
    <s v="Paid"/>
    <s v="Standard"/>
    <s v="A. Tan"/>
    <s v="Middle East"/>
    <d v="2025-08-01T00:00:00"/>
  </r>
  <r>
    <s v="SHP00047"/>
    <s v="BK50047"/>
    <d v="2025-10-07T00:00:00"/>
    <d v="2025-10-08T00:00:00"/>
    <d v="2025-10-30T00:00:00"/>
    <s v="Nestlé"/>
    <s v="Food"/>
    <s v="Switzerland"/>
    <s v="Singapore"/>
    <s v="New York"/>
    <x v="2"/>
    <s v="OOCL Hong Kong"/>
    <s v="20FT"/>
    <n v="2"/>
    <s v="Auto Parts"/>
    <n v="49962.16"/>
    <n v="9152.74"/>
    <n v="3967.64"/>
    <n v="1396.46"/>
    <n v="499.62"/>
    <n v="624.05999999999995"/>
    <n v="642.78"/>
    <n v="33678.86"/>
    <n v="0"/>
    <s v="None"/>
    <n v="76.27"/>
    <s v="Completed"/>
    <s v="Paid"/>
    <s v="Standard"/>
    <s v="M. Ahmed"/>
    <s v="North America"/>
    <d v="2025-10-01T00:00:00"/>
  </r>
  <r>
    <s v="SHP00475"/>
    <s v="BK50475"/>
    <d v="2025-03-08T00:00:00"/>
    <d v="2025-03-12T00:00:00"/>
    <d v="2025-03-29T00:00:00"/>
    <s v="Nestlé"/>
    <s v="Food"/>
    <s v="Switzerland"/>
    <s v="Busan"/>
    <s v="Nhava Sheva"/>
    <x v="2"/>
    <s v="Mumbai Maersk"/>
    <s v="40FT"/>
    <n v="2"/>
    <s v="Furniture"/>
    <n v="49976.27"/>
    <n v="12375.61"/>
    <n v="2175.4699999999998"/>
    <n v="899.68"/>
    <n v="499.76"/>
    <n v="732.52"/>
    <n v="322.16000000000003"/>
    <n v="32971.07"/>
    <n v="0"/>
    <s v="None"/>
    <n v="103.13"/>
    <s v="Completed"/>
    <s v="Pending"/>
    <s v="Standard"/>
    <s v="L. Chen"/>
    <s v="Europe"/>
    <d v="2025-03-01T00:00:00"/>
  </r>
  <r>
    <s v="SHP00267"/>
    <s v="BK50267"/>
    <d v="2025-08-16T00:00:00"/>
    <d v="2025-08-19T00:00:00"/>
    <d v="2025-08-30T00:00:00"/>
    <s v="Toyota"/>
    <s v="Automotive"/>
    <s v="Japan"/>
    <s v="Busan"/>
    <s v="Los Angeles"/>
    <x v="3"/>
    <s v="CMA CGM Jacques Saadé"/>
    <s v="20FT"/>
    <n v="2"/>
    <s v="Machinery"/>
    <n v="50169.7"/>
    <n v="8726.11"/>
    <n v="3811.75"/>
    <n v="1465.49"/>
    <n v="501.7"/>
    <n v="529.03"/>
    <n v="995.18"/>
    <n v="34140.44"/>
    <n v="0"/>
    <s v="None"/>
    <n v="72.72"/>
    <s v="Completed"/>
    <s v="Paid"/>
    <s v="High"/>
    <s v="R. Mehta"/>
    <s v="Asia"/>
    <d v="2025-08-01T00:00:00"/>
  </r>
  <r>
    <s v="SHP00146"/>
    <s v="BK50146"/>
    <d v="2025-05-29T00:00:00"/>
    <d v="2025-06-02T00:00:00"/>
    <d v="2025-06-29T00:00:00"/>
    <s v="Nestlé"/>
    <s v="Food"/>
    <s v="Switzerland"/>
    <s v="New York"/>
    <s v="Jebel Ali"/>
    <x v="2"/>
    <s v="Ever Ace"/>
    <s v="Reefer"/>
    <n v="2"/>
    <s v="Machinery"/>
    <n v="50317.04"/>
    <n v="13999.78"/>
    <n v="3232.51"/>
    <n v="538.94000000000005"/>
    <n v="503.17"/>
    <n v="797.88"/>
    <n v="1376.13"/>
    <n v="29868.63"/>
    <n v="4"/>
    <s v="Mechanical"/>
    <n v="116.66"/>
    <s v="Delayed"/>
    <s v="Paid"/>
    <s v="Standard"/>
    <s v="L. Chen"/>
    <s v="Middle East"/>
    <d v="2025-05-01T00:00:00"/>
  </r>
  <r>
    <s v="SHP00305"/>
    <s v="BK50305"/>
    <d v="2025-10-10T00:00:00"/>
    <d v="2025-10-13T00:00:00"/>
    <d v="2025-10-26T00:00:00"/>
    <s v="Pfizer"/>
    <s v="Pharma"/>
    <s v="USA"/>
    <s v="Busan"/>
    <s v="Los Angeles"/>
    <x v="3"/>
    <s v="MSC Gülsün"/>
    <s v="Reefer"/>
    <n v="2"/>
    <s v="Machinery"/>
    <n v="50438.73"/>
    <n v="10261.24"/>
    <n v="2245.92"/>
    <n v="879.98"/>
    <n v="504.39"/>
    <n v="383"/>
    <n v="1173.6600000000001"/>
    <n v="34990.54"/>
    <n v="36"/>
    <s v="Mechanical"/>
    <n v="85.51"/>
    <s v="Delayed"/>
    <s v="Pending"/>
    <s v="Standard"/>
    <s v="L. Chen"/>
    <s v="North America"/>
    <d v="2025-10-01T00:00:00"/>
  </r>
  <r>
    <s v="SHP00465"/>
    <s v="BK50465"/>
    <d v="2025-12-26T00:00:00"/>
    <d v="2025-12-30T00:00:00"/>
    <d v="2026-01-25T00:00:00"/>
    <s v="Samsung"/>
    <s v="Electronics"/>
    <s v="South Korea"/>
    <s v="Hamburg"/>
    <s v="Los Angeles"/>
    <x v="2"/>
    <s v="Mumbai Maersk"/>
    <s v="Reefer"/>
    <n v="4"/>
    <s v="Food"/>
    <n v="50476.7"/>
    <n v="15079.18"/>
    <n v="2117.7399999999998"/>
    <n v="792.93"/>
    <n v="504.77"/>
    <n v="772.44"/>
    <n v="1709.84"/>
    <n v="29499.8"/>
    <n v="4"/>
    <s v="Mechanical"/>
    <n v="125.66"/>
    <s v="Delayed"/>
    <s v="Paid"/>
    <s v="Critical"/>
    <s v="A. Tan"/>
    <s v="Europe"/>
    <d v="2025-12-01T00:00:00"/>
  </r>
  <r>
    <s v="SHP00898"/>
    <s v="BK50898"/>
    <d v="2025-05-31T00:00:00"/>
    <d v="2025-06-03T00:00:00"/>
    <d v="2025-06-22T00:00:00"/>
    <s v="Bosch"/>
    <s v="Manufacturing"/>
    <s v="Germany"/>
    <s v="Jebel Ali"/>
    <s v="Nhava Sheva"/>
    <x v="0"/>
    <s v="OOCL Hong Kong"/>
    <s v="20FT"/>
    <n v="2"/>
    <s v="Chemicals"/>
    <n v="50510.01"/>
    <n v="11445.95"/>
    <n v="3326.06"/>
    <n v="728.92"/>
    <n v="505.1"/>
    <n v="275.08999999999997"/>
    <n v="1286.93"/>
    <n v="32941.96"/>
    <n v="12"/>
    <s v="Port Congestion"/>
    <n v="95.38"/>
    <s v="Delayed"/>
    <s v="Pending"/>
    <s v="Standard"/>
    <s v="L. Chen"/>
    <s v="Middle East"/>
    <d v="2025-05-01T00:00:00"/>
  </r>
  <r>
    <s v="SHP00612"/>
    <s v="BK50612"/>
    <d v="2025-06-14T00:00:00"/>
    <d v="2025-06-18T00:00:00"/>
    <d v="2025-07-02T00:00:00"/>
    <s v="Amazon"/>
    <s v="E-commerce"/>
    <s v="USA"/>
    <s v="Shanghai"/>
    <s v="Rotterdam"/>
    <x v="1"/>
    <s v="CMA CGM Jacques Saadé"/>
    <s v="High Cube"/>
    <n v="4"/>
    <s v="Machinery"/>
    <n v="50619.41"/>
    <n v="13628.65"/>
    <n v="3690.6"/>
    <n v="1488.67"/>
    <n v="506.19"/>
    <n v="328.79"/>
    <n v="576.45000000000005"/>
    <n v="30400.06"/>
    <n v="8"/>
    <s v="Labor Strike"/>
    <n v="113.57"/>
    <s v="Delayed"/>
    <s v="Paid"/>
    <s v="Critical"/>
    <s v="L. Chen"/>
    <s v="Middle East"/>
    <d v="2025-06-01T00:00:00"/>
  </r>
  <r>
    <s v="SHP00123"/>
    <s v="BK50123"/>
    <d v="2025-10-27T00:00:00"/>
    <d v="2025-10-30T00:00:00"/>
    <d v="2025-11-18T00:00:00"/>
    <s v="LG"/>
    <s v="Electronics"/>
    <s v="South Korea"/>
    <s v="Singapore"/>
    <s v="Rotterdam"/>
    <x v="1"/>
    <s v="Madrid Maersk"/>
    <s v="40FT"/>
    <n v="2"/>
    <s v="Food"/>
    <n v="50781.83"/>
    <n v="14155.16"/>
    <n v="3907.21"/>
    <n v="1087.71"/>
    <n v="507.82"/>
    <n v="114.38"/>
    <n v="1528.18"/>
    <n v="29481.37"/>
    <n v="4"/>
    <s v="Customs"/>
    <n v="117.96"/>
    <s v="Delayed"/>
    <s v="Paid"/>
    <s v="Standard"/>
    <s v="M. Ahmed"/>
    <s v="Middle East"/>
    <d v="2025-10-01T00:00:00"/>
  </r>
  <r>
    <s v="SHP00907"/>
    <s v="BK50907"/>
    <d v="2025-01-13T00:00:00"/>
    <d v="2025-01-17T00:00:00"/>
    <d v="2025-02-03T00:00:00"/>
    <s v="Toyota"/>
    <s v="Automotive"/>
    <s v="Japan"/>
    <s v="Singapore"/>
    <s v="Rotterdam"/>
    <x v="1"/>
    <s v="MSC Gülsün"/>
    <s v="40FT"/>
    <n v="4"/>
    <s v="Textiles"/>
    <n v="50795.12"/>
    <n v="15199.77"/>
    <n v="2587.1"/>
    <n v="1394.96"/>
    <n v="507.95"/>
    <n v="687.11"/>
    <n v="1542.43"/>
    <n v="28875.8"/>
    <n v="12"/>
    <s v="Weather"/>
    <n v="126.66"/>
    <s v="Delayed"/>
    <s v="Pending"/>
    <s v="High"/>
    <s v="A. Tan"/>
    <s v="Europe"/>
    <d v="2025-01-01T00:00:00"/>
  </r>
  <r>
    <s v="SHP00906"/>
    <s v="BK50906"/>
    <d v="2025-05-07T00:00:00"/>
    <d v="2025-05-09T00:00:00"/>
    <d v="2025-05-20T00:00:00"/>
    <s v="Pfizer"/>
    <s v="Pharma"/>
    <s v="USA"/>
    <s v="Shanghai"/>
    <s v="Rotterdam"/>
    <x v="1"/>
    <s v="Ever Ace"/>
    <s v="20FT"/>
    <n v="2"/>
    <s v="Textiles"/>
    <n v="50885.51"/>
    <n v="14268.01"/>
    <n v="2932.14"/>
    <n v="1516.16"/>
    <n v="508.86"/>
    <n v="356.15"/>
    <n v="2123.75"/>
    <n v="29180.44"/>
    <n v="24"/>
    <s v="Labor Strike"/>
    <n v="118.9"/>
    <s v="Delayed"/>
    <s v="Pending"/>
    <s v="High"/>
    <s v="R. Mehta"/>
    <s v="Europe"/>
    <d v="2025-05-01T00:00:00"/>
  </r>
  <r>
    <s v="SHP00280"/>
    <s v="BK50280"/>
    <d v="2025-07-01T00:00:00"/>
    <d v="2025-07-04T00:00:00"/>
    <d v="2025-07-19T00:00:00"/>
    <s v="Adidas"/>
    <s v="Retail"/>
    <s v="Germany"/>
    <s v="Shanghai"/>
    <s v="Rotterdam"/>
    <x v="1"/>
    <s v="OOCL Hong Kong"/>
    <s v="20FT"/>
    <n v="2"/>
    <s v="Textiles"/>
    <n v="51104.160000000003"/>
    <n v="10813.11"/>
    <n v="3185.85"/>
    <n v="1076.74"/>
    <n v="511.04"/>
    <n v="204.59"/>
    <n v="1735.92"/>
    <n v="33576.910000000003"/>
    <n v="0"/>
    <s v="None"/>
    <n v="90.11"/>
    <s v="Completed"/>
    <s v="Paid"/>
    <s v="High"/>
    <s v="J. Smith"/>
    <s v="Middle East"/>
    <d v="2025-07-01T00:00:00"/>
  </r>
  <r>
    <s v="SHP00564"/>
    <s v="BK50564"/>
    <d v="2025-01-11T00:00:00"/>
    <d v="2025-01-14T00:00:00"/>
    <d v="2025-02-10T00:00:00"/>
    <s v="Samsung"/>
    <s v="Electronics"/>
    <s v="South Korea"/>
    <s v="Singapore"/>
    <s v="Rotterdam"/>
    <x v="1"/>
    <s v="MSC Gülsün"/>
    <s v="20FT"/>
    <n v="2"/>
    <s v="Auto Parts"/>
    <n v="51473.86"/>
    <n v="14626.67"/>
    <n v="3050.72"/>
    <n v="943.19"/>
    <n v="514.74"/>
    <n v="854.65"/>
    <n v="2172.2800000000002"/>
    <n v="29311.61"/>
    <n v="0"/>
    <s v="None"/>
    <n v="121.89"/>
    <s v="Completed"/>
    <s v="Paid"/>
    <s v="Critical"/>
    <s v="R. Mehta"/>
    <s v="Middle East"/>
    <d v="2025-01-01T00:00:00"/>
  </r>
  <r>
    <s v="SHP00225"/>
    <s v="BK50225"/>
    <d v="2025-06-19T00:00:00"/>
    <d v="2025-06-22T00:00:00"/>
    <d v="2025-07-21T00:00:00"/>
    <s v="LG"/>
    <s v="Electronics"/>
    <s v="South Korea"/>
    <s v="Busan"/>
    <s v="Los Angeles"/>
    <x v="3"/>
    <s v="Monaco Maersk"/>
    <s v="20FT"/>
    <n v="2"/>
    <s v="Electronics"/>
    <n v="51542.239999999998"/>
    <n v="9364.11"/>
    <n v="2383.89"/>
    <n v="1172.75"/>
    <n v="515.41999999999996"/>
    <n v="814.92"/>
    <n v="831.31"/>
    <n v="36459.839999999997"/>
    <n v="36"/>
    <s v="Customs"/>
    <n v="78.03"/>
    <s v="Delayed"/>
    <s v="Pending"/>
    <s v="Critical"/>
    <s v="J. Smith"/>
    <s v="Asia"/>
    <d v="2025-06-01T00:00:00"/>
  </r>
  <r>
    <s v="SHP00693"/>
    <s v="BK50693"/>
    <d v="2025-04-28T00:00:00"/>
    <d v="2025-04-29T00:00:00"/>
    <d v="2025-05-15T00:00:00"/>
    <s v="LG"/>
    <s v="Electronics"/>
    <s v="South Korea"/>
    <s v="Colombo"/>
    <s v="Singapore"/>
    <x v="4"/>
    <s v="Monaco Maersk"/>
    <s v="20FT"/>
    <n v="2"/>
    <s v="Textiles"/>
    <n v="51714.69"/>
    <n v="10269.33"/>
    <n v="4029.92"/>
    <n v="1197.3399999999999"/>
    <n v="517.15"/>
    <n v="546.70000000000005"/>
    <n v="1310.19"/>
    <n v="33844.06"/>
    <n v="12"/>
    <s v="Customs"/>
    <n v="85.58"/>
    <s v="Delayed"/>
    <s v="Paid"/>
    <s v="Critical"/>
    <s v="R. Mehta"/>
    <s v="North America"/>
    <d v="2025-04-01T00:00:00"/>
  </r>
  <r>
    <s v="SHP00082"/>
    <s v="BK50082"/>
    <d v="2025-04-13T00:00:00"/>
    <d v="2025-04-15T00:00:00"/>
    <d v="2025-05-06T00:00:00"/>
    <s v="Reliance"/>
    <s v="Retail"/>
    <s v="India"/>
    <s v="Busan"/>
    <s v="Jebel Ali"/>
    <x v="2"/>
    <s v="Mary Maersk"/>
    <s v="40FT"/>
    <n v="2"/>
    <s v="Chemicals"/>
    <n v="51758.69"/>
    <n v="11843.85"/>
    <n v="2936.27"/>
    <n v="561.66"/>
    <n v="517.59"/>
    <n v="619.66999999999996"/>
    <n v="2480.87"/>
    <n v="32798.78"/>
    <n v="48"/>
    <s v="Labor Strike"/>
    <n v="98.7"/>
    <s v="Delayed"/>
    <s v="Paid"/>
    <s v="High"/>
    <s v="M. Ahmed"/>
    <s v="Asia"/>
    <d v="2025-04-01T00:00:00"/>
  </r>
  <r>
    <s v="SHP00973"/>
    <s v="BK50973"/>
    <d v="2025-03-08T00:00:00"/>
    <d v="2025-03-12T00:00:00"/>
    <d v="2025-04-04T00:00:00"/>
    <s v="LG"/>
    <s v="Electronics"/>
    <s v="South Korea"/>
    <s v="Jebel Ali"/>
    <s v="Nhava Sheva"/>
    <x v="0"/>
    <s v="Madrid Maersk"/>
    <s v="Reefer"/>
    <n v="2"/>
    <s v="Machinery"/>
    <n v="51861.74"/>
    <n v="10586.83"/>
    <n v="4080.01"/>
    <n v="597.48"/>
    <n v="518.62"/>
    <n v="662.43"/>
    <n v="2361.8200000000002"/>
    <n v="33054.550000000003"/>
    <n v="0"/>
    <s v="None"/>
    <n v="88.22"/>
    <s v="Completed"/>
    <s v="Pending"/>
    <s v="Standard"/>
    <s v="M. Ahmed"/>
    <s v="Europe"/>
    <d v="2025-03-01T00:00:00"/>
  </r>
  <r>
    <s v="SHP00890"/>
    <s v="BK50890"/>
    <d v="2025-08-15T00:00:00"/>
    <d v="2025-08-17T00:00:00"/>
    <d v="2025-08-28T00:00:00"/>
    <s v="Reliance"/>
    <s v="Retail"/>
    <s v="India"/>
    <s v="Shanghai"/>
    <s v="Rotterdam"/>
    <x v="1"/>
    <s v="CMA CGM Jacques Saadé"/>
    <s v="Reefer"/>
    <n v="2"/>
    <s v="Auto Parts"/>
    <n v="51950.65"/>
    <n v="12532.72"/>
    <n v="2214.67"/>
    <n v="709.05"/>
    <n v="519.51"/>
    <n v="618.87"/>
    <n v="1637.29"/>
    <n v="33718.54"/>
    <n v="12"/>
    <s v="Customs"/>
    <n v="104.44"/>
    <s v="Delayed"/>
    <s v="Paid"/>
    <s v="Critical"/>
    <s v="M. Ahmed"/>
    <s v="Asia"/>
    <d v="2025-08-01T00:00:00"/>
  </r>
  <r>
    <s v="SHP00462"/>
    <s v="BK50462"/>
    <d v="2025-01-22T00:00:00"/>
    <d v="2025-01-25T00:00:00"/>
    <d v="2025-02-20T00:00:00"/>
    <s v="Pfizer"/>
    <s v="Pharma"/>
    <s v="USA"/>
    <s v="Shanghai"/>
    <s v="Rotterdam"/>
    <x v="1"/>
    <s v="Ever Ace"/>
    <s v="40FT"/>
    <n v="2"/>
    <s v="Furniture"/>
    <n v="52144.3"/>
    <n v="8727.51"/>
    <n v="3472.85"/>
    <n v="618.78"/>
    <n v="521.44000000000005"/>
    <n v="306.42"/>
    <n v="1716.33"/>
    <n v="36780.97"/>
    <n v="4"/>
    <s v="Customs"/>
    <n v="72.73"/>
    <s v="Delayed"/>
    <s v="Pending"/>
    <s v="Critical"/>
    <s v="R. Mehta"/>
    <s v="Asia"/>
    <d v="2025-01-01T00:00:00"/>
  </r>
  <r>
    <s v="SHP00380"/>
    <s v="BK50380"/>
    <d v="2025-01-07T00:00:00"/>
    <d v="2025-01-11T00:00:00"/>
    <d v="2025-01-25T00:00:00"/>
    <s v="Samsung"/>
    <s v="Electronics"/>
    <s v="South Korea"/>
    <s v="Shanghai"/>
    <s v="Rotterdam"/>
    <x v="1"/>
    <s v="Mary Maersk"/>
    <s v="20FT"/>
    <n v="2"/>
    <s v="Food"/>
    <n v="52160.43"/>
    <n v="9745.8700000000008"/>
    <n v="3724.4"/>
    <n v="1275.8499999999999"/>
    <n v="521.6"/>
    <n v="632.53"/>
    <n v="653.15"/>
    <n v="35607.03"/>
    <n v="0"/>
    <s v="None"/>
    <n v="81.22"/>
    <s v="Completed"/>
    <s v="Paid"/>
    <s v="Standard"/>
    <s v="M. Ahmed"/>
    <s v="Europe"/>
    <d v="2025-01-01T00:00:00"/>
  </r>
  <r>
    <s v="SHP00841"/>
    <s v="BK50841"/>
    <d v="2025-02-01T00:00:00"/>
    <d v="2025-02-03T00:00:00"/>
    <d v="2025-02-26T00:00:00"/>
    <s v="Reliance"/>
    <s v="Retail"/>
    <s v="India"/>
    <s v="Shanghai"/>
    <s v="Rotterdam"/>
    <x v="2"/>
    <s v="OOCL Hong Kong"/>
    <s v="High Cube"/>
    <n v="4"/>
    <s v="Electronics"/>
    <n v="52254.46"/>
    <n v="14395.76"/>
    <n v="2860.14"/>
    <n v="1439.73"/>
    <n v="522.54"/>
    <n v="601.14"/>
    <n v="1046.69"/>
    <n v="31388.46"/>
    <n v="12"/>
    <s v="Port Congestion"/>
    <n v="119.96"/>
    <s v="Delayed"/>
    <s v="Paid"/>
    <s v="Critical"/>
    <s v="R. Mehta"/>
    <s v="North America"/>
    <d v="2025-02-01T00:00:00"/>
  </r>
  <r>
    <s v="SHP00773"/>
    <s v="BK50773"/>
    <d v="2025-09-20T00:00:00"/>
    <d v="2025-09-21T00:00:00"/>
    <d v="2025-10-12T00:00:00"/>
    <s v="Amazon"/>
    <s v="E-commerce"/>
    <s v="USA"/>
    <s v="Singapore"/>
    <s v="Rotterdam"/>
    <x v="1"/>
    <s v="Monaco Maersk"/>
    <s v="High Cube"/>
    <n v="2"/>
    <s v="Furniture"/>
    <n v="52494.79"/>
    <n v="14020.58"/>
    <n v="2131.1"/>
    <n v="1136.4000000000001"/>
    <n v="524.95000000000005"/>
    <n v="780.41"/>
    <n v="2499.37"/>
    <n v="31401.98"/>
    <n v="36"/>
    <s v="Mechanical"/>
    <n v="116.84"/>
    <s v="Delayed"/>
    <s v="Pending"/>
    <s v="Standard"/>
    <s v="L. Chen"/>
    <s v="Europe"/>
    <d v="2025-09-01T00:00:00"/>
  </r>
  <r>
    <s v="SHP00187"/>
    <s v="BK50187"/>
    <d v="2025-08-01T00:00:00"/>
    <d v="2025-08-02T00:00:00"/>
    <d v="2025-08-21T00:00:00"/>
    <s v="Samsung"/>
    <s v="Electronics"/>
    <s v="South Korea"/>
    <s v="Colombo"/>
    <s v="Singapore"/>
    <x v="4"/>
    <s v="Ever Ace"/>
    <s v="20FT"/>
    <n v="4"/>
    <s v="Textiles"/>
    <n v="52516.74"/>
    <n v="15724.07"/>
    <n v="3912.45"/>
    <n v="1557.36"/>
    <n v="525.16999999999996"/>
    <n v="819.83"/>
    <n v="1945.12"/>
    <n v="28032.74"/>
    <n v="0"/>
    <s v="None"/>
    <n v="131.03"/>
    <s v="Completed"/>
    <s v="Pending"/>
    <s v="Critical"/>
    <s v="J. Smith"/>
    <s v="Middle East"/>
    <d v="2025-08-01T00:00:00"/>
  </r>
  <r>
    <s v="SHP00853"/>
    <s v="BK50853"/>
    <d v="2025-09-08T00:00:00"/>
    <d v="2025-09-11T00:00:00"/>
    <d v="2025-09-23T00:00:00"/>
    <s v="Nestlé"/>
    <s v="Food"/>
    <s v="Switzerland"/>
    <s v="Colombo"/>
    <s v="Singapore"/>
    <x v="4"/>
    <s v="Ever Ace"/>
    <s v="20FT"/>
    <n v="2"/>
    <s v="Textiles"/>
    <n v="52670.07"/>
    <n v="13794.2"/>
    <n v="3102.97"/>
    <n v="1360.32"/>
    <n v="526.70000000000005"/>
    <n v="138.82"/>
    <n v="2037.26"/>
    <n v="31709.8"/>
    <n v="4"/>
    <s v="Weather"/>
    <n v="114.95"/>
    <s v="Delayed"/>
    <s v="Paid"/>
    <s v="High"/>
    <s v="M. Ahmed"/>
    <s v="Europe"/>
    <d v="2025-09-01T00:00:00"/>
  </r>
  <r>
    <s v="SHP00888"/>
    <s v="BK50888"/>
    <d v="2025-06-21T00:00:00"/>
    <d v="2025-06-25T00:00:00"/>
    <d v="2025-07-08T00:00:00"/>
    <s v="Toyota"/>
    <s v="Automotive"/>
    <s v="Japan"/>
    <s v="Singapore"/>
    <s v="Rotterdam"/>
    <x v="1"/>
    <s v="Mumbai Maersk"/>
    <s v="High Cube"/>
    <n v="2"/>
    <s v="Furniture"/>
    <n v="52738.06"/>
    <n v="11582.28"/>
    <n v="2634.78"/>
    <n v="1029.77"/>
    <n v="527.38"/>
    <n v="763.51"/>
    <n v="905.56"/>
    <n v="35294.78"/>
    <n v="48"/>
    <s v="Labor Strike"/>
    <n v="96.52"/>
    <s v="Delayed"/>
    <s v="Pending"/>
    <s v="High"/>
    <s v="A. Tan"/>
    <s v="North America"/>
    <d v="2025-06-01T00:00:00"/>
  </r>
  <r>
    <s v="SHP00761"/>
    <s v="BK50761"/>
    <d v="2025-12-20T00:00:00"/>
    <d v="2025-12-22T00:00:00"/>
    <d v="2026-01-11T00:00:00"/>
    <s v="Samsung"/>
    <s v="Electronics"/>
    <s v="South Korea"/>
    <s v="Colombo"/>
    <s v="Singapore"/>
    <x v="4"/>
    <s v="MSC Gülsün"/>
    <s v="High Cube"/>
    <n v="2"/>
    <s v="Textiles"/>
    <n v="52758.43"/>
    <n v="9634.3799999999992"/>
    <n v="3169.57"/>
    <n v="1137.97"/>
    <n v="527.58000000000004"/>
    <n v="232.72"/>
    <n v="766.68"/>
    <n v="37289.53"/>
    <n v="24"/>
    <s v="Labor Strike"/>
    <n v="80.290000000000006"/>
    <s v="Delayed"/>
    <s v="Pending"/>
    <s v="Standard"/>
    <s v="L. Chen"/>
    <s v="North America"/>
    <d v="2025-12-01T00:00:00"/>
  </r>
  <r>
    <s v="SHP00102"/>
    <s v="BK50102"/>
    <d v="2025-10-20T00:00:00"/>
    <d v="2025-10-24T00:00:00"/>
    <d v="2025-11-04T00:00:00"/>
    <s v="Adidas"/>
    <s v="Retail"/>
    <s v="Germany"/>
    <s v="Busan"/>
    <s v="Hamburg"/>
    <x v="2"/>
    <s v="Ever Ace"/>
    <s v="Reefer"/>
    <n v="2"/>
    <s v="Machinery"/>
    <n v="52963.47"/>
    <n v="13685.36"/>
    <n v="2524.92"/>
    <n v="743.86"/>
    <n v="529.63"/>
    <n v="417.99"/>
    <n v="814.76"/>
    <n v="34246.949999999997"/>
    <n v="36"/>
    <s v="Customs"/>
    <n v="114.04"/>
    <s v="Delayed"/>
    <s v="Paid"/>
    <s v="High"/>
    <s v="A. Tan"/>
    <s v="Asia"/>
    <d v="2025-10-01T00:00:00"/>
  </r>
  <r>
    <s v="SHP00866"/>
    <s v="BK50866"/>
    <d v="2025-06-20T00:00:00"/>
    <d v="2025-06-24T00:00:00"/>
    <d v="2025-07-19T00:00:00"/>
    <s v="Pfizer"/>
    <s v="Pharma"/>
    <s v="USA"/>
    <s v="Shanghai"/>
    <s v="Rotterdam"/>
    <x v="2"/>
    <s v="Mumbai Maersk"/>
    <s v="High Cube"/>
    <n v="2"/>
    <s v="Food"/>
    <n v="53134.45"/>
    <n v="8716.15"/>
    <n v="3897.37"/>
    <n v="1411.05"/>
    <n v="531.34"/>
    <n v="872.89"/>
    <n v="2005.77"/>
    <n v="35699.879999999997"/>
    <n v="0"/>
    <s v="None"/>
    <n v="72.63"/>
    <s v="Completed"/>
    <s v="Paid"/>
    <s v="Standard"/>
    <s v="R. Mehta"/>
    <s v="Asia"/>
    <d v="2025-06-01T00:00:00"/>
  </r>
  <r>
    <s v="SHP00324"/>
    <s v="BK50324"/>
    <d v="2025-09-09T00:00:00"/>
    <d v="2025-09-13T00:00:00"/>
    <d v="2025-09-26T00:00:00"/>
    <s v="Nestlé"/>
    <s v="Food"/>
    <s v="Switzerland"/>
    <s v="Nhava Sheva"/>
    <s v="Colombo"/>
    <x v="2"/>
    <s v="Monaco Maersk"/>
    <s v="High Cube"/>
    <n v="2"/>
    <s v="Textiles"/>
    <n v="53264.44"/>
    <n v="10353.98"/>
    <n v="2543.73"/>
    <n v="547.32000000000005"/>
    <n v="532.64"/>
    <n v="545.14"/>
    <n v="408.29"/>
    <n v="38333.339999999997"/>
    <n v="4"/>
    <s v="Port Congestion"/>
    <n v="86.28"/>
    <s v="Delayed"/>
    <s v="Pending"/>
    <s v="High"/>
    <s v="R. Mehta"/>
    <s v="North America"/>
    <d v="2025-09-01T00:00:00"/>
  </r>
  <r>
    <s v="SHP00560"/>
    <s v="BK50560"/>
    <d v="2025-11-23T00:00:00"/>
    <d v="2025-11-26T00:00:00"/>
    <d v="2025-12-18T00:00:00"/>
    <s v="Pfizer"/>
    <s v="Pharma"/>
    <s v="USA"/>
    <s v="Shanghai"/>
    <s v="Singapore"/>
    <x v="2"/>
    <s v="Ever Ace"/>
    <s v="40FT"/>
    <n v="2"/>
    <s v="Electronics"/>
    <n v="53574.33"/>
    <n v="11937.17"/>
    <n v="3391.5"/>
    <n v="1094.27"/>
    <n v="535.74"/>
    <n v="231.18"/>
    <n v="375.25"/>
    <n v="36009.22"/>
    <n v="4"/>
    <s v="Port Congestion"/>
    <n v="99.48"/>
    <s v="Delayed"/>
    <s v="Pending"/>
    <s v="High"/>
    <s v="L. Chen"/>
    <s v="Middle East"/>
    <d v="2025-11-01T00:00:00"/>
  </r>
  <r>
    <s v="SHP00867"/>
    <s v="BK50867"/>
    <d v="2025-12-15T00:00:00"/>
    <d v="2025-12-18T00:00:00"/>
    <d v="2026-01-08T00:00:00"/>
    <s v="Bosch"/>
    <s v="Manufacturing"/>
    <s v="Germany"/>
    <s v="Singapore"/>
    <s v="Rotterdam"/>
    <x v="1"/>
    <s v="Madrid Maersk"/>
    <s v="20FT"/>
    <n v="2"/>
    <s v="Electronics"/>
    <n v="53587.5"/>
    <n v="12159.35"/>
    <n v="2631.86"/>
    <n v="699.64"/>
    <n v="535.88"/>
    <n v="880.83"/>
    <n v="1807.1"/>
    <n v="34872.839999999997"/>
    <n v="12"/>
    <s v="Mechanical"/>
    <n v="101.33"/>
    <s v="Delayed"/>
    <s v="Pending"/>
    <s v="High"/>
    <s v="J. Smith"/>
    <s v="Europe"/>
    <d v="2025-12-01T00:00:00"/>
  </r>
  <r>
    <s v="SHP00316"/>
    <s v="BK50316"/>
    <d v="2025-12-29T00:00:00"/>
    <d v="2025-12-31T00:00:00"/>
    <d v="2026-01-16T00:00:00"/>
    <s v="Adidas"/>
    <s v="Retail"/>
    <s v="Germany"/>
    <s v="Los Angeles"/>
    <s v="Shanghai"/>
    <x v="2"/>
    <s v="OOCL Hong Kong"/>
    <s v="High Cube"/>
    <n v="2"/>
    <s v="Textiles"/>
    <n v="53642.01"/>
    <n v="16016.51"/>
    <n v="2360.88"/>
    <n v="1501.92"/>
    <n v="536.41999999999996"/>
    <n v="254.52"/>
    <n v="1241.27"/>
    <n v="31730.49"/>
    <n v="24"/>
    <s v="Labor Strike"/>
    <n v="133.47"/>
    <s v="Delayed"/>
    <s v="Pending"/>
    <s v="Critical"/>
    <s v="L. Chen"/>
    <s v="Middle East"/>
    <d v="2025-12-01T00:00:00"/>
  </r>
  <r>
    <s v="SHP00777"/>
    <s v="BK50777"/>
    <d v="2025-11-09T00:00:00"/>
    <d v="2025-11-10T00:00:00"/>
    <d v="2025-11-21T00:00:00"/>
    <s v="Amazon"/>
    <s v="E-commerce"/>
    <s v="USA"/>
    <s v="Jebel Ali"/>
    <s v="Nhava Sheva"/>
    <x v="0"/>
    <s v="Monaco Maersk"/>
    <s v="High Cube"/>
    <n v="2"/>
    <s v="Chemicals"/>
    <n v="53707.64"/>
    <n v="13148.16"/>
    <n v="3890.66"/>
    <n v="1016.98"/>
    <n v="537.08000000000004"/>
    <n v="441.06"/>
    <n v="1186.6400000000001"/>
    <n v="33487.06"/>
    <n v="12"/>
    <s v="Customs"/>
    <n v="109.57"/>
    <s v="Delayed"/>
    <s v="Pending"/>
    <s v="Standard"/>
    <s v="R. Mehta"/>
    <s v="Asia"/>
    <d v="2025-11-01T00:00:00"/>
  </r>
  <r>
    <s v="SHP00822"/>
    <s v="BK50822"/>
    <d v="2025-08-29T00:00:00"/>
    <d v="2025-09-01T00:00:00"/>
    <d v="2025-09-28T00:00:00"/>
    <s v="Unilever"/>
    <s v="FMCG"/>
    <s v="UK"/>
    <s v="Nhava Sheva"/>
    <s v="Los Angeles"/>
    <x v="2"/>
    <s v="Ever Ace"/>
    <s v="High Cube"/>
    <n v="2"/>
    <s v="Chemicals"/>
    <n v="53779.42"/>
    <n v="13216.21"/>
    <n v="2742.98"/>
    <n v="1002.16"/>
    <n v="537.79"/>
    <n v="651.05999999999995"/>
    <n v="707.11"/>
    <n v="34922.11"/>
    <n v="0"/>
    <s v="None"/>
    <n v="110.14"/>
    <s v="Completed"/>
    <s v="Pending"/>
    <s v="High"/>
    <s v="M. Ahmed"/>
    <s v="North America"/>
    <d v="2025-08-01T00:00:00"/>
  </r>
  <r>
    <s v="SHP00143"/>
    <s v="BK50143"/>
    <d v="2025-09-06T00:00:00"/>
    <d v="2025-09-07T00:00:00"/>
    <d v="2025-10-02T00:00:00"/>
    <s v="Bosch"/>
    <s v="Manufacturing"/>
    <s v="Germany"/>
    <s v="Jebel Ali"/>
    <s v="Nhava Sheva"/>
    <x v="0"/>
    <s v="MSC Gülsün"/>
    <s v="High Cube"/>
    <n v="2"/>
    <s v="Machinery"/>
    <n v="53799.31"/>
    <n v="9056.68"/>
    <n v="2577.25"/>
    <n v="1375.1"/>
    <n v="537.99"/>
    <n v="591.19000000000005"/>
    <n v="2369.48"/>
    <n v="37291.620000000003"/>
    <n v="4"/>
    <s v="Labor Strike"/>
    <n v="75.47"/>
    <s v="Delayed"/>
    <s v="Pending"/>
    <s v="Critical"/>
    <s v="R. Mehta"/>
    <s v="Asia"/>
    <d v="2025-09-01T00:00:00"/>
  </r>
  <r>
    <s v="SHP00678"/>
    <s v="BK50678"/>
    <d v="2025-02-03T00:00:00"/>
    <d v="2025-02-07T00:00:00"/>
    <d v="2025-02-19T00:00:00"/>
    <s v="Samsung"/>
    <s v="Electronics"/>
    <s v="South Korea"/>
    <s v="Singapore"/>
    <s v="Rotterdam"/>
    <x v="1"/>
    <s v="Ever Ace"/>
    <s v="40FT"/>
    <n v="2"/>
    <s v="Chemicals"/>
    <n v="53888.27"/>
    <n v="14946.69"/>
    <n v="3840.66"/>
    <n v="1151.42"/>
    <n v="538.88"/>
    <n v="566.02"/>
    <n v="1528.98"/>
    <n v="31315.62"/>
    <n v="36"/>
    <s v="Port Congestion"/>
    <n v="124.56"/>
    <s v="Delayed"/>
    <s v="Pending"/>
    <s v="Critical"/>
    <s v="A. Tan"/>
    <s v="Europe"/>
    <d v="2025-02-01T00:00:00"/>
  </r>
  <r>
    <s v="SHP00669"/>
    <s v="BK50669"/>
    <d v="2025-08-07T00:00:00"/>
    <d v="2025-08-10T00:00:00"/>
    <d v="2025-08-24T00:00:00"/>
    <s v="Amazon"/>
    <s v="E-commerce"/>
    <s v="USA"/>
    <s v="Colombo"/>
    <s v="Singapore"/>
    <x v="4"/>
    <s v="Madrid Maersk"/>
    <s v="High Cube"/>
    <n v="4"/>
    <s v="Electronics"/>
    <n v="54323.64"/>
    <n v="13840.53"/>
    <n v="2297.46"/>
    <n v="1627.13"/>
    <n v="543.24"/>
    <n v="295.8"/>
    <n v="1884.24"/>
    <n v="33835.24"/>
    <n v="8"/>
    <s v="Labor Strike"/>
    <n v="115.34"/>
    <s v="Delayed"/>
    <s v="Pending"/>
    <s v="Standard"/>
    <s v="A. Tan"/>
    <s v="North America"/>
    <d v="2025-08-01T00:00:00"/>
  </r>
  <r>
    <s v="SHP00728"/>
    <s v="BK50728"/>
    <d v="2025-08-17T00:00:00"/>
    <d v="2025-08-21T00:00:00"/>
    <d v="2025-09-11T00:00:00"/>
    <s v="Toyota"/>
    <s v="Automotive"/>
    <s v="Japan"/>
    <s v="Hamburg"/>
    <s v="Hamburg"/>
    <x v="2"/>
    <s v="MSC Gülsün"/>
    <s v="20FT"/>
    <n v="2"/>
    <s v="Auto Parts"/>
    <n v="54410.95"/>
    <n v="9833.6200000000008"/>
    <n v="3314.01"/>
    <n v="1056.31"/>
    <n v="544.11"/>
    <n v="294.13"/>
    <n v="878.27"/>
    <n v="38490.5"/>
    <n v="48"/>
    <s v="Labor Strike"/>
    <n v="81.95"/>
    <s v="Delayed"/>
    <s v="Pending"/>
    <s v="Standard"/>
    <s v="M. Ahmed"/>
    <s v="Asia"/>
    <d v="2025-08-01T00:00:00"/>
  </r>
  <r>
    <s v="SHP00547"/>
    <s v="BK50547"/>
    <d v="2025-09-19T00:00:00"/>
    <d v="2025-09-21T00:00:00"/>
    <d v="2025-10-19T00:00:00"/>
    <s v="Amazon"/>
    <s v="E-commerce"/>
    <s v="USA"/>
    <s v="Busan"/>
    <s v="Los Angeles"/>
    <x v="3"/>
    <s v="Mumbai Maersk"/>
    <s v="Reefer"/>
    <n v="4"/>
    <s v="Furniture"/>
    <n v="54458.35"/>
    <n v="11571.29"/>
    <n v="3388.19"/>
    <n v="669.61"/>
    <n v="544.58000000000004"/>
    <n v="148.38"/>
    <n v="320.42"/>
    <n v="37815.879999999997"/>
    <n v="36"/>
    <s v="Customs"/>
    <n v="96.43"/>
    <s v="Delayed"/>
    <s v="Pending"/>
    <s v="Standard"/>
    <s v="J. Smith"/>
    <s v="Middle East"/>
    <d v="2025-09-01T00:00:00"/>
  </r>
  <r>
    <s v="SHP00344"/>
    <s v="BK50344"/>
    <d v="2025-11-11T00:00:00"/>
    <d v="2025-11-14T00:00:00"/>
    <d v="2025-12-05T00:00:00"/>
    <s v="Samsung"/>
    <s v="Electronics"/>
    <s v="South Korea"/>
    <s v="Los Angeles"/>
    <s v="New York"/>
    <x v="2"/>
    <s v="Mumbai Maersk"/>
    <s v="High Cube"/>
    <n v="2"/>
    <s v="Chemicals"/>
    <n v="54519.83"/>
    <n v="15949.51"/>
    <n v="2942.11"/>
    <n v="1008.44"/>
    <n v="545.20000000000005"/>
    <n v="877.32"/>
    <n v="1839.95"/>
    <n v="31357.3"/>
    <n v="48"/>
    <s v="Customs"/>
    <n v="132.91"/>
    <s v="Delayed"/>
    <s v="Paid"/>
    <s v="Critical"/>
    <s v="L. Chen"/>
    <s v="Asia"/>
    <d v="2025-11-01T00:00:00"/>
  </r>
  <r>
    <s v="SHP00052"/>
    <s v="BK50052"/>
    <d v="2025-07-26T00:00:00"/>
    <d v="2025-07-29T00:00:00"/>
    <d v="2025-08-20T00:00:00"/>
    <s v="Pfizer"/>
    <s v="Pharma"/>
    <s v="USA"/>
    <s v="Busan"/>
    <s v="Los Angeles"/>
    <x v="3"/>
    <s v="Mumbai Maersk"/>
    <s v="Reefer"/>
    <n v="4"/>
    <s v="Auto Parts"/>
    <n v="54541.06"/>
    <n v="13211.06"/>
    <n v="3106.57"/>
    <n v="1603.78"/>
    <n v="545.41"/>
    <n v="204.99"/>
    <n v="640.54"/>
    <n v="35228.71"/>
    <n v="36"/>
    <s v="Labor Strike"/>
    <n v="110.09"/>
    <s v="Delayed"/>
    <s v="Paid"/>
    <s v="High"/>
    <s v="M. Ahmed"/>
    <s v="Europe"/>
    <d v="2025-07-01T00:00:00"/>
  </r>
  <r>
    <s v="SHP00571"/>
    <s v="BK50571"/>
    <d v="2025-04-25T00:00:00"/>
    <d v="2025-04-28T00:00:00"/>
    <d v="2025-05-18T00:00:00"/>
    <s v="Adidas"/>
    <s v="Retail"/>
    <s v="Germany"/>
    <s v="Shanghai"/>
    <s v="Rotterdam"/>
    <x v="1"/>
    <s v="CMA CGM Jacques Saadé"/>
    <s v="Reefer"/>
    <n v="2"/>
    <s v="Food"/>
    <n v="54545.760000000002"/>
    <n v="13048.58"/>
    <n v="2731.69"/>
    <n v="653.79"/>
    <n v="545.46"/>
    <n v="666.69"/>
    <n v="1356.21"/>
    <n v="35543.339999999997"/>
    <n v="0"/>
    <s v="None"/>
    <n v="108.74"/>
    <s v="Completed"/>
    <s v="Pending"/>
    <s v="Standard"/>
    <s v="L. Chen"/>
    <s v="Middle East"/>
    <d v="2025-04-01T00:00:00"/>
  </r>
  <r>
    <s v="SHP00296"/>
    <s v="BK50296"/>
    <d v="2025-08-29T00:00:00"/>
    <d v="2025-08-31T00:00:00"/>
    <d v="2025-09-10T00:00:00"/>
    <s v="Nestlé"/>
    <s v="Food"/>
    <s v="Switzerland"/>
    <s v="Busan"/>
    <s v="Los Angeles"/>
    <x v="3"/>
    <s v="Ever Ace"/>
    <s v="20FT"/>
    <n v="2"/>
    <s v="Textiles"/>
    <n v="54688.44"/>
    <n v="9585.27"/>
    <n v="3476.86"/>
    <n v="1460.93"/>
    <n v="546.88"/>
    <n v="538.49"/>
    <n v="1115.24"/>
    <n v="37964.769999999997"/>
    <n v="0"/>
    <s v="None"/>
    <n v="79.88"/>
    <s v="Completed"/>
    <s v="Paid"/>
    <s v="Critical"/>
    <s v="L. Chen"/>
    <s v="Middle East"/>
    <d v="2025-08-01T00:00:00"/>
  </r>
  <r>
    <s v="SHP00457"/>
    <s v="BK50457"/>
    <d v="2025-02-07T00:00:00"/>
    <d v="2025-02-10T00:00:00"/>
    <d v="2025-02-20T00:00:00"/>
    <s v="IKEA"/>
    <s v="Retail"/>
    <s v="Sweden"/>
    <s v="Busan"/>
    <s v="Los Angeles"/>
    <x v="3"/>
    <s v="Madrid Maersk"/>
    <s v="40FT"/>
    <n v="4"/>
    <s v="Textiles"/>
    <n v="54736.76"/>
    <n v="15250.57"/>
    <n v="3020.72"/>
    <n v="1266.5899999999999"/>
    <n v="547.37"/>
    <n v="771.14"/>
    <n v="1305.1099999999999"/>
    <n v="32575.26"/>
    <n v="4"/>
    <s v="Mechanical"/>
    <n v="127.09"/>
    <s v="Delayed"/>
    <s v="Pending"/>
    <s v="High"/>
    <s v="R. Mehta"/>
    <s v="Asia"/>
    <d v="2025-02-01T00:00:00"/>
  </r>
  <r>
    <s v="SHP00653"/>
    <s v="BK50653"/>
    <d v="2025-04-25T00:00:00"/>
    <d v="2025-04-29T00:00:00"/>
    <d v="2025-05-14T00:00:00"/>
    <s v="Siemens"/>
    <s v="Engineering"/>
    <s v="Germany"/>
    <s v="Colombo"/>
    <s v="Singapore"/>
    <x v="4"/>
    <s v="Mumbai Maersk"/>
    <s v="20FT"/>
    <n v="2"/>
    <s v="Auto Parts"/>
    <n v="54813.15"/>
    <n v="9532.7999999999993"/>
    <n v="3272.94"/>
    <n v="1172.47"/>
    <n v="548.13"/>
    <n v="163.24"/>
    <n v="2333.91"/>
    <n v="37789.660000000003"/>
    <n v="8"/>
    <s v="Labor Strike"/>
    <n v="79.44"/>
    <s v="Delayed"/>
    <s v="Paid"/>
    <s v="High"/>
    <s v="A. Tan"/>
    <s v="Asia"/>
    <d v="2025-04-01T00:00:00"/>
  </r>
  <r>
    <s v="SHP00209"/>
    <s v="BK50209"/>
    <d v="2025-02-28T00:00:00"/>
    <d v="2025-03-03T00:00:00"/>
    <d v="2025-03-17T00:00:00"/>
    <s v="Nestlé"/>
    <s v="Food"/>
    <s v="Switzerland"/>
    <s v="Jebel Ali"/>
    <s v="Nhava Sheva"/>
    <x v="0"/>
    <s v="OOCL Hong Kong"/>
    <s v="40FT"/>
    <n v="2"/>
    <s v="Food"/>
    <n v="54848.67"/>
    <n v="12032.59"/>
    <n v="3357.19"/>
    <n v="921.82"/>
    <n v="548.49"/>
    <n v="491.61"/>
    <n v="2036.9"/>
    <n v="35460.07"/>
    <n v="36"/>
    <s v="Labor Strike"/>
    <n v="100.27"/>
    <s v="Delayed"/>
    <s v="Pending"/>
    <s v="Standard"/>
    <s v="A. Tan"/>
    <s v="Europe"/>
    <d v="2025-02-01T00:00:00"/>
  </r>
  <r>
    <s v="SHP00680"/>
    <s v="BK50680"/>
    <d v="2025-08-19T00:00:00"/>
    <d v="2025-08-23T00:00:00"/>
    <d v="2025-09-08T00:00:00"/>
    <s v="Nestlé"/>
    <s v="Food"/>
    <s v="Switzerland"/>
    <s v="Busan"/>
    <s v="Los Angeles"/>
    <x v="3"/>
    <s v="Ever Ace"/>
    <s v="Reefer"/>
    <n v="4"/>
    <s v="Textiles"/>
    <n v="55051.68"/>
    <n v="11226.43"/>
    <n v="4005.81"/>
    <n v="1025.92"/>
    <n v="550.52"/>
    <n v="726.33"/>
    <n v="1122.8"/>
    <n v="36393.870000000003"/>
    <n v="36"/>
    <s v="Customs"/>
    <n v="93.55"/>
    <s v="Delayed"/>
    <s v="Pending"/>
    <s v="Critical"/>
    <s v="M. Ahmed"/>
    <s v="Europe"/>
    <d v="2025-08-01T00:00:00"/>
  </r>
  <r>
    <s v="SHP00694"/>
    <s v="BK50694"/>
    <d v="2025-11-04T00:00:00"/>
    <d v="2025-11-07T00:00:00"/>
    <d v="2025-12-02T00:00:00"/>
    <s v="Amazon"/>
    <s v="E-commerce"/>
    <s v="USA"/>
    <s v="Jebel Ali"/>
    <s v="Nhava Sheva"/>
    <x v="0"/>
    <s v="CMA CGM Jacques Saadé"/>
    <s v="40FT"/>
    <n v="2"/>
    <s v="Machinery"/>
    <n v="55236.51"/>
    <n v="11417.92"/>
    <n v="2310.9699999999998"/>
    <n v="755.43"/>
    <n v="552.37"/>
    <n v="191.18"/>
    <n v="513.95000000000005"/>
    <n v="39494.69"/>
    <n v="48"/>
    <s v="Port Congestion"/>
    <n v="95.15"/>
    <s v="Delayed"/>
    <s v="Pending"/>
    <s v="Standard"/>
    <s v="M. Ahmed"/>
    <s v="Europe"/>
    <d v="2025-11-01T00:00:00"/>
  </r>
  <r>
    <s v="SHP00273"/>
    <s v="BK50273"/>
    <d v="2025-04-22T00:00:00"/>
    <d v="2025-04-23T00:00:00"/>
    <d v="2025-05-10T00:00:00"/>
    <s v="Unilever"/>
    <s v="FMCG"/>
    <s v="UK"/>
    <s v="Colombo"/>
    <s v="Nhava Sheva"/>
    <x v="2"/>
    <s v="Mary Maersk"/>
    <s v="High Cube"/>
    <n v="2"/>
    <s v="Furniture"/>
    <n v="55292.12"/>
    <n v="15045.28"/>
    <n v="3328.81"/>
    <n v="592.53"/>
    <n v="552.91999999999996"/>
    <n v="355.2"/>
    <n v="1284.4100000000001"/>
    <n v="34132.97"/>
    <n v="0"/>
    <s v="None"/>
    <n v="125.38"/>
    <s v="Completed"/>
    <s v="Paid"/>
    <s v="High"/>
    <s v="M. Ahmed"/>
    <s v="Europe"/>
    <d v="2025-04-01T00:00:00"/>
  </r>
  <r>
    <s v="SHP00730"/>
    <s v="BK50730"/>
    <d v="2025-09-22T00:00:00"/>
    <d v="2025-09-26T00:00:00"/>
    <d v="2025-10-09T00:00:00"/>
    <s v="Pfizer"/>
    <s v="Pharma"/>
    <s v="USA"/>
    <s v="Nhava Sheva"/>
    <s v="Jebel Ali"/>
    <x v="2"/>
    <s v="Mumbai Maersk"/>
    <s v="High Cube"/>
    <n v="2"/>
    <s v="Textiles"/>
    <n v="55353.75"/>
    <n v="10466.91"/>
    <n v="3195.93"/>
    <n v="600"/>
    <n v="553.54"/>
    <n v="620.36"/>
    <n v="2420.37"/>
    <n v="37496.639999999999"/>
    <n v="36"/>
    <s v="Labor Strike"/>
    <n v="87.22"/>
    <s v="Delayed"/>
    <s v="Pending"/>
    <s v="Critical"/>
    <s v="L. Chen"/>
    <s v="North America"/>
    <d v="2025-09-01T00:00:00"/>
  </r>
  <r>
    <s v="SHP00338"/>
    <s v="BK50338"/>
    <d v="2025-01-25T00:00:00"/>
    <d v="2025-01-26T00:00:00"/>
    <d v="2025-02-10T00:00:00"/>
    <s v="Amazon"/>
    <s v="E-commerce"/>
    <s v="USA"/>
    <s v="Shanghai"/>
    <s v="Rotterdam"/>
    <x v="1"/>
    <s v="OOCL Hong Kong"/>
    <s v="40FT"/>
    <n v="2"/>
    <s v="Auto Parts"/>
    <n v="55381.54"/>
    <n v="16612.37"/>
    <n v="3590.9"/>
    <n v="1093.99"/>
    <n v="553.82000000000005"/>
    <n v="146.38999999999999"/>
    <n v="888.1"/>
    <n v="32495.97"/>
    <n v="48"/>
    <s v="Mechanical"/>
    <n v="138.44"/>
    <s v="Delayed"/>
    <s v="Pending"/>
    <s v="High"/>
    <s v="J. Smith"/>
    <s v="North America"/>
    <d v="2025-01-01T00:00:00"/>
  </r>
  <r>
    <s v="SHP00964"/>
    <s v="BK50964"/>
    <d v="2025-08-03T00:00:00"/>
    <d v="2025-08-07T00:00:00"/>
    <d v="2025-09-03T00:00:00"/>
    <s v="Unilever"/>
    <s v="FMCG"/>
    <s v="UK"/>
    <s v="Busan"/>
    <s v="Los Angeles"/>
    <x v="3"/>
    <s v="OOCL Hong Kong"/>
    <s v="40FT"/>
    <n v="2"/>
    <s v="Textiles"/>
    <n v="55390.91"/>
    <n v="9029.49"/>
    <n v="3007.6"/>
    <n v="709.84"/>
    <n v="553.91"/>
    <n v="893.02"/>
    <n v="1192.25"/>
    <n v="40004.800000000003"/>
    <n v="0"/>
    <s v="None"/>
    <n v="75.25"/>
    <s v="Completed"/>
    <s v="Paid"/>
    <s v="High"/>
    <s v="L. Chen"/>
    <s v="North America"/>
    <d v="2025-08-01T00:00:00"/>
  </r>
  <r>
    <s v="SHP00659"/>
    <s v="BK50659"/>
    <d v="2025-11-29T00:00:00"/>
    <d v="2025-12-02T00:00:00"/>
    <d v="2025-12-31T00:00:00"/>
    <s v="Toyota"/>
    <s v="Automotive"/>
    <s v="Japan"/>
    <s v="Singapore"/>
    <s v="Rotterdam"/>
    <x v="1"/>
    <s v="CMA CGM Jacques Saadé"/>
    <s v="40FT"/>
    <n v="2"/>
    <s v="Furniture"/>
    <n v="55391.27"/>
    <n v="10145.209999999999"/>
    <n v="3439.04"/>
    <n v="715.5"/>
    <n v="553.91"/>
    <n v="711.46"/>
    <n v="928.56"/>
    <n v="38897.589999999997"/>
    <n v="36"/>
    <s v="Weather"/>
    <n v="84.54"/>
    <s v="Delayed"/>
    <s v="Pending"/>
    <s v="Critical"/>
    <s v="R. Mehta"/>
    <s v="Europe"/>
    <d v="2025-11-01T00:00:00"/>
  </r>
  <r>
    <s v="SHP00529"/>
    <s v="BK50529"/>
    <d v="2025-04-04T00:00:00"/>
    <d v="2025-04-07T00:00:00"/>
    <d v="2025-04-18T00:00:00"/>
    <s v="Pfizer"/>
    <s v="Pharma"/>
    <s v="USA"/>
    <s v="Colombo"/>
    <s v="Singapore"/>
    <x v="4"/>
    <s v="Mary Maersk"/>
    <s v="High Cube"/>
    <n v="2"/>
    <s v="Food"/>
    <n v="55439.69"/>
    <n v="15392.22"/>
    <n v="2577.94"/>
    <n v="592.59"/>
    <n v="554.4"/>
    <n v="856.72"/>
    <n v="2154.61"/>
    <n v="33311.21"/>
    <n v="0"/>
    <s v="None"/>
    <n v="128.27000000000001"/>
    <s v="Completed"/>
    <s v="Pending"/>
    <s v="Critical"/>
    <s v="J. Smith"/>
    <s v="Middle East"/>
    <d v="2025-04-01T00:00:00"/>
  </r>
  <r>
    <s v="SHP00666"/>
    <s v="BK50666"/>
    <d v="2025-02-13T00:00:00"/>
    <d v="2025-02-15T00:00:00"/>
    <d v="2025-03-13T00:00:00"/>
    <s v="Samsung"/>
    <s v="Electronics"/>
    <s v="South Korea"/>
    <s v="Busan"/>
    <s v="Los Angeles"/>
    <x v="3"/>
    <s v="CMA CGM Jacques Saadé"/>
    <s v="High Cube"/>
    <n v="2"/>
    <s v="Machinery"/>
    <n v="55477.39"/>
    <n v="15693.65"/>
    <n v="3378.36"/>
    <n v="724.12"/>
    <n v="554.77"/>
    <n v="379.15"/>
    <n v="1783.87"/>
    <n v="32963.47"/>
    <n v="4"/>
    <s v="Customs"/>
    <n v="130.78"/>
    <s v="Delayed"/>
    <s v="Paid"/>
    <s v="Critical"/>
    <s v="L. Chen"/>
    <s v="Asia"/>
    <d v="2025-02-01T00:00:00"/>
  </r>
  <r>
    <s v="SHP00171"/>
    <s v="BK50171"/>
    <d v="2025-07-17T00:00:00"/>
    <d v="2025-07-20T00:00:00"/>
    <d v="2025-08-09T00:00:00"/>
    <s v="Toyota"/>
    <s v="Automotive"/>
    <s v="Japan"/>
    <s v="Hamburg"/>
    <s v="Los Angeles"/>
    <x v="2"/>
    <s v="Monaco Maersk"/>
    <s v="Reefer"/>
    <n v="2"/>
    <s v="Furniture"/>
    <n v="55577.26"/>
    <n v="11589.49"/>
    <n v="3038.95"/>
    <n v="1608.83"/>
    <n v="555.77"/>
    <n v="500.79"/>
    <n v="1380.21"/>
    <n v="36903.22"/>
    <n v="0"/>
    <s v="None"/>
    <n v="96.58"/>
    <s v="Completed"/>
    <s v="Pending"/>
    <s v="Critical"/>
    <s v="A. Tan"/>
    <s v="North America"/>
    <d v="2025-07-01T00:00:00"/>
  </r>
  <r>
    <s v="SHP00023"/>
    <s v="BK50023"/>
    <d v="2025-06-11T00:00:00"/>
    <d v="2025-06-15T00:00:00"/>
    <d v="2025-07-07T00:00:00"/>
    <s v="LG"/>
    <s v="Electronics"/>
    <s v="South Korea"/>
    <s v="Hamburg"/>
    <s v="Colombo"/>
    <x v="2"/>
    <s v="Madrid Maersk"/>
    <s v="High Cube"/>
    <n v="2"/>
    <s v="Chemicals"/>
    <n v="55757.52"/>
    <n v="15415.04"/>
    <n v="2413.1799999999998"/>
    <n v="1190.45"/>
    <n v="557.58000000000004"/>
    <n v="879.98"/>
    <n v="952.95"/>
    <n v="34348.339999999997"/>
    <n v="0"/>
    <s v="None"/>
    <n v="128.46"/>
    <s v="Completed"/>
    <s v="Paid"/>
    <s v="Standard"/>
    <s v="J. Smith"/>
    <s v="North America"/>
    <d v="2025-06-01T00:00:00"/>
  </r>
  <r>
    <s v="SHP00389"/>
    <s v="BK50389"/>
    <d v="2025-07-25T00:00:00"/>
    <d v="2025-07-28T00:00:00"/>
    <d v="2025-08-25T00:00:00"/>
    <s v="Adidas"/>
    <s v="Retail"/>
    <s v="Germany"/>
    <s v="Jebel Ali"/>
    <s v="Nhava Sheva"/>
    <x v="0"/>
    <s v="Mary Maersk"/>
    <s v="Reefer"/>
    <n v="2"/>
    <s v="Machinery"/>
    <n v="55805.51"/>
    <n v="13792.57"/>
    <n v="3730.69"/>
    <n v="1567.66"/>
    <n v="558.05999999999995"/>
    <n v="686.48"/>
    <n v="1297.74"/>
    <n v="34172.31"/>
    <n v="48"/>
    <s v="Mechanical"/>
    <n v="114.94"/>
    <s v="Delayed"/>
    <s v="Paid"/>
    <s v="High"/>
    <s v="M. Ahmed"/>
    <s v="Middle East"/>
    <d v="2025-07-01T00:00:00"/>
  </r>
  <r>
    <s v="SHP00745"/>
    <s v="BK50745"/>
    <d v="2025-02-03T00:00:00"/>
    <d v="2025-02-04T00:00:00"/>
    <d v="2025-02-24T00:00:00"/>
    <s v="Nestlé"/>
    <s v="Food"/>
    <s v="Switzerland"/>
    <s v="Singapore"/>
    <s v="Rotterdam"/>
    <x v="1"/>
    <s v="CMA CGM Jacques Saadé"/>
    <s v="Reefer"/>
    <n v="2"/>
    <s v="Machinery"/>
    <n v="55850.3"/>
    <n v="12888.54"/>
    <n v="4251.1400000000003"/>
    <n v="1166.51"/>
    <n v="558.5"/>
    <n v="324.74"/>
    <n v="390.74"/>
    <n v="36270.129999999997"/>
    <n v="0"/>
    <s v="None"/>
    <n v="107.4"/>
    <s v="Completed"/>
    <s v="Pending"/>
    <s v="Standard"/>
    <s v="M. Ahmed"/>
    <s v="North America"/>
    <d v="2025-02-01T00:00:00"/>
  </r>
  <r>
    <s v="SHP00873"/>
    <s v="BK50873"/>
    <d v="2025-06-04T00:00:00"/>
    <d v="2025-06-06T00:00:00"/>
    <d v="2025-07-03T00:00:00"/>
    <s v="Toyota"/>
    <s v="Automotive"/>
    <s v="Japan"/>
    <s v="Colombo"/>
    <s v="Singapore"/>
    <x v="4"/>
    <s v="Ever Ace"/>
    <s v="40FT"/>
    <n v="2"/>
    <s v="Electronics"/>
    <n v="55893.63"/>
    <n v="16100.29"/>
    <n v="3046.56"/>
    <n v="846.25"/>
    <n v="558.94000000000005"/>
    <n v="184.19"/>
    <n v="1019.62"/>
    <n v="34137.78"/>
    <n v="0"/>
    <s v="None"/>
    <n v="134.16999999999999"/>
    <s v="Completed"/>
    <s v="Paid"/>
    <s v="High"/>
    <s v="M. Ahmed"/>
    <s v="Europe"/>
    <d v="2025-06-01T00:00:00"/>
  </r>
  <r>
    <s v="SHP00788"/>
    <s v="BK50788"/>
    <d v="2025-08-30T00:00:00"/>
    <d v="2025-09-03T00:00:00"/>
    <d v="2025-09-13T00:00:00"/>
    <s v="Unilever"/>
    <s v="FMCG"/>
    <s v="UK"/>
    <s v="Jebel Ali"/>
    <s v="Singapore"/>
    <x v="2"/>
    <s v="Madrid Maersk"/>
    <s v="40FT"/>
    <n v="2"/>
    <s v="Chemicals"/>
    <n v="55921.89"/>
    <n v="9385.2000000000007"/>
    <n v="3721.4"/>
    <n v="928.57"/>
    <n v="559.22"/>
    <n v="675.78"/>
    <n v="914.58"/>
    <n v="39737.14"/>
    <n v="0"/>
    <s v="None"/>
    <n v="78.209999999999994"/>
    <s v="Completed"/>
    <s v="Paid"/>
    <s v="High"/>
    <s v="L. Chen"/>
    <s v="North America"/>
    <d v="2025-08-01T00:00:00"/>
  </r>
  <r>
    <s v="SHP00406"/>
    <s v="BK50406"/>
    <d v="2025-08-27T00:00:00"/>
    <d v="2025-08-30T00:00:00"/>
    <d v="2025-09-17T00:00:00"/>
    <s v="LG"/>
    <s v="Electronics"/>
    <s v="South Korea"/>
    <s v="Colombo"/>
    <s v="Jebel Ali"/>
    <x v="2"/>
    <s v="OOCL Hong Kong"/>
    <s v="High Cube"/>
    <n v="4"/>
    <s v="Auto Parts"/>
    <n v="56105.58"/>
    <n v="9564.34"/>
    <n v="4431.12"/>
    <n v="1408.64"/>
    <n v="561.05999999999995"/>
    <n v="787.94"/>
    <n v="2182.85"/>
    <n v="37169.629999999997"/>
    <n v="0"/>
    <s v="None"/>
    <n v="79.7"/>
    <s v="Completed"/>
    <s v="Pending"/>
    <s v="High"/>
    <s v="R. Mehta"/>
    <s v="Middle East"/>
    <d v="2025-08-01T00:00:00"/>
  </r>
  <r>
    <s v="SHP00859"/>
    <s v="BK50859"/>
    <d v="2025-10-04T00:00:00"/>
    <d v="2025-10-06T00:00:00"/>
    <d v="2025-10-27T00:00:00"/>
    <s v="Bosch"/>
    <s v="Manufacturing"/>
    <s v="Germany"/>
    <s v="Busan"/>
    <s v="Rotterdam"/>
    <x v="2"/>
    <s v="Mumbai Maersk"/>
    <s v="20FT"/>
    <n v="2"/>
    <s v="Machinery"/>
    <n v="56344.06"/>
    <n v="13054.93"/>
    <n v="2816.22"/>
    <n v="859.82"/>
    <n v="563.44000000000005"/>
    <n v="594.13"/>
    <n v="1859.55"/>
    <n v="36595.97"/>
    <n v="0"/>
    <s v="None"/>
    <n v="108.79"/>
    <s v="Completed"/>
    <s v="Pending"/>
    <s v="Standard"/>
    <s v="J. Smith"/>
    <s v="North America"/>
    <d v="2025-10-01T00:00:00"/>
  </r>
  <r>
    <s v="SHP00696"/>
    <s v="BK50696"/>
    <d v="2025-03-03T00:00:00"/>
    <d v="2025-03-05T00:00:00"/>
    <d v="2025-03-15T00:00:00"/>
    <s v="Nestlé"/>
    <s v="Food"/>
    <s v="Switzerland"/>
    <s v="Jebel Ali"/>
    <s v="Nhava Sheva"/>
    <x v="0"/>
    <s v="CMA CGM Jacques Saadé"/>
    <s v="Reefer"/>
    <n v="2"/>
    <s v="Electronics"/>
    <n v="56399.69"/>
    <n v="14989.8"/>
    <n v="2900.71"/>
    <n v="1350.27"/>
    <n v="564"/>
    <n v="344.49"/>
    <n v="650.1"/>
    <n v="35600.32"/>
    <n v="12"/>
    <s v="Weather"/>
    <n v="124.91"/>
    <s v="Delayed"/>
    <s v="Pending"/>
    <s v="Critical"/>
    <s v="A. Tan"/>
    <s v="Europe"/>
    <d v="2025-03-01T00:00:00"/>
  </r>
  <r>
    <s v="SHP00223"/>
    <s v="BK50223"/>
    <d v="2025-05-15T00:00:00"/>
    <d v="2025-05-19T00:00:00"/>
    <d v="2025-06-06T00:00:00"/>
    <s v="Pfizer"/>
    <s v="Pharma"/>
    <s v="USA"/>
    <s v="Colombo"/>
    <s v="Singapore"/>
    <x v="4"/>
    <s v="Madrid Maersk"/>
    <s v="20FT"/>
    <n v="2"/>
    <s v="Food"/>
    <n v="56510.63"/>
    <n v="9270.7000000000007"/>
    <n v="3564.58"/>
    <n v="818.98"/>
    <n v="565.11"/>
    <n v="313.74"/>
    <n v="2455.1799999999998"/>
    <n v="39522.339999999997"/>
    <n v="8"/>
    <s v="Weather"/>
    <n v="77.260000000000005"/>
    <s v="Delayed"/>
    <s v="Paid"/>
    <s v="High"/>
    <s v="M. Ahmed"/>
    <s v="North America"/>
    <d v="2025-05-01T00:00:00"/>
  </r>
  <r>
    <s v="SHP00220"/>
    <s v="BK50220"/>
    <d v="2025-08-17T00:00:00"/>
    <d v="2025-08-19T00:00:00"/>
    <d v="2025-09-13T00:00:00"/>
    <s v="IKEA"/>
    <s v="Retail"/>
    <s v="Sweden"/>
    <s v="Busan"/>
    <s v="Los Angeles"/>
    <x v="3"/>
    <s v="OOCL Hong Kong"/>
    <s v="High Cube"/>
    <n v="2"/>
    <s v="Furniture"/>
    <n v="56533.05"/>
    <n v="12591.83"/>
    <n v="2372.04"/>
    <n v="979.47"/>
    <n v="565.33000000000004"/>
    <n v="500.33"/>
    <n v="856.03"/>
    <n v="38668.019999999997"/>
    <n v="24"/>
    <s v="Port Congestion"/>
    <n v="104.93"/>
    <s v="Delayed"/>
    <s v="Paid"/>
    <s v="High"/>
    <s v="J. Smith"/>
    <s v="Middle East"/>
    <d v="2025-08-01T00:00:00"/>
  </r>
  <r>
    <s v="SHP00689"/>
    <s v="BK50689"/>
    <d v="2025-07-23T00:00:00"/>
    <d v="2025-07-27T00:00:00"/>
    <d v="2025-08-20T00:00:00"/>
    <s v="LG"/>
    <s v="Electronics"/>
    <s v="South Korea"/>
    <s v="Jebel Ali"/>
    <s v="Nhava Sheva"/>
    <x v="0"/>
    <s v="MSC Gülsün"/>
    <s v="40FT"/>
    <n v="2"/>
    <s v="Chemicals"/>
    <n v="56680.14"/>
    <n v="13415.76"/>
    <n v="4277.3100000000004"/>
    <n v="1000.76"/>
    <n v="566.79999999999995"/>
    <n v="601.30999999999995"/>
    <n v="1580.92"/>
    <n v="35237.279999999999"/>
    <n v="8"/>
    <s v="Customs"/>
    <n v="111.8"/>
    <s v="Delayed"/>
    <s v="Paid"/>
    <s v="Critical"/>
    <s v="J. Smith"/>
    <s v="Europe"/>
    <d v="2025-07-01T00:00:00"/>
  </r>
  <r>
    <s v="SHP00397"/>
    <s v="BK50397"/>
    <d v="2025-08-16T00:00:00"/>
    <d v="2025-08-17T00:00:00"/>
    <d v="2025-08-31T00:00:00"/>
    <s v="Amazon"/>
    <s v="E-commerce"/>
    <s v="USA"/>
    <s v="Los Angeles"/>
    <s v="Singapore"/>
    <x v="2"/>
    <s v="MSC Gülsün"/>
    <s v="Reefer"/>
    <n v="4"/>
    <s v="Machinery"/>
    <n v="56741.91"/>
    <n v="13884.77"/>
    <n v="4002.95"/>
    <n v="1322.15"/>
    <n v="567.41999999999996"/>
    <n v="474.85"/>
    <n v="917.96"/>
    <n v="35571.81"/>
    <n v="48"/>
    <s v="Mechanical"/>
    <n v="115.71"/>
    <s v="Delayed"/>
    <s v="Pending"/>
    <s v="High"/>
    <s v="R. Mehta"/>
    <s v="Asia"/>
    <d v="2025-08-01T00:00:00"/>
  </r>
  <r>
    <s v="SHP00954"/>
    <s v="BK50954"/>
    <d v="2025-12-09T00:00:00"/>
    <d v="2025-12-11T00:00:00"/>
    <d v="2026-01-01T00:00:00"/>
    <s v="Unilever"/>
    <s v="FMCG"/>
    <s v="UK"/>
    <s v="Singapore"/>
    <s v="Los Angeles"/>
    <x v="2"/>
    <s v="Monaco Maersk"/>
    <s v="40FT"/>
    <n v="2"/>
    <s v="Food"/>
    <n v="56791.77"/>
    <n v="12898.47"/>
    <n v="3066.15"/>
    <n v="1286.1300000000001"/>
    <n v="567.91999999999996"/>
    <n v="642.04999999999995"/>
    <n v="1827.34"/>
    <n v="36503.71"/>
    <n v="0"/>
    <s v="None"/>
    <n v="107.49"/>
    <s v="Completed"/>
    <s v="Paid"/>
    <s v="High"/>
    <s v="R. Mehta"/>
    <s v="Europe"/>
    <d v="2025-12-01T00:00:00"/>
  </r>
  <r>
    <s v="SHP00662"/>
    <s v="BK50662"/>
    <d v="2025-04-17T00:00:00"/>
    <d v="2025-04-21T00:00:00"/>
    <d v="2025-05-10T00:00:00"/>
    <s v="Pfizer"/>
    <s v="Pharma"/>
    <s v="USA"/>
    <s v="Colombo"/>
    <s v="Singapore"/>
    <x v="4"/>
    <s v="Mumbai Maersk"/>
    <s v="40FT"/>
    <n v="2"/>
    <s v="Auto Parts"/>
    <n v="57087.71"/>
    <n v="14143.33"/>
    <n v="3418.81"/>
    <n v="1535.93"/>
    <n v="570.88"/>
    <n v="385.05"/>
    <n v="1184.98"/>
    <n v="35848.730000000003"/>
    <n v="4"/>
    <s v="Weather"/>
    <n v="117.86"/>
    <s v="Delayed"/>
    <s v="Paid"/>
    <s v="Standard"/>
    <s v="J. Smith"/>
    <s v="Asia"/>
    <d v="2025-04-01T00:00:00"/>
  </r>
  <r>
    <s v="SHP00192"/>
    <s v="BK50192"/>
    <d v="2025-10-30T00:00:00"/>
    <d v="2025-11-03T00:00:00"/>
    <d v="2025-11-21T00:00:00"/>
    <s v="Reliance"/>
    <s v="Retail"/>
    <s v="India"/>
    <s v="Rotterdam"/>
    <s v="Los Angeles"/>
    <x v="2"/>
    <s v="Mary Maersk"/>
    <s v="40FT"/>
    <n v="2"/>
    <s v="Food"/>
    <n v="57409.54"/>
    <n v="14310.28"/>
    <n v="3915.86"/>
    <n v="1213.1600000000001"/>
    <n v="574.1"/>
    <n v="715.27"/>
    <n v="500.27"/>
    <n v="36180.6"/>
    <n v="0"/>
    <s v="None"/>
    <n v="119.25"/>
    <s v="Completed"/>
    <s v="Paid"/>
    <s v="Critical"/>
    <s v="R. Mehta"/>
    <s v="Asia"/>
    <d v="2025-10-01T00:00:00"/>
  </r>
  <r>
    <s v="SHP00445"/>
    <s v="BK50445"/>
    <d v="2025-10-30T00:00:00"/>
    <d v="2025-11-01T00:00:00"/>
    <d v="2025-11-26T00:00:00"/>
    <s v="Pfizer"/>
    <s v="Pharma"/>
    <s v="USA"/>
    <s v="Colombo"/>
    <s v="Singapore"/>
    <x v="4"/>
    <s v="CMA CGM Jacques Saadé"/>
    <s v="Reefer"/>
    <n v="4"/>
    <s v="Electronics"/>
    <n v="57467"/>
    <n v="16306.5"/>
    <n v="2680.18"/>
    <n v="1414.99"/>
    <n v="574.66999999999996"/>
    <n v="630.44000000000005"/>
    <n v="2361.86"/>
    <n v="33498.36"/>
    <n v="4"/>
    <s v="Weather"/>
    <n v="135.88999999999999"/>
    <s v="Delayed"/>
    <s v="Pending"/>
    <s v="High"/>
    <s v="L. Chen"/>
    <s v="Europe"/>
    <d v="2025-10-01T00:00:00"/>
  </r>
  <r>
    <s v="SHP00778"/>
    <s v="BK50778"/>
    <d v="2025-03-11T00:00:00"/>
    <d v="2025-03-12T00:00:00"/>
    <d v="2025-03-24T00:00:00"/>
    <s v="Adidas"/>
    <s v="Retail"/>
    <s v="Germany"/>
    <s v="Busan"/>
    <s v="Rotterdam"/>
    <x v="2"/>
    <s v="Madrid Maersk"/>
    <s v="High Cube"/>
    <n v="2"/>
    <s v="Furniture"/>
    <n v="57545.7"/>
    <n v="17010.43"/>
    <n v="4492.92"/>
    <n v="1569.89"/>
    <n v="575.46"/>
    <n v="706.15"/>
    <n v="371.25"/>
    <n v="32819.599999999999"/>
    <n v="0"/>
    <s v="None"/>
    <n v="141.75"/>
    <s v="Completed"/>
    <s v="Pending"/>
    <s v="Standard"/>
    <s v="M. Ahmed"/>
    <s v="Asia"/>
    <d v="2025-03-01T00:00:00"/>
  </r>
  <r>
    <s v="SHP00427"/>
    <s v="BK50427"/>
    <d v="2025-04-06T00:00:00"/>
    <d v="2025-04-08T00:00:00"/>
    <d v="2025-04-29T00:00:00"/>
    <s v="Unilever"/>
    <s v="FMCG"/>
    <s v="UK"/>
    <s v="Colombo"/>
    <s v="Singapore"/>
    <x v="4"/>
    <s v="OOCL Hong Kong"/>
    <s v="High Cube"/>
    <n v="2"/>
    <s v="Electronics"/>
    <n v="57738.559999999998"/>
    <n v="11015.92"/>
    <n v="3818.47"/>
    <n v="1617.83"/>
    <n v="577.39"/>
    <n v="372.29"/>
    <n v="1254.1300000000001"/>
    <n v="39082.53"/>
    <n v="0"/>
    <s v="None"/>
    <n v="91.8"/>
    <s v="Completed"/>
    <s v="Pending"/>
    <s v="High"/>
    <s v="A. Tan"/>
    <s v="Europe"/>
    <d v="2025-04-01T00:00:00"/>
  </r>
  <r>
    <s v="SHP00971"/>
    <s v="BK50971"/>
    <d v="2025-04-19T00:00:00"/>
    <d v="2025-04-20T00:00:00"/>
    <d v="2025-05-03T00:00:00"/>
    <s v="Adidas"/>
    <s v="Retail"/>
    <s v="Germany"/>
    <s v="Busan"/>
    <s v="Jebel Ali"/>
    <x v="2"/>
    <s v="Mumbai Maersk"/>
    <s v="Reefer"/>
    <n v="2"/>
    <s v="Machinery"/>
    <n v="57772.38"/>
    <n v="13177.45"/>
    <n v="4514.2700000000004"/>
    <n v="1332.71"/>
    <n v="577.72"/>
    <n v="718.05"/>
    <n v="2014.21"/>
    <n v="35437.97"/>
    <n v="8"/>
    <s v="Port Congestion"/>
    <n v="109.81"/>
    <s v="Delayed"/>
    <s v="Paid"/>
    <s v="High"/>
    <s v="R. Mehta"/>
    <s v="North America"/>
    <d v="2025-04-01T00:00:00"/>
  </r>
  <r>
    <s v="SHP00968"/>
    <s v="BK50968"/>
    <d v="2025-10-26T00:00:00"/>
    <d v="2025-10-30T00:00:00"/>
    <d v="2025-11-22T00:00:00"/>
    <s v="Unilever"/>
    <s v="FMCG"/>
    <s v="UK"/>
    <s v="Jebel Ali"/>
    <s v="Nhava Sheva"/>
    <x v="0"/>
    <s v="Mary Maersk"/>
    <s v="High Cube"/>
    <n v="2"/>
    <s v="Electronics"/>
    <n v="57783.59"/>
    <n v="16129.49"/>
    <n v="4086.69"/>
    <n v="652.01"/>
    <n v="577.84"/>
    <n v="285.82"/>
    <n v="391.21"/>
    <n v="35660.53"/>
    <n v="8"/>
    <s v="Mechanical"/>
    <n v="134.41"/>
    <s v="Delayed"/>
    <s v="Pending"/>
    <s v="Critical"/>
    <s v="L. Chen"/>
    <s v="Middle East"/>
    <d v="2025-10-01T00:00:00"/>
  </r>
  <r>
    <s v="SHP00523"/>
    <s v="BK50523"/>
    <d v="2025-08-14T00:00:00"/>
    <d v="2025-08-15T00:00:00"/>
    <d v="2025-09-11T00:00:00"/>
    <s v="Toyota"/>
    <s v="Automotive"/>
    <s v="Japan"/>
    <s v="Shanghai"/>
    <s v="Rotterdam"/>
    <x v="1"/>
    <s v="MSC Gülsün"/>
    <s v="20FT"/>
    <n v="2"/>
    <s v="Food"/>
    <n v="57974.07"/>
    <n v="15560.01"/>
    <n v="3242.59"/>
    <n v="1061.57"/>
    <n v="579.74"/>
    <n v="486.39"/>
    <n v="623.54"/>
    <n v="36420.230000000003"/>
    <n v="0"/>
    <s v="None"/>
    <n v="129.66999999999999"/>
    <s v="Completed"/>
    <s v="Paid"/>
    <s v="High"/>
    <s v="A. Tan"/>
    <s v="Asia"/>
    <d v="2025-08-01T00:00:00"/>
  </r>
  <r>
    <s v="SHP00085"/>
    <s v="BK50085"/>
    <d v="2025-08-08T00:00:00"/>
    <d v="2025-08-09T00:00:00"/>
    <d v="2025-09-04T00:00:00"/>
    <s v="LG"/>
    <s v="Electronics"/>
    <s v="South Korea"/>
    <s v="Shanghai"/>
    <s v="Rotterdam"/>
    <x v="1"/>
    <s v="Ever Ace"/>
    <s v="20FT"/>
    <n v="2"/>
    <s v="Machinery"/>
    <n v="58213.16"/>
    <n v="14612.99"/>
    <n v="3952.11"/>
    <n v="1393.65"/>
    <n v="582.13"/>
    <n v="587.22"/>
    <n v="2271.11"/>
    <n v="34813.949999999997"/>
    <n v="0"/>
    <s v="None"/>
    <n v="121.77"/>
    <s v="Completed"/>
    <s v="Paid"/>
    <s v="High"/>
    <s v="R. Mehta"/>
    <s v="North America"/>
    <d v="2025-08-01T00:00:00"/>
  </r>
  <r>
    <s v="SHP00661"/>
    <s v="BK50661"/>
    <d v="2025-01-12T00:00:00"/>
    <d v="2025-01-16T00:00:00"/>
    <d v="2025-02-13T00:00:00"/>
    <s v="Toyota"/>
    <s v="Automotive"/>
    <s v="Japan"/>
    <s v="Jebel Ali"/>
    <s v="Hamburg"/>
    <x v="2"/>
    <s v="MSC Gülsün"/>
    <s v="40FT"/>
    <n v="2"/>
    <s v="Machinery"/>
    <n v="58213.62"/>
    <n v="11992.08"/>
    <n v="2447.23"/>
    <n v="1410.61"/>
    <n v="582.14"/>
    <n v="875.39"/>
    <n v="2408.58"/>
    <n v="38497.589999999997"/>
    <n v="24"/>
    <s v="Mechanical"/>
    <n v="99.93"/>
    <s v="Delayed"/>
    <s v="Paid"/>
    <s v="High"/>
    <s v="R. Mehta"/>
    <s v="Asia"/>
    <d v="2025-01-01T00:00:00"/>
  </r>
  <r>
    <s v="SHP00006"/>
    <s v="BK50006"/>
    <d v="2025-08-16T00:00:00"/>
    <d v="2025-08-19T00:00:00"/>
    <d v="2025-09-11T00:00:00"/>
    <s v="Bosch"/>
    <s v="Manufacturing"/>
    <s v="Germany"/>
    <s v="Busan"/>
    <s v="Los Angeles"/>
    <x v="3"/>
    <s v="Mary Maersk"/>
    <s v="High Cube"/>
    <n v="2"/>
    <s v="Chemicals"/>
    <n v="58605.69"/>
    <n v="9838.74"/>
    <n v="2538.7800000000002"/>
    <n v="1540.42"/>
    <n v="586.05999999999995"/>
    <n v="222.65"/>
    <n v="934.84"/>
    <n v="42944.2"/>
    <n v="4"/>
    <s v="Weather"/>
    <n v="81.99"/>
    <s v="Delayed"/>
    <s v="Paid"/>
    <s v="High"/>
    <s v="R. Mehta"/>
    <s v="Asia"/>
    <d v="2025-08-01T00:00:00"/>
  </r>
  <r>
    <s v="SHP00800"/>
    <s v="BK50800"/>
    <d v="2025-03-15T00:00:00"/>
    <d v="2025-03-17T00:00:00"/>
    <d v="2025-03-28T00:00:00"/>
    <s v="Nestlé"/>
    <s v="Food"/>
    <s v="Switzerland"/>
    <s v="Jebel Ali"/>
    <s v="Nhava Sheva"/>
    <x v="0"/>
    <s v="Mary Maersk"/>
    <s v="Reefer"/>
    <n v="2"/>
    <s v="Auto Parts"/>
    <n v="58667.03"/>
    <n v="10044.99"/>
    <n v="4514.6000000000004"/>
    <n v="689.58"/>
    <n v="586.66999999999996"/>
    <n v="311.43"/>
    <n v="1833.42"/>
    <n v="40686.339999999997"/>
    <n v="12"/>
    <s v="Labor Strike"/>
    <n v="83.71"/>
    <s v="Delayed"/>
    <s v="Pending"/>
    <s v="Critical"/>
    <s v="R. Mehta"/>
    <s v="Middle East"/>
    <d v="2025-03-01T00:00:00"/>
  </r>
  <r>
    <s v="SHP00710"/>
    <s v="BK50710"/>
    <d v="2025-07-10T00:00:00"/>
    <d v="2025-07-12T00:00:00"/>
    <d v="2025-07-25T00:00:00"/>
    <s v="Toyota"/>
    <s v="Automotive"/>
    <s v="Japan"/>
    <s v="Nhava Sheva"/>
    <s v="Nhava Sheva"/>
    <x v="2"/>
    <s v="MSC Gülsün"/>
    <s v="Reefer"/>
    <n v="4"/>
    <s v="Food"/>
    <n v="58706.39"/>
    <n v="12541.18"/>
    <n v="4550.91"/>
    <n v="1668.1"/>
    <n v="587.05999999999995"/>
    <n v="794.07"/>
    <n v="561.4"/>
    <n v="38003.67"/>
    <n v="0"/>
    <s v="None"/>
    <n v="104.51"/>
    <s v="Completed"/>
    <s v="Pending"/>
    <s v="High"/>
    <s v="L. Chen"/>
    <s v="North America"/>
    <d v="2025-07-01T00:00:00"/>
  </r>
  <r>
    <s v="SHP00152"/>
    <s v="BK50152"/>
    <d v="2025-09-25T00:00:00"/>
    <d v="2025-09-26T00:00:00"/>
    <d v="2025-10-19T00:00:00"/>
    <s v="Samsung"/>
    <s v="Electronics"/>
    <s v="South Korea"/>
    <s v="Busan"/>
    <s v="Los Angeles"/>
    <x v="3"/>
    <s v="Monaco Maersk"/>
    <s v="High Cube"/>
    <n v="4"/>
    <s v="Machinery"/>
    <n v="58892.89"/>
    <n v="12085.59"/>
    <n v="3432.6"/>
    <n v="906.05"/>
    <n v="588.92999999999995"/>
    <n v="434.07"/>
    <n v="1661.18"/>
    <n v="39784.47"/>
    <n v="24"/>
    <s v="Labor Strike"/>
    <n v="100.71"/>
    <s v="Delayed"/>
    <s v="Pending"/>
    <s v="High"/>
    <s v="L. Chen"/>
    <s v="Asia"/>
    <d v="2025-09-01T00:00:00"/>
  </r>
  <r>
    <s v="SHP00166"/>
    <s v="BK50166"/>
    <d v="2025-12-17T00:00:00"/>
    <d v="2025-12-21T00:00:00"/>
    <d v="2026-01-11T00:00:00"/>
    <s v="Nestlé"/>
    <s v="Food"/>
    <s v="Switzerland"/>
    <s v="Singapore"/>
    <s v="Rotterdam"/>
    <x v="1"/>
    <s v="Mumbai Maersk"/>
    <s v="20FT"/>
    <n v="4"/>
    <s v="Machinery"/>
    <n v="58987.53"/>
    <n v="15129.58"/>
    <n v="4144.1400000000003"/>
    <n v="593.34"/>
    <n v="589.88"/>
    <n v="792.61"/>
    <n v="770.94"/>
    <n v="36967.040000000001"/>
    <n v="8"/>
    <s v="Customs"/>
    <n v="126.08"/>
    <s v="Delayed"/>
    <s v="Pending"/>
    <s v="High"/>
    <s v="M. Ahmed"/>
    <s v="North America"/>
    <d v="2025-12-01T00:00:00"/>
  </r>
  <r>
    <s v="SHP00811"/>
    <s v="BK50811"/>
    <d v="2025-10-02T00:00:00"/>
    <d v="2025-10-06T00:00:00"/>
    <d v="2025-11-01T00:00:00"/>
    <s v="Unilever"/>
    <s v="FMCG"/>
    <s v="UK"/>
    <s v="Jebel Ali"/>
    <s v="Colombo"/>
    <x v="2"/>
    <s v="CMA CGM Jacques Saadé"/>
    <s v="High Cube"/>
    <n v="2"/>
    <s v="Machinery"/>
    <n v="59208.12"/>
    <n v="12620.41"/>
    <n v="3426.55"/>
    <n v="890.25"/>
    <n v="592.08000000000004"/>
    <n v="878.36"/>
    <n v="1145.57"/>
    <n v="39654.9"/>
    <n v="36"/>
    <s v="Mechanical"/>
    <n v="105.17"/>
    <s v="Delayed"/>
    <s v="Pending"/>
    <s v="Critical"/>
    <s v="L. Chen"/>
    <s v="Asia"/>
    <d v="2025-10-01T00:00:00"/>
  </r>
  <r>
    <s v="SHP00936"/>
    <s v="BK50936"/>
    <d v="2025-09-06T00:00:00"/>
    <d v="2025-09-09T00:00:00"/>
    <d v="2025-10-06T00:00:00"/>
    <s v="Unilever"/>
    <s v="FMCG"/>
    <s v="UK"/>
    <s v="Singapore"/>
    <s v="Los Angeles"/>
    <x v="2"/>
    <s v="CMA CGM Jacques Saadé"/>
    <s v="20FT"/>
    <n v="2"/>
    <s v="Chemicals"/>
    <n v="59218.93"/>
    <n v="13062.49"/>
    <n v="2480.4899999999998"/>
    <n v="1199.67"/>
    <n v="592.19000000000005"/>
    <n v="245.39"/>
    <n v="1017.24"/>
    <n v="40621.46"/>
    <n v="4"/>
    <s v="Labor Strike"/>
    <n v="108.85"/>
    <s v="Delayed"/>
    <s v="Paid"/>
    <s v="High"/>
    <s v="L. Chen"/>
    <s v="North America"/>
    <d v="2025-09-01T00:00:00"/>
  </r>
  <r>
    <s v="SHP00609"/>
    <s v="BK50609"/>
    <d v="2025-10-30T00:00:00"/>
    <d v="2025-11-02T00:00:00"/>
    <d v="2025-11-12T00:00:00"/>
    <s v="Unilever"/>
    <s v="FMCG"/>
    <s v="UK"/>
    <s v="Singapore"/>
    <s v="Rotterdam"/>
    <x v="1"/>
    <s v="CMA CGM Jacques Saadé"/>
    <s v="40FT"/>
    <n v="2"/>
    <s v="Auto Parts"/>
    <n v="59313.98"/>
    <n v="14964.64"/>
    <n v="2509.17"/>
    <n v="1283.1300000000001"/>
    <n v="593.14"/>
    <n v="798.59"/>
    <n v="517.29"/>
    <n v="38648.019999999997"/>
    <n v="0"/>
    <s v="None"/>
    <n v="124.71"/>
    <s v="Completed"/>
    <s v="Paid"/>
    <s v="High"/>
    <s v="L. Chen"/>
    <s v="North America"/>
    <d v="2025-10-01T00:00:00"/>
  </r>
  <r>
    <s v="SHP00244"/>
    <s v="BK50244"/>
    <d v="2025-04-15T00:00:00"/>
    <d v="2025-04-16T00:00:00"/>
    <d v="2025-05-12T00:00:00"/>
    <s v="Reliance"/>
    <s v="Retail"/>
    <s v="India"/>
    <s v="Singapore"/>
    <s v="Rotterdam"/>
    <x v="1"/>
    <s v="OOCL Hong Kong"/>
    <s v="20FT"/>
    <n v="4"/>
    <s v="Machinery"/>
    <n v="59358.879999999997"/>
    <n v="13844.87"/>
    <n v="2967.83"/>
    <n v="598.39"/>
    <n v="593.59"/>
    <n v="872.66"/>
    <n v="1497.96"/>
    <n v="38983.58"/>
    <n v="0"/>
    <s v="None"/>
    <n v="115.37"/>
    <s v="Completed"/>
    <s v="Paid"/>
    <s v="Critical"/>
    <s v="J. Smith"/>
    <s v="Middle East"/>
    <d v="2025-04-01T00:00:00"/>
  </r>
  <r>
    <s v="SHP00502"/>
    <s v="BK50502"/>
    <d v="2025-09-29T00:00:00"/>
    <d v="2025-10-02T00:00:00"/>
    <d v="2025-10-23T00:00:00"/>
    <s v="Reliance"/>
    <s v="Retail"/>
    <s v="India"/>
    <s v="Jebel Ali"/>
    <s v="New York"/>
    <x v="2"/>
    <s v="CMA CGM Jacques Saadé"/>
    <s v="40FT"/>
    <n v="2"/>
    <s v="Textiles"/>
    <n v="59441.57"/>
    <n v="14060.56"/>
    <n v="3298.42"/>
    <n v="1633.17"/>
    <n v="594.41999999999996"/>
    <n v="143.38"/>
    <n v="2018.44"/>
    <n v="37693.18"/>
    <n v="8"/>
    <s v="Port Congestion"/>
    <n v="117.17"/>
    <s v="Delayed"/>
    <s v="Paid"/>
    <s v="Critical"/>
    <s v="L. Chen"/>
    <s v="Asia"/>
    <d v="2025-09-01T00:00:00"/>
  </r>
  <r>
    <s v="SHP00447"/>
    <s v="BK50447"/>
    <d v="2025-10-05T00:00:00"/>
    <d v="2025-10-08T00:00:00"/>
    <d v="2025-11-03T00:00:00"/>
    <s v="Bosch"/>
    <s v="Manufacturing"/>
    <s v="Germany"/>
    <s v="Colombo"/>
    <s v="Singapore"/>
    <x v="4"/>
    <s v="Ever Ace"/>
    <s v="20FT"/>
    <n v="4"/>
    <s v="Food"/>
    <n v="59585.32"/>
    <n v="17329.84"/>
    <n v="2520.5300000000002"/>
    <n v="1335.65"/>
    <n v="595.85"/>
    <n v="656.28"/>
    <n v="1289.71"/>
    <n v="35857.46"/>
    <n v="8"/>
    <s v="Customs"/>
    <n v="144.41999999999999"/>
    <s v="Delayed"/>
    <s v="Pending"/>
    <s v="Standard"/>
    <s v="M. Ahmed"/>
    <s v="Asia"/>
    <d v="2025-10-01T00:00:00"/>
  </r>
  <r>
    <s v="SHP00886"/>
    <s v="BK50886"/>
    <d v="2025-02-02T00:00:00"/>
    <d v="2025-02-05T00:00:00"/>
    <d v="2025-02-22T00:00:00"/>
    <s v="Toyota"/>
    <s v="Automotive"/>
    <s v="Japan"/>
    <s v="Singapore"/>
    <s v="Rotterdam"/>
    <x v="1"/>
    <s v="CMA CGM Jacques Saadé"/>
    <s v="20FT"/>
    <n v="2"/>
    <s v="Chemicals"/>
    <n v="59619.05"/>
    <n v="11984.39"/>
    <n v="3798.56"/>
    <n v="754.34"/>
    <n v="596.19000000000005"/>
    <n v="300.43"/>
    <n v="1280.8399999999999"/>
    <n v="40904.300000000003"/>
    <n v="36"/>
    <s v="Weather"/>
    <n v="99.87"/>
    <s v="Delayed"/>
    <s v="Pending"/>
    <s v="Critical"/>
    <s v="A. Tan"/>
    <s v="Europe"/>
    <d v="2025-02-01T00:00:00"/>
  </r>
  <r>
    <s v="SHP00059"/>
    <s v="BK50059"/>
    <d v="2025-05-26T00:00:00"/>
    <d v="2025-05-30T00:00:00"/>
    <d v="2025-06-13T00:00:00"/>
    <s v="Adidas"/>
    <s v="Retail"/>
    <s v="Germany"/>
    <s v="Jebel Ali"/>
    <s v="Nhava Sheva"/>
    <x v="0"/>
    <s v="Monaco Maersk"/>
    <s v="Reefer"/>
    <n v="2"/>
    <s v="Furniture"/>
    <n v="59760.08"/>
    <n v="14377.64"/>
    <n v="3788.17"/>
    <n v="1172.57"/>
    <n v="597.6"/>
    <n v="865.57"/>
    <n v="1252"/>
    <n v="37706.53"/>
    <n v="36"/>
    <s v="Weather"/>
    <n v="119.81"/>
    <s v="Delayed"/>
    <s v="Paid"/>
    <s v="High"/>
    <s v="M. Ahmed"/>
    <s v="Middle East"/>
    <d v="2025-05-01T00:00:00"/>
  </r>
  <r>
    <s v="SHP00140"/>
    <s v="BK50140"/>
    <d v="2025-10-05T00:00:00"/>
    <d v="2025-10-06T00:00:00"/>
    <d v="2025-11-02T00:00:00"/>
    <s v="Pfizer"/>
    <s v="Pharma"/>
    <s v="USA"/>
    <s v="Shanghai"/>
    <s v="Rotterdam"/>
    <x v="1"/>
    <s v="Madrid Maersk"/>
    <s v="Reefer"/>
    <n v="2"/>
    <s v="Electronics"/>
    <n v="59848.5"/>
    <n v="13625.55"/>
    <n v="4771.07"/>
    <n v="1480.25"/>
    <n v="598.49"/>
    <n v="576.16"/>
    <n v="386.94"/>
    <n v="38410.04"/>
    <n v="0"/>
    <s v="None"/>
    <n v="113.55"/>
    <s v="Completed"/>
    <s v="Paid"/>
    <s v="Standard"/>
    <s v="R. Mehta"/>
    <s v="Asia"/>
    <d v="2025-10-01T00:00:00"/>
  </r>
  <r>
    <s v="SHP00282"/>
    <s v="BK50282"/>
    <d v="2025-05-03T00:00:00"/>
    <d v="2025-05-06T00:00:00"/>
    <d v="2025-05-29T00:00:00"/>
    <s v="Bosch"/>
    <s v="Manufacturing"/>
    <s v="Germany"/>
    <s v="New York"/>
    <s v="Singapore"/>
    <x v="2"/>
    <s v="Mumbai Maersk"/>
    <s v="20FT"/>
    <n v="2"/>
    <s v="Chemicals"/>
    <n v="60716.9"/>
    <n v="14239.91"/>
    <n v="2528.92"/>
    <n v="1404.14"/>
    <n v="607.16999999999996"/>
    <n v="728.63"/>
    <n v="2099.3200000000002"/>
    <n v="39108.81"/>
    <n v="8"/>
    <s v="Labor Strike"/>
    <n v="118.67"/>
    <s v="Delayed"/>
    <s v="Pending"/>
    <s v="High"/>
    <s v="A. Tan"/>
    <s v="Europe"/>
    <d v="2025-05-01T00:00:00"/>
  </r>
  <r>
    <s v="SHP00706"/>
    <s v="BK50706"/>
    <d v="2025-07-27T00:00:00"/>
    <d v="2025-07-28T00:00:00"/>
    <d v="2025-08-19T00:00:00"/>
    <s v="Amazon"/>
    <s v="E-commerce"/>
    <s v="USA"/>
    <s v="Singapore"/>
    <s v="New York"/>
    <x v="2"/>
    <s v="CMA CGM Jacques Saadé"/>
    <s v="High Cube"/>
    <n v="2"/>
    <s v="Textiles"/>
    <n v="60963.95"/>
    <n v="14624.88"/>
    <n v="2457.39"/>
    <n v="1523.21"/>
    <n v="609.64"/>
    <n v="109.86"/>
    <n v="1805.27"/>
    <n v="39833.699999999997"/>
    <n v="48"/>
    <s v="Customs"/>
    <n v="121.87"/>
    <s v="Delayed"/>
    <s v="Pending"/>
    <s v="Critical"/>
    <s v="M. Ahmed"/>
    <s v="Asia"/>
    <d v="2025-07-01T00:00:00"/>
  </r>
  <r>
    <s v="SHP00286"/>
    <s v="BK50286"/>
    <d v="2025-03-16T00:00:00"/>
    <d v="2025-03-18T00:00:00"/>
    <d v="2025-04-15T00:00:00"/>
    <s v="Pfizer"/>
    <s v="Pharma"/>
    <s v="USA"/>
    <s v="Colombo"/>
    <s v="Singapore"/>
    <x v="4"/>
    <s v="MSC Gülsün"/>
    <s v="40FT"/>
    <n v="2"/>
    <s v="Machinery"/>
    <n v="61063.64"/>
    <n v="12068.73"/>
    <n v="3604.42"/>
    <n v="1268.83"/>
    <n v="610.64"/>
    <n v="317.74"/>
    <n v="1180.51"/>
    <n v="42012.77"/>
    <n v="8"/>
    <s v="Weather"/>
    <n v="100.57"/>
    <s v="Delayed"/>
    <s v="Pending"/>
    <s v="Critical"/>
    <s v="A. Tan"/>
    <s v="Asia"/>
    <d v="2025-03-01T00:00:00"/>
  </r>
  <r>
    <s v="SHP00572"/>
    <s v="BK50572"/>
    <d v="2025-07-22T00:00:00"/>
    <d v="2025-07-23T00:00:00"/>
    <d v="2025-08-03T00:00:00"/>
    <s v="Siemens"/>
    <s v="Engineering"/>
    <s v="Germany"/>
    <s v="Busan"/>
    <s v="Nhava Sheva"/>
    <x v="2"/>
    <s v="Madrid Maersk"/>
    <s v="High Cube"/>
    <n v="2"/>
    <s v="Auto Parts"/>
    <n v="61289.63"/>
    <n v="16820.349999999999"/>
    <n v="4612.3599999999997"/>
    <n v="993"/>
    <n v="612.9"/>
    <n v="126.81"/>
    <n v="1355.16"/>
    <n v="36769.050000000003"/>
    <n v="12"/>
    <s v="Port Congestion"/>
    <n v="140.16999999999999"/>
    <s v="Delayed"/>
    <s v="Paid"/>
    <s v="Standard"/>
    <s v="L. Chen"/>
    <s v="Asia"/>
    <d v="2025-07-01T00:00:00"/>
  </r>
  <r>
    <s v="SHP00525"/>
    <s v="BK50525"/>
    <d v="2025-04-24T00:00:00"/>
    <d v="2025-04-27T00:00:00"/>
    <d v="2025-05-20T00:00:00"/>
    <s v="Samsung"/>
    <s v="Electronics"/>
    <s v="South Korea"/>
    <s v="Busan"/>
    <s v="Jebel Ali"/>
    <x v="2"/>
    <s v="OOCL Hong Kong"/>
    <s v="High Cube"/>
    <n v="4"/>
    <s v="Auto Parts"/>
    <n v="61337.61"/>
    <n v="18001.64"/>
    <n v="3629.26"/>
    <n v="1616.36"/>
    <n v="613.38"/>
    <n v="173.61"/>
    <n v="314.86"/>
    <n v="36988.5"/>
    <n v="0"/>
    <s v="None"/>
    <n v="150.01"/>
    <s v="Completed"/>
    <s v="Paid"/>
    <s v="High"/>
    <s v="A. Tan"/>
    <s v="Asia"/>
    <d v="2025-04-01T00:00:00"/>
  </r>
  <r>
    <s v="SHP00775"/>
    <s v="BK50775"/>
    <d v="2025-11-26T00:00:00"/>
    <d v="2025-11-29T00:00:00"/>
    <d v="2025-12-18T00:00:00"/>
    <s v="LG"/>
    <s v="Electronics"/>
    <s v="South Korea"/>
    <s v="Shanghai"/>
    <s v="Rotterdam"/>
    <x v="1"/>
    <s v="MSC Gülsün"/>
    <s v="40FT"/>
    <n v="2"/>
    <s v="Furniture"/>
    <n v="61345.7"/>
    <n v="16763.89"/>
    <n v="2904.06"/>
    <n v="1454"/>
    <n v="613.46"/>
    <n v="400.24"/>
    <n v="2476.0300000000002"/>
    <n v="36734.019999999997"/>
    <n v="0"/>
    <s v="None"/>
    <n v="139.69999999999999"/>
    <s v="Completed"/>
    <s v="Paid"/>
    <s v="Standard"/>
    <s v="J. Smith"/>
    <s v="Middle East"/>
    <d v="2025-11-01T00:00:00"/>
  </r>
  <r>
    <s v="SHP00303"/>
    <s v="BK50303"/>
    <d v="2025-03-27T00:00:00"/>
    <d v="2025-03-29T00:00:00"/>
    <d v="2025-04-21T00:00:00"/>
    <s v="Samsung"/>
    <s v="Electronics"/>
    <s v="South Korea"/>
    <s v="New York"/>
    <s v="Colombo"/>
    <x v="2"/>
    <s v="CMA CGM Jacques Saadé"/>
    <s v="Reefer"/>
    <n v="2"/>
    <s v="Furniture"/>
    <n v="61354.82"/>
    <n v="15422.81"/>
    <n v="4364.28"/>
    <n v="1107.6099999999999"/>
    <n v="613.54999999999995"/>
    <n v="646.09"/>
    <n v="2440.08"/>
    <n v="36760.400000000001"/>
    <n v="0"/>
    <s v="None"/>
    <n v="128.52000000000001"/>
    <s v="Completed"/>
    <s v="Pending"/>
    <s v="High"/>
    <s v="A. Tan"/>
    <s v="Asia"/>
    <d v="2025-03-01T00:00:00"/>
  </r>
  <r>
    <s v="SHP00098"/>
    <s v="BK50098"/>
    <d v="2025-01-24T00:00:00"/>
    <d v="2025-01-26T00:00:00"/>
    <d v="2025-02-08T00:00:00"/>
    <s v="Amazon"/>
    <s v="E-commerce"/>
    <s v="USA"/>
    <s v="Busan"/>
    <s v="Los Angeles"/>
    <x v="3"/>
    <s v="CMA CGM Jacques Saadé"/>
    <s v="Reefer"/>
    <n v="2"/>
    <s v="Chemicals"/>
    <n v="61610.66"/>
    <n v="15061.4"/>
    <n v="3528.34"/>
    <n v="1471.8"/>
    <n v="616.11"/>
    <n v="543.15"/>
    <n v="2043.92"/>
    <n v="38345.94"/>
    <n v="48"/>
    <s v="Mechanical"/>
    <n v="125.51"/>
    <s v="Delayed"/>
    <s v="Paid"/>
    <s v="Standard"/>
    <s v="J. Smith"/>
    <s v="Europe"/>
    <d v="2025-01-01T00:00:00"/>
  </r>
  <r>
    <s v="SHP00780"/>
    <s v="BK50780"/>
    <d v="2025-09-12T00:00:00"/>
    <d v="2025-09-15T00:00:00"/>
    <d v="2025-09-25T00:00:00"/>
    <s v="Amazon"/>
    <s v="E-commerce"/>
    <s v="USA"/>
    <s v="Jebel Ali"/>
    <s v="Nhava Sheva"/>
    <x v="0"/>
    <s v="MSC Gülsün"/>
    <s v="High Cube"/>
    <n v="2"/>
    <s v="Food"/>
    <n v="61785.7"/>
    <n v="16600.46"/>
    <n v="3087.69"/>
    <n v="681.23"/>
    <n v="617.86"/>
    <n v="702.64"/>
    <n v="2386.6"/>
    <n v="37709.22"/>
    <n v="12"/>
    <s v="Mechanical"/>
    <n v="138.34"/>
    <s v="Delayed"/>
    <s v="Pending"/>
    <s v="High"/>
    <s v="M. Ahmed"/>
    <s v="Middle East"/>
    <d v="2025-09-01T00:00:00"/>
  </r>
  <r>
    <s v="SHP00610"/>
    <s v="BK50610"/>
    <d v="2025-07-15T00:00:00"/>
    <d v="2025-07-19T00:00:00"/>
    <d v="2025-08-14T00:00:00"/>
    <s v="Unilever"/>
    <s v="FMCG"/>
    <s v="UK"/>
    <s v="Busan"/>
    <s v="Los Angeles"/>
    <x v="3"/>
    <s v="Monaco Maersk"/>
    <s v="High Cube"/>
    <n v="2"/>
    <s v="Textiles"/>
    <n v="62000.71"/>
    <n v="17260.12"/>
    <n v="2899.12"/>
    <n v="1386.15"/>
    <n v="620.01"/>
    <n v="214.29"/>
    <n v="728.36"/>
    <n v="38892.660000000003"/>
    <n v="12"/>
    <s v="Mechanical"/>
    <n v="143.83000000000001"/>
    <s v="Delayed"/>
    <s v="Pending"/>
    <s v="Standard"/>
    <s v="J. Smith"/>
    <s v="Middle East"/>
    <d v="2025-07-01T00:00:00"/>
  </r>
  <r>
    <s v="SHP00918"/>
    <s v="BK50918"/>
    <d v="2025-10-25T00:00:00"/>
    <d v="2025-10-29T00:00:00"/>
    <d v="2025-11-19T00:00:00"/>
    <s v="Toyota"/>
    <s v="Automotive"/>
    <s v="Japan"/>
    <s v="Busan"/>
    <s v="Hamburg"/>
    <x v="2"/>
    <s v="Mumbai Maersk"/>
    <s v="Reefer"/>
    <n v="2"/>
    <s v="Auto Parts"/>
    <n v="62047.39"/>
    <n v="11547.61"/>
    <n v="4383.95"/>
    <n v="827.76"/>
    <n v="620.47"/>
    <n v="791.41"/>
    <n v="1410.75"/>
    <n v="42465.440000000002"/>
    <n v="0"/>
    <s v="None"/>
    <n v="96.23"/>
    <s v="Completed"/>
    <s v="Paid"/>
    <s v="Standard"/>
    <s v="A. Tan"/>
    <s v="Europe"/>
    <d v="2025-10-01T00:00:00"/>
  </r>
  <r>
    <s v="SHP00074"/>
    <s v="BK50074"/>
    <d v="2025-03-26T00:00:00"/>
    <d v="2025-03-29T00:00:00"/>
    <d v="2025-04-11T00:00:00"/>
    <s v="Siemens"/>
    <s v="Engineering"/>
    <s v="Germany"/>
    <s v="Colombo"/>
    <s v="Singapore"/>
    <x v="4"/>
    <s v="Mumbai Maersk"/>
    <s v="20FT"/>
    <n v="4"/>
    <s v="Textiles"/>
    <n v="62047.42"/>
    <n v="15724"/>
    <n v="4830.3100000000004"/>
    <n v="1068.48"/>
    <n v="620.47"/>
    <n v="233.15"/>
    <n v="855.39"/>
    <n v="38715.620000000003"/>
    <n v="0"/>
    <s v="None"/>
    <n v="131.03"/>
    <s v="Completed"/>
    <s v="Paid"/>
    <s v="Standard"/>
    <s v="R. Mehta"/>
    <s v="Asia"/>
    <d v="2025-03-01T00:00:00"/>
  </r>
  <r>
    <s v="SHP00965"/>
    <s v="BK50965"/>
    <d v="2025-04-11T00:00:00"/>
    <d v="2025-04-13T00:00:00"/>
    <d v="2025-05-03T00:00:00"/>
    <s v="Samsung"/>
    <s v="Electronics"/>
    <s v="South Korea"/>
    <s v="Busan"/>
    <s v="Los Angeles"/>
    <x v="3"/>
    <s v="Madrid Maersk"/>
    <s v="High Cube"/>
    <n v="2"/>
    <s v="Chemicals"/>
    <n v="62097.02"/>
    <n v="12699.25"/>
    <n v="4512.22"/>
    <n v="674.6"/>
    <n v="620.97"/>
    <n v="770.9"/>
    <n v="723.17"/>
    <n v="42095.91"/>
    <n v="48"/>
    <s v="Mechanical"/>
    <n v="105.83"/>
    <s v="Delayed"/>
    <s v="Pending"/>
    <s v="Critical"/>
    <s v="A. Tan"/>
    <s v="Asia"/>
    <d v="2025-04-01T00:00:00"/>
  </r>
  <r>
    <s v="SHP00436"/>
    <s v="BK50436"/>
    <d v="2025-01-19T00:00:00"/>
    <d v="2025-01-23T00:00:00"/>
    <d v="2025-02-20T00:00:00"/>
    <s v="LG"/>
    <s v="Electronics"/>
    <s v="South Korea"/>
    <s v="Hamburg"/>
    <s v="Los Angeles"/>
    <x v="2"/>
    <s v="MSC Gülsün"/>
    <s v="Reefer"/>
    <n v="2"/>
    <s v="Machinery"/>
    <n v="62208.67"/>
    <n v="10409.51"/>
    <n v="4469.1899999999996"/>
    <n v="938.45"/>
    <n v="622.09"/>
    <n v="764.5"/>
    <n v="400.99"/>
    <n v="44603.94"/>
    <n v="36"/>
    <s v="Weather"/>
    <n v="86.75"/>
    <s v="Delayed"/>
    <s v="Paid"/>
    <s v="Standard"/>
    <s v="J. Smith"/>
    <s v="North America"/>
    <d v="2025-01-01T00:00:00"/>
  </r>
  <r>
    <s v="SHP00077"/>
    <s v="BK50077"/>
    <d v="2025-06-24T00:00:00"/>
    <d v="2025-06-28T00:00:00"/>
    <d v="2025-07-24T00:00:00"/>
    <s v="LG"/>
    <s v="Electronics"/>
    <s v="South Korea"/>
    <s v="Shanghai"/>
    <s v="Rotterdam"/>
    <x v="1"/>
    <s v="OOCL Hong Kong"/>
    <s v="High Cube"/>
    <n v="4"/>
    <s v="Furniture"/>
    <n v="62271.68"/>
    <n v="17425.71"/>
    <n v="3544.97"/>
    <n v="1821.53"/>
    <n v="622.72"/>
    <n v="877.31"/>
    <n v="2311.04"/>
    <n v="35668.400000000001"/>
    <n v="0"/>
    <s v="None"/>
    <n v="145.21"/>
    <s v="Completed"/>
    <s v="Paid"/>
    <s v="Standard"/>
    <s v="L. Chen"/>
    <s v="Europe"/>
    <d v="2025-06-01T00:00:00"/>
  </r>
  <r>
    <s v="SHP00910"/>
    <s v="BK50910"/>
    <d v="2025-05-28T00:00:00"/>
    <d v="2025-06-01T00:00:00"/>
    <d v="2025-06-15T00:00:00"/>
    <s v="Nestlé"/>
    <s v="Food"/>
    <s v="Switzerland"/>
    <s v="Nhava Sheva"/>
    <s v="Rotterdam"/>
    <x v="2"/>
    <s v="Mary Maersk"/>
    <s v="20FT"/>
    <n v="2"/>
    <s v="Auto Parts"/>
    <n v="62589.4"/>
    <n v="16624.169999999998"/>
    <n v="3673.84"/>
    <n v="1356.32"/>
    <n v="625.89"/>
    <n v="522.38"/>
    <n v="825.52"/>
    <n v="38961.279999999999"/>
    <n v="36"/>
    <s v="Customs"/>
    <n v="138.53"/>
    <s v="Delayed"/>
    <s v="Paid"/>
    <s v="Standard"/>
    <s v="L. Chen"/>
    <s v="Middle East"/>
    <d v="2025-05-01T00:00:00"/>
  </r>
  <r>
    <s v="SHP00288"/>
    <s v="BK50288"/>
    <d v="2025-03-20T00:00:00"/>
    <d v="2025-03-23T00:00:00"/>
    <d v="2025-04-16T00:00:00"/>
    <s v="Siemens"/>
    <s v="Engineering"/>
    <s v="Germany"/>
    <s v="Busan"/>
    <s v="Los Angeles"/>
    <x v="3"/>
    <s v="Madrid Maersk"/>
    <s v="High Cube"/>
    <n v="2"/>
    <s v="Textiles"/>
    <n v="62744.31"/>
    <n v="14868.24"/>
    <n v="4237.8599999999997"/>
    <n v="1068.04"/>
    <n v="627.44000000000005"/>
    <n v="398.72"/>
    <n v="384.56"/>
    <n v="41159.449999999997"/>
    <n v="0"/>
    <s v="None"/>
    <n v="123.9"/>
    <s v="Completed"/>
    <s v="Pending"/>
    <s v="Critical"/>
    <s v="M. Ahmed"/>
    <s v="Asia"/>
    <d v="2025-03-01T00:00:00"/>
  </r>
  <r>
    <s v="SHP00330"/>
    <s v="BK50330"/>
    <d v="2025-12-09T00:00:00"/>
    <d v="2025-12-11T00:00:00"/>
    <d v="2026-01-07T00:00:00"/>
    <s v="Nestlé"/>
    <s v="Food"/>
    <s v="Switzerland"/>
    <s v="Nhava Sheva"/>
    <s v="Colombo"/>
    <x v="2"/>
    <s v="Madrid Maersk"/>
    <s v="20FT"/>
    <n v="2"/>
    <s v="Furniture"/>
    <n v="62872.11"/>
    <n v="13077.98"/>
    <n v="2997.44"/>
    <n v="740.58"/>
    <n v="628.72"/>
    <n v="542.36"/>
    <n v="1453.78"/>
    <n v="43431.25"/>
    <n v="0"/>
    <s v="None"/>
    <n v="108.98"/>
    <s v="Completed"/>
    <s v="Paid"/>
    <s v="High"/>
    <s v="J. Smith"/>
    <s v="Asia"/>
    <d v="2025-12-01T00:00:00"/>
  </r>
  <r>
    <s v="SHP00516"/>
    <s v="BK50516"/>
    <d v="2025-08-07T00:00:00"/>
    <d v="2025-08-09T00:00:00"/>
    <d v="2025-08-31T00:00:00"/>
    <s v="Unilever"/>
    <s v="FMCG"/>
    <s v="UK"/>
    <s v="Nhava Sheva"/>
    <s v="Los Angeles"/>
    <x v="2"/>
    <s v="Madrid Maersk"/>
    <s v="40FT"/>
    <n v="2"/>
    <s v="Machinery"/>
    <n v="63112.56"/>
    <n v="18808.169999999998"/>
    <n v="3745.5"/>
    <n v="643.12"/>
    <n v="631.13"/>
    <n v="751.14"/>
    <n v="2456.59"/>
    <n v="36076.910000000003"/>
    <n v="36"/>
    <s v="Mechanical"/>
    <n v="156.72999999999999"/>
    <s v="Delayed"/>
    <s v="Pending"/>
    <s v="High"/>
    <s v="M. Ahmed"/>
    <s v="North America"/>
    <d v="2025-08-01T00:00:00"/>
  </r>
  <r>
    <s v="SHP00980"/>
    <s v="BK50980"/>
    <d v="2025-09-28T00:00:00"/>
    <d v="2025-10-01T00:00:00"/>
    <d v="2025-10-14T00:00:00"/>
    <s v="Amazon"/>
    <s v="E-commerce"/>
    <s v="USA"/>
    <s v="Rotterdam"/>
    <s v="Shanghai"/>
    <x v="2"/>
    <s v="MSC Gülsün"/>
    <s v="20FT"/>
    <n v="2"/>
    <s v="Furniture"/>
    <n v="63324.01"/>
    <n v="15119.38"/>
    <n v="4862.1499999999996"/>
    <n v="1525.89"/>
    <n v="633.24"/>
    <n v="647.26"/>
    <n v="1954.9"/>
    <n v="38581.19"/>
    <n v="12"/>
    <s v="Weather"/>
    <n v="125.99"/>
    <s v="Delayed"/>
    <s v="Pending"/>
    <s v="High"/>
    <s v="M. Ahmed"/>
    <s v="Middle East"/>
    <d v="2025-09-01T00:00:00"/>
  </r>
  <r>
    <s v="SHP00070"/>
    <s v="BK50070"/>
    <d v="2025-06-28T00:00:00"/>
    <d v="2025-07-01T00:00:00"/>
    <d v="2025-07-26T00:00:00"/>
    <s v="Toyota"/>
    <s v="Automotive"/>
    <s v="Japan"/>
    <s v="Singapore"/>
    <s v="Rotterdam"/>
    <x v="1"/>
    <s v="Mumbai Maersk"/>
    <s v="High Cube"/>
    <n v="2"/>
    <s v="Auto Parts"/>
    <n v="63390.11"/>
    <n v="14883.13"/>
    <n v="5021.68"/>
    <n v="647.54"/>
    <n v="633.9"/>
    <n v="769.11"/>
    <n v="507.55"/>
    <n v="40927.199999999997"/>
    <n v="48"/>
    <s v="Weather"/>
    <n v="124.03"/>
    <s v="Delayed"/>
    <s v="Paid"/>
    <s v="High"/>
    <s v="J. Smith"/>
    <s v="Middle East"/>
    <d v="2025-06-01T00:00:00"/>
  </r>
  <r>
    <s v="SHP00834"/>
    <s v="BK50834"/>
    <d v="2025-04-15T00:00:00"/>
    <d v="2025-04-17T00:00:00"/>
    <d v="2025-05-12T00:00:00"/>
    <s v="Nestlé"/>
    <s v="Food"/>
    <s v="Switzerland"/>
    <s v="Nhava Sheva"/>
    <s v="Nhava Sheva"/>
    <x v="2"/>
    <s v="Monaco Maersk"/>
    <s v="20FT"/>
    <n v="2"/>
    <s v="Food"/>
    <n v="63738.31"/>
    <n v="10540.81"/>
    <n v="3728.6"/>
    <n v="826.85"/>
    <n v="637.38"/>
    <n v="259.57"/>
    <n v="771.81"/>
    <n v="46973.29"/>
    <n v="4"/>
    <s v="Labor Strike"/>
    <n v="87.84"/>
    <s v="Delayed"/>
    <s v="Pending"/>
    <s v="Standard"/>
    <s v="J. Smith"/>
    <s v="Asia"/>
    <d v="2025-04-01T00:00:00"/>
  </r>
  <r>
    <s v="SHP00471"/>
    <s v="BK50471"/>
    <d v="2025-09-28T00:00:00"/>
    <d v="2025-10-02T00:00:00"/>
    <d v="2025-10-25T00:00:00"/>
    <s v="Amazon"/>
    <s v="E-commerce"/>
    <s v="USA"/>
    <s v="Singapore"/>
    <s v="Rotterdam"/>
    <x v="1"/>
    <s v="Ever Ace"/>
    <s v="20FT"/>
    <n v="2"/>
    <s v="Food"/>
    <n v="63869.93"/>
    <n v="11464.23"/>
    <n v="4441.04"/>
    <n v="1597.83"/>
    <n v="638.70000000000005"/>
    <n v="850.17"/>
    <n v="2032.6"/>
    <n v="42845.36"/>
    <n v="0"/>
    <s v="None"/>
    <n v="95.54"/>
    <s v="Completed"/>
    <s v="Paid"/>
    <s v="Critical"/>
    <s v="A. Tan"/>
    <s v="North America"/>
    <d v="2025-09-01T00:00:00"/>
  </r>
  <r>
    <s v="SHP00897"/>
    <s v="BK50897"/>
    <d v="2025-11-25T00:00:00"/>
    <d v="2025-11-27T00:00:00"/>
    <d v="2025-12-18T00:00:00"/>
    <s v="Amazon"/>
    <s v="E-commerce"/>
    <s v="USA"/>
    <s v="Busan"/>
    <s v="Los Angeles"/>
    <x v="3"/>
    <s v="Monaco Maersk"/>
    <s v="Reefer"/>
    <n v="4"/>
    <s v="Chemicals"/>
    <n v="63889.71"/>
    <n v="15760.41"/>
    <n v="4713.0600000000004"/>
    <n v="1428.08"/>
    <n v="638.9"/>
    <n v="513.89"/>
    <n v="2086.85"/>
    <n v="38748.519999999997"/>
    <n v="0"/>
    <s v="None"/>
    <n v="131.34"/>
    <s v="Completed"/>
    <s v="Paid"/>
    <s v="High"/>
    <s v="A. Tan"/>
    <s v="Middle East"/>
    <d v="2025-11-01T00:00:00"/>
  </r>
  <r>
    <s v="SHP00655"/>
    <s v="BK50655"/>
    <d v="2025-12-15T00:00:00"/>
    <d v="2025-12-19T00:00:00"/>
    <d v="2026-01-06T00:00:00"/>
    <s v="Amazon"/>
    <s v="E-commerce"/>
    <s v="USA"/>
    <s v="Colombo"/>
    <s v="Singapore"/>
    <x v="4"/>
    <s v="Mumbai Maersk"/>
    <s v="High Cube"/>
    <n v="2"/>
    <s v="Food"/>
    <n v="64005.64"/>
    <n v="18713.2"/>
    <n v="3875.78"/>
    <n v="1045.26"/>
    <n v="640.05999999999995"/>
    <n v="873.17"/>
    <n v="989.22"/>
    <n v="37868.949999999997"/>
    <n v="0"/>
    <s v="None"/>
    <n v="155.94"/>
    <s v="Completed"/>
    <s v="Pending"/>
    <s v="High"/>
    <s v="J. Smith"/>
    <s v="Asia"/>
    <d v="2025-12-01T00:00:00"/>
  </r>
  <r>
    <s v="SHP00544"/>
    <s v="BK50544"/>
    <d v="2025-05-09T00:00:00"/>
    <d v="2025-05-11T00:00:00"/>
    <d v="2025-06-01T00:00:00"/>
    <s v="Amazon"/>
    <s v="E-commerce"/>
    <s v="USA"/>
    <s v="Shanghai"/>
    <s v="Rotterdam"/>
    <x v="1"/>
    <s v="OOCL Hong Kong"/>
    <s v="Reefer"/>
    <n v="2"/>
    <s v="Food"/>
    <n v="64360.94"/>
    <n v="15893.22"/>
    <n v="3552.86"/>
    <n v="646.03"/>
    <n v="643.61"/>
    <n v="139.08000000000001"/>
    <n v="1785.92"/>
    <n v="41700.22"/>
    <n v="48"/>
    <s v="Mechanical"/>
    <n v="132.44"/>
    <s v="Delayed"/>
    <s v="Pending"/>
    <s v="High"/>
    <s v="L. Chen"/>
    <s v="Europe"/>
    <d v="2025-05-01T00:00:00"/>
  </r>
  <r>
    <s v="SHP00806"/>
    <s v="BK50806"/>
    <d v="2025-07-11T00:00:00"/>
    <d v="2025-07-14T00:00:00"/>
    <d v="2025-08-01T00:00:00"/>
    <s v="Adidas"/>
    <s v="Retail"/>
    <s v="Germany"/>
    <s v="Jebel Ali"/>
    <s v="Nhava Sheva"/>
    <x v="0"/>
    <s v="Mumbai Maersk"/>
    <s v="40FT"/>
    <n v="4"/>
    <s v="Textiles"/>
    <n v="64475.45"/>
    <n v="13148.93"/>
    <n v="4331.18"/>
    <n v="1559.28"/>
    <n v="644.75"/>
    <n v="692.29"/>
    <n v="2120.46"/>
    <n v="41978.559999999998"/>
    <n v="24"/>
    <s v="Customs"/>
    <n v="109.57"/>
    <s v="Delayed"/>
    <s v="Paid"/>
    <s v="Standard"/>
    <s v="L. Chen"/>
    <s v="Middle East"/>
    <d v="2025-07-01T00:00:00"/>
  </r>
  <r>
    <s v="SHP00851"/>
    <s v="BK50851"/>
    <d v="2025-06-30T00:00:00"/>
    <d v="2025-07-02T00:00:00"/>
    <d v="2025-07-29T00:00:00"/>
    <s v="IKEA"/>
    <s v="Retail"/>
    <s v="Sweden"/>
    <s v="Colombo"/>
    <s v="Singapore"/>
    <x v="4"/>
    <s v="Madrid Maersk"/>
    <s v="20FT"/>
    <n v="2"/>
    <s v="Auto Parts"/>
    <n v="64900.01"/>
    <n v="10961.6"/>
    <n v="4262.8500000000004"/>
    <n v="1737.77"/>
    <n v="649"/>
    <n v="744.37"/>
    <n v="1615.71"/>
    <n v="44928.71"/>
    <n v="24"/>
    <s v="Weather"/>
    <n v="91.35"/>
    <s v="Delayed"/>
    <s v="Paid"/>
    <s v="Standard"/>
    <s v="R. Mehta"/>
    <s v="Middle East"/>
    <d v="2025-06-01T00:00:00"/>
  </r>
  <r>
    <s v="SHP00378"/>
    <s v="BK50378"/>
    <d v="2025-11-02T00:00:00"/>
    <d v="2025-11-05T00:00:00"/>
    <d v="2025-11-28T00:00:00"/>
    <s v="Adidas"/>
    <s v="Retail"/>
    <s v="Germany"/>
    <s v="Singapore"/>
    <s v="Rotterdam"/>
    <x v="1"/>
    <s v="MSC Gülsün"/>
    <s v="20FT"/>
    <n v="2"/>
    <s v="Furniture"/>
    <n v="64948.6"/>
    <n v="12498.86"/>
    <n v="3094.82"/>
    <n v="1637.94"/>
    <n v="649.49"/>
    <n v="250.19"/>
    <n v="2311.58"/>
    <n v="44505.72"/>
    <n v="0"/>
    <s v="None"/>
    <n v="104.16"/>
    <s v="Completed"/>
    <s v="Paid"/>
    <s v="High"/>
    <s v="A. Tan"/>
    <s v="Europe"/>
    <d v="2025-11-01T00:00:00"/>
  </r>
  <r>
    <s v="SHP00101"/>
    <s v="BK50101"/>
    <d v="2025-12-17T00:00:00"/>
    <d v="2025-12-18T00:00:00"/>
    <d v="2026-01-08T00:00:00"/>
    <s v="Bosch"/>
    <s v="Manufacturing"/>
    <s v="Germany"/>
    <s v="Singapore"/>
    <s v="Rotterdam"/>
    <x v="1"/>
    <s v="MSC Gülsün"/>
    <s v="20FT"/>
    <n v="2"/>
    <s v="Machinery"/>
    <n v="65088.54"/>
    <n v="16649.93"/>
    <n v="4056.39"/>
    <n v="1890.48"/>
    <n v="650.89"/>
    <n v="665.48"/>
    <n v="1765.68"/>
    <n v="39409.69"/>
    <n v="24"/>
    <s v="Mechanical"/>
    <n v="138.75"/>
    <s v="Delayed"/>
    <s v="Paid"/>
    <s v="High"/>
    <s v="L. Chen"/>
    <s v="Middle East"/>
    <d v="2025-12-01T00:00:00"/>
  </r>
  <r>
    <s v="SHP00283"/>
    <s v="BK50283"/>
    <d v="2025-12-15T00:00:00"/>
    <d v="2025-12-16T00:00:00"/>
    <d v="2026-01-08T00:00:00"/>
    <s v="Nestlé"/>
    <s v="Food"/>
    <s v="Switzerland"/>
    <s v="Jebel Ali"/>
    <s v="Busan"/>
    <x v="2"/>
    <s v="Mary Maersk"/>
    <s v="Reefer"/>
    <n v="2"/>
    <s v="Chemicals"/>
    <n v="65100.33"/>
    <n v="15683.51"/>
    <n v="4163.63"/>
    <n v="1178.06"/>
    <n v="651"/>
    <n v="564.5"/>
    <n v="2282.7800000000002"/>
    <n v="40576.85"/>
    <n v="0"/>
    <s v="None"/>
    <n v="130.69999999999999"/>
    <s v="Completed"/>
    <s v="Paid"/>
    <s v="Critical"/>
    <s v="R. Mehta"/>
    <s v="Middle East"/>
    <d v="2025-12-01T00:00:00"/>
  </r>
  <r>
    <s v="SHP00461"/>
    <s v="BK50461"/>
    <d v="2025-09-16T00:00:00"/>
    <d v="2025-09-17T00:00:00"/>
    <d v="2025-10-13T00:00:00"/>
    <s v="Amazon"/>
    <s v="E-commerce"/>
    <s v="USA"/>
    <s v="Singapore"/>
    <s v="Los Angeles"/>
    <x v="2"/>
    <s v="OOCL Hong Kong"/>
    <s v="40FT"/>
    <n v="2"/>
    <s v="Auto Parts"/>
    <n v="65280.84"/>
    <n v="13571.24"/>
    <n v="3058.68"/>
    <n v="1747.2"/>
    <n v="652.80999999999995"/>
    <n v="890.86"/>
    <n v="691.86"/>
    <n v="44668.19"/>
    <n v="4"/>
    <s v="Labor Strike"/>
    <n v="113.09"/>
    <s v="Delayed"/>
    <s v="Pending"/>
    <s v="Critical"/>
    <s v="R. Mehta"/>
    <s v="Middle East"/>
    <d v="2025-09-01T00:00:00"/>
  </r>
  <r>
    <s v="SHP00656"/>
    <s v="BK50656"/>
    <d v="2025-09-28T00:00:00"/>
    <d v="2025-09-29T00:00:00"/>
    <d v="2025-10-20T00:00:00"/>
    <s v="Amazon"/>
    <s v="E-commerce"/>
    <s v="USA"/>
    <s v="Busan"/>
    <s v="Los Angeles"/>
    <x v="3"/>
    <s v="OOCL Hong Kong"/>
    <s v="High Cube"/>
    <n v="4"/>
    <s v="Auto Parts"/>
    <n v="65393.84"/>
    <n v="14150.95"/>
    <n v="5174.99"/>
    <n v="1841.56"/>
    <n v="653.94000000000005"/>
    <n v="106.27"/>
    <n v="2015.62"/>
    <n v="41450.51"/>
    <n v="24"/>
    <s v="Mechanical"/>
    <n v="117.92"/>
    <s v="Delayed"/>
    <s v="Paid"/>
    <s v="Critical"/>
    <s v="R. Mehta"/>
    <s v="Middle East"/>
    <d v="2025-09-01T00:00:00"/>
  </r>
  <r>
    <s v="SHP00246"/>
    <s v="BK50246"/>
    <d v="2025-01-11T00:00:00"/>
    <d v="2025-01-14T00:00:00"/>
    <d v="2025-01-29T00:00:00"/>
    <s v="IKEA"/>
    <s v="Retail"/>
    <s v="Sweden"/>
    <s v="Singapore"/>
    <s v="Rotterdam"/>
    <x v="1"/>
    <s v="Ever Ace"/>
    <s v="20FT"/>
    <n v="4"/>
    <s v="Electronics"/>
    <n v="65496.68"/>
    <n v="16701.080000000002"/>
    <n v="4771.6099999999997"/>
    <n v="1736.81"/>
    <n v="654.97"/>
    <n v="599.92999999999995"/>
    <n v="2439.6"/>
    <n v="38592.68"/>
    <n v="0"/>
    <s v="None"/>
    <n v="139.18"/>
    <s v="Completed"/>
    <s v="Paid"/>
    <s v="Critical"/>
    <s v="M. Ahmed"/>
    <s v="Europe"/>
    <d v="2025-01-01T00:00:00"/>
  </r>
  <r>
    <s v="SHP00738"/>
    <s v="BK50738"/>
    <d v="2025-11-09T00:00:00"/>
    <d v="2025-11-12T00:00:00"/>
    <d v="2025-11-27T00:00:00"/>
    <s v="Unilever"/>
    <s v="FMCG"/>
    <s v="UK"/>
    <s v="Shanghai"/>
    <s v="Rotterdam"/>
    <x v="1"/>
    <s v="Mumbai Maersk"/>
    <s v="40FT"/>
    <n v="4"/>
    <s v="Auto Parts"/>
    <n v="65741.03"/>
    <n v="13897.64"/>
    <n v="3778.79"/>
    <n v="684.42"/>
    <n v="657.41"/>
    <n v="785.7"/>
    <n v="1460.02"/>
    <n v="44477.05"/>
    <n v="12"/>
    <s v="Weather"/>
    <n v="115.81"/>
    <s v="Delayed"/>
    <s v="Pending"/>
    <s v="Standard"/>
    <s v="A. Tan"/>
    <s v="Asia"/>
    <d v="2025-11-01T00:00:00"/>
  </r>
  <r>
    <s v="SHP00882"/>
    <s v="BK50882"/>
    <d v="2025-03-20T00:00:00"/>
    <d v="2025-03-23T00:00:00"/>
    <d v="2025-04-19T00:00:00"/>
    <s v="Pfizer"/>
    <s v="Pharma"/>
    <s v="USA"/>
    <s v="Busan"/>
    <s v="Hamburg"/>
    <x v="2"/>
    <s v="Mumbai Maersk"/>
    <s v="High Cube"/>
    <n v="4"/>
    <s v="Food"/>
    <n v="65928.14"/>
    <n v="16189.9"/>
    <n v="3275.43"/>
    <n v="868.12"/>
    <n v="659.28"/>
    <n v="600.12"/>
    <n v="448.94"/>
    <n v="43886.35"/>
    <n v="0"/>
    <s v="None"/>
    <n v="134.91999999999999"/>
    <s v="Completed"/>
    <s v="Pending"/>
    <s v="High"/>
    <s v="A. Tan"/>
    <s v="Asia"/>
    <d v="2025-03-01T00:00:00"/>
  </r>
  <r>
    <s v="SHP00492"/>
    <s v="BK50492"/>
    <d v="2025-11-02T00:00:00"/>
    <d v="2025-11-05T00:00:00"/>
    <d v="2025-12-02T00:00:00"/>
    <s v="IKEA"/>
    <s v="Retail"/>
    <s v="Sweden"/>
    <s v="Shanghai"/>
    <s v="Rotterdam"/>
    <x v="1"/>
    <s v="OOCL Hong Kong"/>
    <s v="Reefer"/>
    <n v="2"/>
    <s v="Textiles"/>
    <n v="66092.62"/>
    <n v="15039.32"/>
    <n v="5085.6899999999996"/>
    <n v="1817"/>
    <n v="660.93"/>
    <n v="623.49"/>
    <n v="1044.8900000000001"/>
    <n v="41821.300000000003"/>
    <n v="8"/>
    <s v="Labor Strike"/>
    <n v="125.33"/>
    <s v="Delayed"/>
    <s v="Paid"/>
    <s v="High"/>
    <s v="A. Tan"/>
    <s v="Middle East"/>
    <d v="2025-11-01T00:00:00"/>
  </r>
  <r>
    <s v="SHP00387"/>
    <s v="BK50387"/>
    <d v="2025-04-14T00:00:00"/>
    <d v="2025-04-16T00:00:00"/>
    <d v="2025-04-30T00:00:00"/>
    <s v="IKEA"/>
    <s v="Retail"/>
    <s v="Sweden"/>
    <s v="Busan"/>
    <s v="Los Angeles"/>
    <x v="3"/>
    <s v="CMA CGM Jacques Saadé"/>
    <s v="40FT"/>
    <n v="4"/>
    <s v="Auto Parts"/>
    <n v="66097.77"/>
    <n v="12262.99"/>
    <n v="4705.83"/>
    <n v="1193.6400000000001"/>
    <n v="660.98"/>
    <n v="408.13"/>
    <n v="2347.7199999999998"/>
    <n v="44518.48"/>
    <n v="12"/>
    <s v="Customs"/>
    <n v="102.19"/>
    <s v="Delayed"/>
    <s v="Pending"/>
    <s v="Critical"/>
    <s v="L. Chen"/>
    <s v="North America"/>
    <d v="2025-04-01T00:00:00"/>
  </r>
  <r>
    <s v="SHP00232"/>
    <s v="BK50232"/>
    <d v="2025-02-04T00:00:00"/>
    <d v="2025-02-05T00:00:00"/>
    <d v="2025-02-19T00:00:00"/>
    <s v="Nestlé"/>
    <s v="Food"/>
    <s v="Switzerland"/>
    <s v="Shanghai"/>
    <s v="New York"/>
    <x v="2"/>
    <s v="OOCL Hong Kong"/>
    <s v="Reefer"/>
    <n v="2"/>
    <s v="Textiles"/>
    <n v="66189.17"/>
    <n v="18659.27"/>
    <n v="4308.07"/>
    <n v="1625.84"/>
    <n v="661.89"/>
    <n v="693.91"/>
    <n v="2169.25"/>
    <n v="38070.94"/>
    <n v="0"/>
    <s v="None"/>
    <n v="155.49"/>
    <s v="Completed"/>
    <s v="Paid"/>
    <s v="High"/>
    <s v="M. Ahmed"/>
    <s v="Middle East"/>
    <d v="2025-02-01T00:00:00"/>
  </r>
  <r>
    <s v="SHP00881"/>
    <s v="BK50881"/>
    <d v="2025-09-21T00:00:00"/>
    <d v="2025-09-22T00:00:00"/>
    <d v="2025-10-14T00:00:00"/>
    <s v="LG"/>
    <s v="Electronics"/>
    <s v="South Korea"/>
    <s v="Busan"/>
    <s v="Los Angeles"/>
    <x v="3"/>
    <s v="MSC Gülsün"/>
    <s v="20FT"/>
    <n v="2"/>
    <s v="Textiles"/>
    <n v="66365.78"/>
    <n v="13488.81"/>
    <n v="4772.91"/>
    <n v="904.71"/>
    <n v="663.66"/>
    <n v="846.78"/>
    <n v="1951.33"/>
    <n v="43737.58"/>
    <n v="24"/>
    <s v="Port Congestion"/>
    <n v="112.41"/>
    <s v="Delayed"/>
    <s v="Paid"/>
    <s v="Standard"/>
    <s v="R. Mehta"/>
    <s v="Middle East"/>
    <d v="2025-09-01T00:00:00"/>
  </r>
  <r>
    <s v="SHP00798"/>
    <s v="BK50798"/>
    <d v="2025-07-06T00:00:00"/>
    <d v="2025-07-07T00:00:00"/>
    <d v="2025-07-23T00:00:00"/>
    <s v="Amazon"/>
    <s v="E-commerce"/>
    <s v="USA"/>
    <s v="Colombo"/>
    <s v="Busan"/>
    <x v="2"/>
    <s v="Madrid Maersk"/>
    <s v="40FT"/>
    <n v="2"/>
    <s v="Electronics"/>
    <n v="66367.710000000006"/>
    <n v="13415.71"/>
    <n v="3909.68"/>
    <n v="970.44"/>
    <n v="663.68"/>
    <n v="267.86"/>
    <n v="1640.14"/>
    <n v="45500.2"/>
    <n v="0"/>
    <s v="None"/>
    <n v="111.8"/>
    <s v="Completed"/>
    <s v="Paid"/>
    <s v="Standard"/>
    <s v="A. Tan"/>
    <s v="Europe"/>
    <d v="2025-07-01T00:00:00"/>
  </r>
  <r>
    <s v="SHP00369"/>
    <s v="BK50369"/>
    <d v="2025-05-27T00:00:00"/>
    <d v="2025-05-31T00:00:00"/>
    <d v="2025-06-13T00:00:00"/>
    <s v="Samsung"/>
    <s v="Electronics"/>
    <s v="South Korea"/>
    <s v="Busan"/>
    <s v="Los Angeles"/>
    <x v="3"/>
    <s v="Mary Maersk"/>
    <s v="40FT"/>
    <n v="4"/>
    <s v="Machinery"/>
    <n v="66458.84"/>
    <n v="14870.46"/>
    <n v="3889.15"/>
    <n v="817.2"/>
    <n v="664.59"/>
    <n v="719.84"/>
    <n v="1974.94"/>
    <n v="43522.66"/>
    <n v="8"/>
    <s v="Labor Strike"/>
    <n v="123.92"/>
    <s v="Delayed"/>
    <s v="Pending"/>
    <s v="Critical"/>
    <s v="L. Chen"/>
    <s v="North America"/>
    <d v="2025-05-01T00:00:00"/>
  </r>
  <r>
    <s v="SHP00702"/>
    <s v="BK50702"/>
    <d v="2025-12-06T00:00:00"/>
    <d v="2025-12-08T00:00:00"/>
    <d v="2025-12-20T00:00:00"/>
    <s v="Pfizer"/>
    <s v="Pharma"/>
    <s v="USA"/>
    <s v="Shanghai"/>
    <s v="Busan"/>
    <x v="2"/>
    <s v="Ever Ace"/>
    <s v="High Cube"/>
    <n v="4"/>
    <s v="Textiles"/>
    <n v="66556.7"/>
    <n v="18479.740000000002"/>
    <n v="2735.49"/>
    <n v="1614.45"/>
    <n v="665.57"/>
    <n v="891.07"/>
    <n v="1379.17"/>
    <n v="40791.21"/>
    <n v="0"/>
    <s v="None"/>
    <n v="154"/>
    <s v="Completed"/>
    <s v="Paid"/>
    <s v="Critical"/>
    <s v="R. Mehta"/>
    <s v="Asia"/>
    <d v="2025-12-01T00:00:00"/>
  </r>
  <r>
    <s v="SHP00875"/>
    <s v="BK50875"/>
    <d v="2025-05-30T00:00:00"/>
    <d v="2025-05-31T00:00:00"/>
    <d v="2025-06-18T00:00:00"/>
    <s v="IKEA"/>
    <s v="Retail"/>
    <s v="Sweden"/>
    <s v="Busan"/>
    <s v="Los Angeles"/>
    <x v="3"/>
    <s v="MSC Gülsün"/>
    <s v="Reefer"/>
    <n v="4"/>
    <s v="Electronics"/>
    <n v="66581.09"/>
    <n v="19058.55"/>
    <n v="5075.2"/>
    <n v="729.89"/>
    <n v="665.81"/>
    <n v="463.16"/>
    <n v="328.45"/>
    <n v="40260.03"/>
    <n v="0"/>
    <s v="None"/>
    <n v="158.82"/>
    <s v="Completed"/>
    <s v="Paid"/>
    <s v="Critical"/>
    <s v="R. Mehta"/>
    <s v="Asia"/>
    <d v="2025-05-01T00:00:00"/>
  </r>
  <r>
    <s v="SHP00329"/>
    <s v="BK50329"/>
    <d v="2025-02-05T00:00:00"/>
    <d v="2025-02-07T00:00:00"/>
    <d v="2025-02-21T00:00:00"/>
    <s v="Samsung"/>
    <s v="Electronics"/>
    <s v="South Korea"/>
    <s v="Hamburg"/>
    <s v="Jebel Ali"/>
    <x v="2"/>
    <s v="OOCL Hong Kong"/>
    <s v="High Cube"/>
    <n v="4"/>
    <s v="Electronics"/>
    <n v="66587.360000000001"/>
    <n v="12477.09"/>
    <n v="3929.2"/>
    <n v="748.84"/>
    <n v="665.87"/>
    <n v="101.74"/>
    <n v="1225.42"/>
    <n v="47439.199999999997"/>
    <n v="36"/>
    <s v="Weather"/>
    <n v="103.98"/>
    <s v="Delayed"/>
    <s v="Pending"/>
    <s v="Standard"/>
    <s v="M. Ahmed"/>
    <s v="Asia"/>
    <d v="2025-02-01T00:00:00"/>
  </r>
  <r>
    <s v="SHP00476"/>
    <s v="BK50476"/>
    <d v="2025-04-02T00:00:00"/>
    <d v="2025-04-05T00:00:00"/>
    <d v="2025-04-26T00:00:00"/>
    <s v="Siemens"/>
    <s v="Engineering"/>
    <s v="Germany"/>
    <s v="Singapore"/>
    <s v="Rotterdam"/>
    <x v="1"/>
    <s v="CMA CGM Jacques Saadé"/>
    <s v="40FT"/>
    <n v="4"/>
    <s v="Food"/>
    <n v="66607.55"/>
    <n v="14280.76"/>
    <n v="4013.42"/>
    <n v="1681.49"/>
    <n v="666.08"/>
    <n v="784.73"/>
    <n v="326.74"/>
    <n v="44854.33"/>
    <n v="0"/>
    <s v="None"/>
    <n v="119.01"/>
    <s v="Completed"/>
    <s v="Pending"/>
    <s v="High"/>
    <s v="M. Ahmed"/>
    <s v="Asia"/>
    <d v="2025-04-01T00:00:00"/>
  </r>
  <r>
    <s v="SHP00611"/>
    <s v="BK50611"/>
    <d v="2025-06-19T00:00:00"/>
    <d v="2025-06-20T00:00:00"/>
    <d v="2025-07-11T00:00:00"/>
    <s v="Bosch"/>
    <s v="Manufacturing"/>
    <s v="Germany"/>
    <s v="Busan"/>
    <s v="New York"/>
    <x v="2"/>
    <s v="CMA CGM Jacques Saadé"/>
    <s v="Reefer"/>
    <n v="2"/>
    <s v="Textiles"/>
    <n v="66693.070000000007"/>
    <n v="14983.25"/>
    <n v="4738.59"/>
    <n v="862.99"/>
    <n v="666.93"/>
    <n v="420.44"/>
    <n v="1562.8"/>
    <n v="43458.07"/>
    <n v="8"/>
    <s v="Port Congestion"/>
    <n v="124.86"/>
    <s v="Delayed"/>
    <s v="Pending"/>
    <s v="Standard"/>
    <s v="A. Tan"/>
    <s v="North America"/>
    <d v="2025-06-01T00:00:00"/>
  </r>
  <r>
    <s v="SHP00746"/>
    <s v="BK50746"/>
    <d v="2025-01-24T00:00:00"/>
    <d v="2025-01-28T00:00:00"/>
    <d v="2025-02-15T00:00:00"/>
    <s v="Unilever"/>
    <s v="FMCG"/>
    <s v="UK"/>
    <s v="Busan"/>
    <s v="Los Angeles"/>
    <x v="3"/>
    <s v="MSC Gülsün"/>
    <s v="40FT"/>
    <n v="2"/>
    <s v="Textiles"/>
    <n v="66939.02"/>
    <n v="15777.19"/>
    <n v="3326.02"/>
    <n v="1083.76"/>
    <n v="669.39"/>
    <n v="166.85"/>
    <n v="1507.67"/>
    <n v="44408.14"/>
    <n v="0"/>
    <s v="None"/>
    <n v="131.47999999999999"/>
    <s v="Completed"/>
    <s v="Paid"/>
    <s v="Critical"/>
    <s v="A. Tan"/>
    <s v="Middle East"/>
    <d v="2025-01-01T00:00:00"/>
  </r>
  <r>
    <s v="SHP00384"/>
    <s v="BK50384"/>
    <d v="2025-03-23T00:00:00"/>
    <d v="2025-03-26T00:00:00"/>
    <d v="2025-04-09T00:00:00"/>
    <s v="Samsung"/>
    <s v="Electronics"/>
    <s v="South Korea"/>
    <s v="Shanghai"/>
    <s v="Rotterdam"/>
    <x v="1"/>
    <s v="Madrid Maersk"/>
    <s v="40FT"/>
    <n v="2"/>
    <s v="Auto Parts"/>
    <n v="66948.759999999995"/>
    <n v="13166.66"/>
    <n v="4175.08"/>
    <n v="1524.78"/>
    <n v="669.49"/>
    <n v="450.74"/>
    <n v="583.13"/>
    <n v="46378.879999999997"/>
    <n v="0"/>
    <s v="None"/>
    <n v="109.72"/>
    <s v="Completed"/>
    <s v="Paid"/>
    <s v="Standard"/>
    <s v="J. Smith"/>
    <s v="Europe"/>
    <d v="2025-03-01T00:00:00"/>
  </r>
  <r>
    <s v="SHP00562"/>
    <s v="BK50562"/>
    <d v="2025-09-04T00:00:00"/>
    <d v="2025-09-05T00:00:00"/>
    <d v="2025-09-23T00:00:00"/>
    <s v="Nestlé"/>
    <s v="Food"/>
    <s v="Switzerland"/>
    <s v="Singapore"/>
    <s v="Los Angeles"/>
    <x v="2"/>
    <s v="Madrid Maersk"/>
    <s v="Reefer"/>
    <n v="2"/>
    <s v="Chemicals"/>
    <n v="67048.41"/>
    <n v="16525.900000000001"/>
    <n v="3877.31"/>
    <n v="1050.58"/>
    <n v="670.48"/>
    <n v="828.01"/>
    <n v="1952.37"/>
    <n v="42143.76"/>
    <n v="0"/>
    <s v="None"/>
    <n v="137.72"/>
    <s v="Completed"/>
    <s v="Paid"/>
    <s v="Standard"/>
    <s v="R. Mehta"/>
    <s v="Middle East"/>
    <d v="2025-09-01T00:00:00"/>
  </r>
  <r>
    <s v="SHP00116"/>
    <s v="BK50116"/>
    <d v="2025-05-20T00:00:00"/>
    <d v="2025-05-24T00:00:00"/>
    <d v="2025-06-11T00:00:00"/>
    <s v="IKEA"/>
    <s v="Retail"/>
    <s v="Sweden"/>
    <s v="Jebel Ali"/>
    <s v="Nhava Sheva"/>
    <x v="0"/>
    <s v="Mary Maersk"/>
    <s v="40FT"/>
    <n v="2"/>
    <s v="Electronics"/>
    <n v="67143.350000000006"/>
    <n v="16037.09"/>
    <n v="4735.67"/>
    <n v="921.94"/>
    <n v="671.43"/>
    <n v="138.58000000000001"/>
    <n v="2037.73"/>
    <n v="42600.91"/>
    <n v="0"/>
    <s v="None"/>
    <n v="133.63999999999999"/>
    <s v="Completed"/>
    <s v="Pending"/>
    <s v="High"/>
    <s v="M. Ahmed"/>
    <s v="Middle East"/>
    <d v="2025-05-01T00:00:00"/>
  </r>
  <r>
    <s v="SHP00860"/>
    <s v="BK50860"/>
    <d v="2025-10-03T00:00:00"/>
    <d v="2025-10-05T00:00:00"/>
    <d v="2025-10-25T00:00:00"/>
    <s v="Amazon"/>
    <s v="E-commerce"/>
    <s v="USA"/>
    <s v="Colombo"/>
    <s v="Singapore"/>
    <x v="4"/>
    <s v="Monaco Maersk"/>
    <s v="Reefer"/>
    <n v="2"/>
    <s v="Electronics"/>
    <n v="67189.05"/>
    <n v="16327.3"/>
    <n v="3905.56"/>
    <n v="848.65"/>
    <n v="671.89"/>
    <n v="626.51"/>
    <n v="1302.54"/>
    <n v="43506.6"/>
    <n v="4"/>
    <s v="Weather"/>
    <n v="136.06"/>
    <s v="Delayed"/>
    <s v="Pending"/>
    <s v="Standard"/>
    <s v="A. Tan"/>
    <s v="Asia"/>
    <d v="2025-10-01T00:00:00"/>
  </r>
  <r>
    <s v="SHP00607"/>
    <s v="BK50607"/>
    <d v="2025-07-11T00:00:00"/>
    <d v="2025-07-13T00:00:00"/>
    <d v="2025-08-05T00:00:00"/>
    <s v="Toyota"/>
    <s v="Automotive"/>
    <s v="Japan"/>
    <s v="Singapore"/>
    <s v="Rotterdam"/>
    <x v="1"/>
    <s v="Mumbai Maersk"/>
    <s v="40FT"/>
    <n v="2"/>
    <s v="Textiles"/>
    <n v="67240.17"/>
    <n v="19466.23"/>
    <n v="2797.93"/>
    <n v="1123.96"/>
    <n v="672.4"/>
    <n v="373.23"/>
    <n v="909.44"/>
    <n v="41896.980000000003"/>
    <n v="8"/>
    <s v="Weather"/>
    <n v="162.22"/>
    <s v="Delayed"/>
    <s v="Paid"/>
    <s v="Critical"/>
    <s v="R. Mehta"/>
    <s v="Europe"/>
    <d v="2025-07-01T00:00:00"/>
  </r>
  <r>
    <s v="SHP00658"/>
    <s v="BK50658"/>
    <d v="2025-04-05T00:00:00"/>
    <d v="2025-04-06T00:00:00"/>
    <d v="2025-04-16T00:00:00"/>
    <s v="Bosch"/>
    <s v="Manufacturing"/>
    <s v="Germany"/>
    <s v="Colombo"/>
    <s v="Singapore"/>
    <x v="4"/>
    <s v="Ever Ace"/>
    <s v="Reefer"/>
    <n v="2"/>
    <s v="Electronics"/>
    <n v="67592.55"/>
    <n v="11316.43"/>
    <n v="3667.16"/>
    <n v="1959"/>
    <n v="675.93"/>
    <n v="548.80999999999995"/>
    <n v="807.33"/>
    <n v="48617.89"/>
    <n v="8"/>
    <s v="Labor Strike"/>
    <n v="94.3"/>
    <s v="Delayed"/>
    <s v="Pending"/>
    <s v="Standard"/>
    <s v="R. Mehta"/>
    <s v="Asia"/>
    <d v="2025-04-01T00:00:00"/>
  </r>
  <r>
    <s v="SHP00874"/>
    <s v="BK50874"/>
    <d v="2025-10-02T00:00:00"/>
    <d v="2025-10-03T00:00:00"/>
    <d v="2025-10-13T00:00:00"/>
    <s v="Unilever"/>
    <s v="FMCG"/>
    <s v="UK"/>
    <s v="Singapore"/>
    <s v="Rotterdam"/>
    <x v="1"/>
    <s v="Mumbai Maersk"/>
    <s v="High Cube"/>
    <n v="2"/>
    <s v="Electronics"/>
    <n v="67808.710000000006"/>
    <n v="11637.45"/>
    <n v="5234.76"/>
    <n v="1341.75"/>
    <n v="678.09"/>
    <n v="897.53"/>
    <n v="1737.85"/>
    <n v="46281.279999999999"/>
    <n v="0"/>
    <s v="None"/>
    <n v="96.98"/>
    <s v="Completed"/>
    <s v="Paid"/>
    <s v="High"/>
    <s v="L. Chen"/>
    <s v="Asia"/>
    <d v="2025-10-01T00:00:00"/>
  </r>
  <r>
    <s v="SHP00935"/>
    <s v="BK50935"/>
    <d v="2025-09-18T00:00:00"/>
    <d v="2025-09-22T00:00:00"/>
    <d v="2025-10-21T00:00:00"/>
    <s v="Bosch"/>
    <s v="Manufacturing"/>
    <s v="Germany"/>
    <s v="Shanghai"/>
    <s v="Rotterdam"/>
    <x v="1"/>
    <s v="CMA CGM Jacques Saadé"/>
    <s v="High Cube"/>
    <n v="2"/>
    <s v="Food"/>
    <n v="68012.39"/>
    <n v="13436.76"/>
    <n v="2738.14"/>
    <n v="1852.1"/>
    <n v="680.12"/>
    <n v="899.02"/>
    <n v="941.35"/>
    <n v="47464.9"/>
    <n v="48"/>
    <s v="Mechanical"/>
    <n v="111.97"/>
    <s v="Delayed"/>
    <s v="Pending"/>
    <s v="Standard"/>
    <s v="L. Chen"/>
    <s v="North America"/>
    <d v="2025-09-01T00:00:00"/>
  </r>
  <r>
    <s v="SHP00038"/>
    <s v="BK50038"/>
    <d v="2025-10-25T00:00:00"/>
    <d v="2025-10-29T00:00:00"/>
    <d v="2025-11-11T00:00:00"/>
    <s v="Amazon"/>
    <s v="E-commerce"/>
    <s v="USA"/>
    <s v="Jebel Ali"/>
    <s v="Nhava Sheva"/>
    <x v="0"/>
    <s v="Mumbai Maersk"/>
    <s v="High Cube"/>
    <n v="4"/>
    <s v="Food"/>
    <n v="68022.02"/>
    <n v="17947.02"/>
    <n v="2997.75"/>
    <n v="1475.74"/>
    <n v="680.22"/>
    <n v="341.82"/>
    <n v="2180.65"/>
    <n v="42398.82"/>
    <n v="0"/>
    <s v="None"/>
    <n v="149.56"/>
    <s v="Completed"/>
    <s v="Paid"/>
    <s v="High"/>
    <s v="J. Smith"/>
    <s v="Middle East"/>
    <d v="2025-10-01T00:00:00"/>
  </r>
  <r>
    <s v="SHP00996"/>
    <s v="BK50996"/>
    <d v="2025-09-03T00:00:00"/>
    <d v="2025-09-06T00:00:00"/>
    <d v="2025-09-27T00:00:00"/>
    <s v="Samsung"/>
    <s v="Electronics"/>
    <s v="South Korea"/>
    <s v="Shanghai"/>
    <s v="Rotterdam"/>
    <x v="1"/>
    <s v="CMA CGM Jacques Saadé"/>
    <s v="20FT"/>
    <n v="2"/>
    <s v="Machinery"/>
    <n v="68085.460000000006"/>
    <n v="18555.830000000002"/>
    <n v="4709.24"/>
    <n v="1889.82"/>
    <n v="680.85"/>
    <n v="550.07000000000005"/>
    <n v="1650.75"/>
    <n v="40048.9"/>
    <n v="36"/>
    <s v="Port Congestion"/>
    <n v="154.63"/>
    <s v="Delayed"/>
    <s v="Pending"/>
    <s v="High"/>
    <s v="A. Tan"/>
    <s v="Middle East"/>
    <d v="2025-09-01T00:00:00"/>
  </r>
  <r>
    <s v="SHP00598"/>
    <s v="BK50598"/>
    <d v="2025-07-30T00:00:00"/>
    <d v="2025-08-03T00:00:00"/>
    <d v="2025-08-22T00:00:00"/>
    <s v="Unilever"/>
    <s v="FMCG"/>
    <s v="UK"/>
    <s v="Colombo"/>
    <s v="Singapore"/>
    <x v="4"/>
    <s v="Madrid Maersk"/>
    <s v="High Cube"/>
    <n v="4"/>
    <s v="Chemicals"/>
    <n v="68099.81"/>
    <n v="13643.72"/>
    <n v="4608.67"/>
    <n v="1724.97"/>
    <n v="681"/>
    <n v="777.63"/>
    <n v="1600.7"/>
    <n v="45063.12"/>
    <n v="48"/>
    <s v="Labor Strike"/>
    <n v="113.7"/>
    <s v="Delayed"/>
    <s v="Paid"/>
    <s v="Critical"/>
    <s v="M. Ahmed"/>
    <s v="North America"/>
    <d v="2025-07-01T00:00:00"/>
  </r>
  <r>
    <s v="SHP00583"/>
    <s v="BK50583"/>
    <d v="2025-04-12T00:00:00"/>
    <d v="2025-04-14T00:00:00"/>
    <d v="2025-05-04T00:00:00"/>
    <s v="Toyota"/>
    <s v="Automotive"/>
    <s v="Japan"/>
    <s v="Jebel Ali"/>
    <s v="Rotterdam"/>
    <x v="2"/>
    <s v="Monaco Maersk"/>
    <s v="20FT"/>
    <n v="2"/>
    <s v="Textiles"/>
    <n v="68111.759999999995"/>
    <n v="15887.62"/>
    <n v="4228.3100000000004"/>
    <n v="1675.96"/>
    <n v="681.12"/>
    <n v="805.68"/>
    <n v="2013.66"/>
    <n v="42819.41"/>
    <n v="0"/>
    <s v="None"/>
    <n v="132.4"/>
    <s v="Completed"/>
    <s v="Paid"/>
    <s v="Standard"/>
    <s v="L. Chen"/>
    <s v="Middle East"/>
    <d v="2025-04-01T00:00:00"/>
  </r>
  <r>
    <s v="SHP00269"/>
    <s v="BK50269"/>
    <d v="2025-04-27T00:00:00"/>
    <d v="2025-04-29T00:00:00"/>
    <d v="2025-05-11T00:00:00"/>
    <s v="Reliance"/>
    <s v="Retail"/>
    <s v="India"/>
    <s v="Jebel Ali"/>
    <s v="Nhava Sheva"/>
    <x v="0"/>
    <s v="Ever Ace"/>
    <s v="High Cube"/>
    <n v="4"/>
    <s v="Electronics"/>
    <n v="68512.149999999994"/>
    <n v="19306.919999999998"/>
    <n v="4131.01"/>
    <n v="1776.47"/>
    <n v="685.12"/>
    <n v="718.89"/>
    <n v="1510.8"/>
    <n v="40382.94"/>
    <n v="24"/>
    <s v="Port Congestion"/>
    <n v="160.88999999999999"/>
    <s v="Delayed"/>
    <s v="Paid"/>
    <s v="Standard"/>
    <s v="M. Ahmed"/>
    <s v="Middle East"/>
    <d v="2025-04-01T00:00:00"/>
  </r>
  <r>
    <s v="SHP00381"/>
    <s v="BK50381"/>
    <d v="2025-02-22T00:00:00"/>
    <d v="2025-02-23T00:00:00"/>
    <d v="2025-03-13T00:00:00"/>
    <s v="Samsung"/>
    <s v="Electronics"/>
    <s v="South Korea"/>
    <s v="Colombo"/>
    <s v="Singapore"/>
    <x v="4"/>
    <s v="CMA CGM Jacques Saadé"/>
    <s v="40FT"/>
    <n v="2"/>
    <s v="Food"/>
    <n v="68537.41"/>
    <n v="13408.95"/>
    <n v="5375.07"/>
    <n v="838.57"/>
    <n v="685.37"/>
    <n v="604.30999999999995"/>
    <n v="1793.43"/>
    <n v="45831.71"/>
    <n v="0"/>
    <s v="None"/>
    <n v="111.74"/>
    <s v="Completed"/>
    <s v="Pending"/>
    <s v="Standard"/>
    <s v="J. Smith"/>
    <s v="Europe"/>
    <d v="2025-02-01T00:00:00"/>
  </r>
  <r>
    <s v="SHP00865"/>
    <s v="BK50865"/>
    <d v="2025-05-28T00:00:00"/>
    <d v="2025-05-31T00:00:00"/>
    <d v="2025-06-21T00:00:00"/>
    <s v="Samsung"/>
    <s v="Electronics"/>
    <s v="South Korea"/>
    <s v="Singapore"/>
    <s v="Rotterdam"/>
    <x v="1"/>
    <s v="Mumbai Maersk"/>
    <s v="Reefer"/>
    <n v="2"/>
    <s v="Food"/>
    <n v="68644.75"/>
    <n v="19610.150000000001"/>
    <n v="4912.92"/>
    <n v="2036.61"/>
    <n v="686.45"/>
    <n v="791.47"/>
    <n v="1591.05"/>
    <n v="39016.1"/>
    <n v="12"/>
    <s v="Customs"/>
    <n v="163.41999999999999"/>
    <s v="Delayed"/>
    <s v="Paid"/>
    <s v="High"/>
    <s v="M. Ahmed"/>
    <s v="Middle East"/>
    <d v="2025-05-01T00:00:00"/>
  </r>
  <r>
    <s v="SHP00963"/>
    <s v="BK50963"/>
    <d v="2025-04-26T00:00:00"/>
    <d v="2025-04-30T00:00:00"/>
    <d v="2025-05-20T00:00:00"/>
    <s v="Bosch"/>
    <s v="Manufacturing"/>
    <s v="Germany"/>
    <s v="Jebel Ali"/>
    <s v="Nhava Sheva"/>
    <x v="0"/>
    <s v="CMA CGM Jacques Saadé"/>
    <s v="20FT"/>
    <n v="2"/>
    <s v="Electronics"/>
    <n v="68923.64"/>
    <n v="14968.21"/>
    <n v="3078.45"/>
    <n v="1038.0899999999999"/>
    <n v="689.24"/>
    <n v="222.2"/>
    <n v="1616.45"/>
    <n v="47311"/>
    <n v="0"/>
    <s v="None"/>
    <n v="124.74"/>
    <s v="Completed"/>
    <s v="Pending"/>
    <s v="Critical"/>
    <s v="A. Tan"/>
    <s v="North America"/>
    <d v="2025-04-01T00:00:00"/>
  </r>
  <r>
    <s v="SHP00585"/>
    <s v="BK50585"/>
    <d v="2025-08-03T00:00:00"/>
    <d v="2025-08-04T00:00:00"/>
    <d v="2025-08-16T00:00:00"/>
    <s v="Adidas"/>
    <s v="Retail"/>
    <s v="Germany"/>
    <s v="Jebel Ali"/>
    <s v="Nhava Sheva"/>
    <x v="0"/>
    <s v="CMA CGM Jacques Saadé"/>
    <s v="40FT"/>
    <n v="2"/>
    <s v="Textiles"/>
    <n v="68936.100000000006"/>
    <n v="12508.27"/>
    <n v="3835.33"/>
    <n v="1593.28"/>
    <n v="689.36"/>
    <n v="582"/>
    <n v="419.78"/>
    <n v="49308.08"/>
    <n v="0"/>
    <s v="None"/>
    <n v="104.24"/>
    <s v="Completed"/>
    <s v="Paid"/>
    <s v="Standard"/>
    <s v="A. Tan"/>
    <s v="Middle East"/>
    <d v="2025-08-01T00:00:00"/>
  </r>
  <r>
    <s v="SHP00032"/>
    <s v="BK50032"/>
    <d v="2025-07-23T00:00:00"/>
    <d v="2025-07-25T00:00:00"/>
    <d v="2025-08-08T00:00:00"/>
    <s v="Adidas"/>
    <s v="Retail"/>
    <s v="Germany"/>
    <s v="New York"/>
    <s v="Nhava Sheva"/>
    <x v="2"/>
    <s v="Ever Ace"/>
    <s v="Reefer"/>
    <n v="2"/>
    <s v="Furniture"/>
    <n v="68976.38"/>
    <n v="16790.54"/>
    <n v="2761.1"/>
    <n v="951.93"/>
    <n v="689.76"/>
    <n v="103.26"/>
    <n v="1295.72"/>
    <n v="46384.07"/>
    <n v="0"/>
    <s v="None"/>
    <n v="139.91999999999999"/>
    <s v="Completed"/>
    <s v="Paid"/>
    <s v="High"/>
    <s v="M. Ahmed"/>
    <s v="North America"/>
    <d v="2025-07-01T00:00:00"/>
  </r>
  <r>
    <s v="SHP00955"/>
    <s v="BK50955"/>
    <d v="2025-08-08T00:00:00"/>
    <d v="2025-08-11T00:00:00"/>
    <d v="2025-08-26T00:00:00"/>
    <s v="Unilever"/>
    <s v="FMCG"/>
    <s v="UK"/>
    <s v="Busan"/>
    <s v="Nhava Sheva"/>
    <x v="2"/>
    <s v="Ever Ace"/>
    <s v="High Cube"/>
    <n v="2"/>
    <s v="Chemicals"/>
    <n v="69095.929999999993"/>
    <n v="14407.8"/>
    <n v="2802.92"/>
    <n v="1160.1500000000001"/>
    <n v="690.96"/>
    <n v="841.12"/>
    <n v="575.91"/>
    <n v="48617.07"/>
    <n v="4"/>
    <s v="Port Congestion"/>
    <n v="120.06"/>
    <s v="Delayed"/>
    <s v="Paid"/>
    <s v="Critical"/>
    <s v="R. Mehta"/>
    <s v="North America"/>
    <d v="2025-08-01T00:00:00"/>
  </r>
  <r>
    <s v="SHP00902"/>
    <s v="BK50902"/>
    <d v="2025-02-15T00:00:00"/>
    <d v="2025-02-19T00:00:00"/>
    <d v="2025-03-12T00:00:00"/>
    <s v="Amazon"/>
    <s v="E-commerce"/>
    <s v="USA"/>
    <s v="Jebel Ali"/>
    <s v="Nhava Sheva"/>
    <x v="0"/>
    <s v="Mary Maersk"/>
    <s v="Reefer"/>
    <n v="4"/>
    <s v="Furniture"/>
    <n v="69260.09"/>
    <n v="14647.99"/>
    <n v="4038.48"/>
    <n v="1837.7"/>
    <n v="692.6"/>
    <n v="746.68"/>
    <n v="1788.56"/>
    <n v="45508.08"/>
    <n v="36"/>
    <s v="Labor Strike"/>
    <n v="122.07"/>
    <s v="Delayed"/>
    <s v="Pending"/>
    <s v="Standard"/>
    <s v="L. Chen"/>
    <s v="North America"/>
    <d v="2025-02-01T00:00:00"/>
  </r>
  <r>
    <s v="SHP00346"/>
    <s v="BK50346"/>
    <d v="2025-06-20T00:00:00"/>
    <d v="2025-06-24T00:00:00"/>
    <d v="2025-07-07T00:00:00"/>
    <s v="Bosch"/>
    <s v="Manufacturing"/>
    <s v="Germany"/>
    <s v="Singapore"/>
    <s v="Rotterdam"/>
    <x v="1"/>
    <s v="OOCL Hong Kong"/>
    <s v="Reefer"/>
    <n v="4"/>
    <s v="Auto Parts"/>
    <n v="69320.570000000007"/>
    <n v="12232.46"/>
    <n v="3356.01"/>
    <n v="1568.73"/>
    <n v="693.21"/>
    <n v="611.95000000000005"/>
    <n v="412.35"/>
    <n v="50445.86"/>
    <n v="0"/>
    <s v="None"/>
    <n v="101.94"/>
    <s v="Completed"/>
    <s v="Paid"/>
    <s v="Critical"/>
    <s v="R. Mehta"/>
    <s v="Middle East"/>
    <d v="2025-06-01T00:00:00"/>
  </r>
  <r>
    <s v="SHP00883"/>
    <s v="BK50883"/>
    <d v="2025-03-23T00:00:00"/>
    <d v="2025-03-24T00:00:00"/>
    <d v="2025-04-12T00:00:00"/>
    <s v="Adidas"/>
    <s v="Retail"/>
    <s v="Germany"/>
    <s v="Jebel Ali"/>
    <s v="Nhava Sheva"/>
    <x v="0"/>
    <s v="Ever Ace"/>
    <s v="20FT"/>
    <n v="2"/>
    <s v="Electronics"/>
    <n v="69712.39"/>
    <n v="16856.13"/>
    <n v="3493.86"/>
    <n v="1611.15"/>
    <n v="697.12"/>
    <n v="657.17"/>
    <n v="2304.0300000000002"/>
    <n v="44092.93"/>
    <n v="0"/>
    <s v="None"/>
    <n v="140.47"/>
    <s v="Completed"/>
    <s v="Paid"/>
    <s v="High"/>
    <s v="M. Ahmed"/>
    <s v="North America"/>
    <d v="2025-03-01T00:00:00"/>
  </r>
  <r>
    <s v="SHP00961"/>
    <s v="BK50961"/>
    <d v="2025-08-30T00:00:00"/>
    <d v="2025-08-31T00:00:00"/>
    <d v="2025-09-25T00:00:00"/>
    <s v="Nestlé"/>
    <s v="Food"/>
    <s v="Switzerland"/>
    <s v="Busan"/>
    <s v="Los Angeles"/>
    <x v="3"/>
    <s v="Mary Maersk"/>
    <s v="Reefer"/>
    <n v="4"/>
    <s v="Electronics"/>
    <n v="70060.14"/>
    <n v="20294.52"/>
    <n v="4261.67"/>
    <n v="1010.72"/>
    <n v="700.6"/>
    <n v="568.77"/>
    <n v="1913.35"/>
    <n v="41310.51"/>
    <n v="4"/>
    <s v="Customs"/>
    <n v="169.12"/>
    <s v="Delayed"/>
    <s v="Paid"/>
    <s v="Critical"/>
    <s v="M. Ahmed"/>
    <s v="Asia"/>
    <d v="2025-08-01T00:00:00"/>
  </r>
  <r>
    <s v="SHP00751"/>
    <s v="BK50751"/>
    <d v="2025-08-22T00:00:00"/>
    <d v="2025-08-24T00:00:00"/>
    <d v="2025-09-07T00:00:00"/>
    <s v="Toyota"/>
    <s v="Automotive"/>
    <s v="Japan"/>
    <s v="Jebel Ali"/>
    <s v="Nhava Sheva"/>
    <x v="0"/>
    <s v="OOCL Hong Kong"/>
    <s v="20FT"/>
    <n v="2"/>
    <s v="Chemicals"/>
    <n v="70120.02"/>
    <n v="11961.28"/>
    <n v="2818.03"/>
    <n v="1660.29"/>
    <n v="701.2"/>
    <n v="632.57000000000005"/>
    <n v="1683.8"/>
    <n v="50662.85"/>
    <n v="4"/>
    <s v="Mechanical"/>
    <n v="99.68"/>
    <s v="Delayed"/>
    <s v="Paid"/>
    <s v="Critical"/>
    <s v="R. Mehta"/>
    <s v="Europe"/>
    <d v="2025-08-01T00:00:00"/>
  </r>
  <r>
    <s v="SHP00518"/>
    <s v="BK50518"/>
    <d v="2025-05-02T00:00:00"/>
    <d v="2025-05-05T00:00:00"/>
    <d v="2025-05-15T00:00:00"/>
    <s v="Toyota"/>
    <s v="Automotive"/>
    <s v="Japan"/>
    <s v="Jebel Ali"/>
    <s v="Nhava Sheva"/>
    <x v="0"/>
    <s v="Madrid Maersk"/>
    <s v="Reefer"/>
    <n v="2"/>
    <s v="Textiles"/>
    <n v="70251.240000000005"/>
    <n v="19319.97"/>
    <n v="3920.6"/>
    <n v="1894.22"/>
    <n v="702.51"/>
    <n v="343.05"/>
    <n v="2323.12"/>
    <n v="41747.769999999997"/>
    <n v="12"/>
    <s v="Labor Strike"/>
    <n v="161"/>
    <s v="Delayed"/>
    <s v="Pending"/>
    <s v="Critical"/>
    <s v="J. Smith"/>
    <s v="Middle East"/>
    <d v="2025-05-01T00:00:00"/>
  </r>
  <r>
    <s v="SHP00451"/>
    <s v="BK50451"/>
    <d v="2025-09-15T00:00:00"/>
    <d v="2025-09-16T00:00:00"/>
    <d v="2025-10-12T00:00:00"/>
    <s v="Toyota"/>
    <s v="Automotive"/>
    <s v="Japan"/>
    <s v="Jebel Ali"/>
    <s v="Nhava Sheva"/>
    <x v="0"/>
    <s v="Mumbai Maersk"/>
    <s v="High Cube"/>
    <n v="2"/>
    <s v="Chemicals"/>
    <n v="70293.09"/>
    <n v="20316.75"/>
    <n v="5348.74"/>
    <n v="1064.33"/>
    <n v="702.93"/>
    <n v="499.53"/>
    <n v="1603.63"/>
    <n v="40757.18"/>
    <n v="12"/>
    <s v="Weather"/>
    <n v="169.31"/>
    <s v="Delayed"/>
    <s v="Pending"/>
    <s v="Critical"/>
    <s v="M. Ahmed"/>
    <s v="Europe"/>
    <d v="2025-09-01T00:00:00"/>
  </r>
  <r>
    <s v="SHP00533"/>
    <s v="BK50533"/>
    <d v="2025-01-25T00:00:00"/>
    <d v="2025-01-28T00:00:00"/>
    <d v="2025-02-20T00:00:00"/>
    <s v="Siemens"/>
    <s v="Engineering"/>
    <s v="Germany"/>
    <s v="Shanghai"/>
    <s v="Rotterdam"/>
    <x v="1"/>
    <s v="CMA CGM Jacques Saadé"/>
    <s v="High Cube"/>
    <n v="2"/>
    <s v="Machinery"/>
    <n v="70497.63"/>
    <n v="15918.07"/>
    <n v="5083.54"/>
    <n v="1251.03"/>
    <n v="704.98"/>
    <n v="502.47"/>
    <n v="1985.67"/>
    <n v="45051.87"/>
    <n v="12"/>
    <s v="Mechanical"/>
    <n v="132.65"/>
    <s v="Delayed"/>
    <s v="Pending"/>
    <s v="High"/>
    <s v="A. Tan"/>
    <s v="Europe"/>
    <d v="2025-01-01T00:00:00"/>
  </r>
  <r>
    <s v="SHP00469"/>
    <s v="BK50469"/>
    <d v="2025-01-15T00:00:00"/>
    <d v="2025-01-18T00:00:00"/>
    <d v="2025-02-15T00:00:00"/>
    <s v="Samsung"/>
    <s v="Electronics"/>
    <s v="South Korea"/>
    <s v="Shanghai"/>
    <s v="Rotterdam"/>
    <x v="1"/>
    <s v="Ever Ace"/>
    <s v="20FT"/>
    <n v="4"/>
    <s v="Machinery"/>
    <n v="70534.16"/>
    <n v="21110.48"/>
    <n v="3187.64"/>
    <n v="1486.7"/>
    <n v="705.34"/>
    <n v="256.98"/>
    <n v="627.32000000000005"/>
    <n v="43159.7"/>
    <n v="0"/>
    <s v="None"/>
    <n v="175.92"/>
    <s v="Completed"/>
    <s v="Paid"/>
    <s v="Critical"/>
    <s v="J. Smith"/>
    <s v="Europe"/>
    <d v="2025-01-01T00:00:00"/>
  </r>
  <r>
    <s v="SHP00552"/>
    <s v="BK50552"/>
    <d v="2025-12-26T00:00:00"/>
    <d v="2025-12-27T00:00:00"/>
    <d v="2026-01-22T00:00:00"/>
    <s v="IKEA"/>
    <s v="Retail"/>
    <s v="Sweden"/>
    <s v="Nhava Sheva"/>
    <s v="New York"/>
    <x v="2"/>
    <s v="Mumbai Maersk"/>
    <s v="40FT"/>
    <n v="2"/>
    <s v="Chemicals"/>
    <n v="70553.78"/>
    <n v="20639.52"/>
    <n v="4763.5200000000004"/>
    <n v="2090.65"/>
    <n v="705.54"/>
    <n v="492.28"/>
    <n v="1229.8399999999999"/>
    <n v="40632.43"/>
    <n v="0"/>
    <s v="None"/>
    <n v="172"/>
    <s v="Completed"/>
    <s v="Pending"/>
    <s v="Critical"/>
    <s v="M. Ahmed"/>
    <s v="Middle East"/>
    <d v="2025-12-01T00:00:00"/>
  </r>
  <r>
    <s v="SHP00513"/>
    <s v="BK50513"/>
    <d v="2025-10-14T00:00:00"/>
    <d v="2025-10-18T00:00:00"/>
    <d v="2025-11-11T00:00:00"/>
    <s v="Bosch"/>
    <s v="Manufacturing"/>
    <s v="Germany"/>
    <s v="Shanghai"/>
    <s v="New York"/>
    <x v="2"/>
    <s v="Monaco Maersk"/>
    <s v="20FT"/>
    <n v="4"/>
    <s v="Food"/>
    <n v="70568.649999999994"/>
    <n v="19216.560000000001"/>
    <n v="5469.7"/>
    <n v="1359.53"/>
    <n v="705.69"/>
    <n v="754.29"/>
    <n v="785.75"/>
    <n v="42277.13"/>
    <n v="4"/>
    <s v="Labor Strike"/>
    <n v="160.13999999999999"/>
    <s v="Delayed"/>
    <s v="Paid"/>
    <s v="Critical"/>
    <s v="A. Tan"/>
    <s v="Asia"/>
    <d v="2025-10-01T00:00:00"/>
  </r>
  <r>
    <s v="SHP00868"/>
    <s v="BK50868"/>
    <d v="2025-09-02T00:00:00"/>
    <d v="2025-09-03T00:00:00"/>
    <d v="2025-09-18T00:00:00"/>
    <s v="Siemens"/>
    <s v="Engineering"/>
    <s v="Germany"/>
    <s v="Singapore"/>
    <s v="Rotterdam"/>
    <x v="1"/>
    <s v="Mary Maersk"/>
    <s v="20FT"/>
    <n v="2"/>
    <s v="Food"/>
    <n v="70604.240000000005"/>
    <n v="12046.6"/>
    <n v="3673.46"/>
    <n v="1111.4100000000001"/>
    <n v="706.04"/>
    <n v="300.60000000000002"/>
    <n v="1873.69"/>
    <n v="50892.44"/>
    <n v="0"/>
    <s v="None"/>
    <n v="100.39"/>
    <s v="Completed"/>
    <s v="Paid"/>
    <s v="High"/>
    <s v="A. Tan"/>
    <s v="Europe"/>
    <d v="2025-09-01T00:00:00"/>
  </r>
  <r>
    <s v="SHP00528"/>
    <s v="BK50528"/>
    <d v="2025-05-07T00:00:00"/>
    <d v="2025-05-08T00:00:00"/>
    <d v="2025-06-02T00:00:00"/>
    <s v="IKEA"/>
    <s v="Retail"/>
    <s v="Sweden"/>
    <s v="Shanghai"/>
    <s v="Rotterdam"/>
    <x v="1"/>
    <s v="MSC Gülsün"/>
    <s v="20FT"/>
    <n v="4"/>
    <s v="Auto Parts"/>
    <n v="70671.149999999994"/>
    <n v="17754.43"/>
    <n v="3104.68"/>
    <n v="1591.15"/>
    <n v="706.71"/>
    <n v="548.32000000000005"/>
    <n v="1093.1400000000001"/>
    <n v="45872.72"/>
    <n v="0"/>
    <s v="None"/>
    <n v="147.94999999999999"/>
    <s v="Completed"/>
    <s v="Paid"/>
    <s v="Critical"/>
    <s v="A. Tan"/>
    <s v="Middle East"/>
    <d v="2025-05-01T00:00:00"/>
  </r>
  <r>
    <s v="SHP00531"/>
    <s v="BK50531"/>
    <d v="2025-05-05T00:00:00"/>
    <d v="2025-05-06T00:00:00"/>
    <d v="2025-05-21T00:00:00"/>
    <s v="Adidas"/>
    <s v="Retail"/>
    <s v="Germany"/>
    <s v="New York"/>
    <s v="New York"/>
    <x v="2"/>
    <s v="Monaco Maersk"/>
    <s v="20FT"/>
    <n v="4"/>
    <s v="Auto Parts"/>
    <n v="71115.47"/>
    <n v="11535.25"/>
    <n v="3693.04"/>
    <n v="784.81"/>
    <n v="711.15"/>
    <n v="301.54000000000002"/>
    <n v="787.24"/>
    <n v="53302.44"/>
    <n v="0"/>
    <s v="None"/>
    <n v="96.13"/>
    <s v="Completed"/>
    <s v="Paid"/>
    <s v="Critical"/>
    <s v="R. Mehta"/>
    <s v="Middle East"/>
    <d v="2025-05-01T00:00:00"/>
  </r>
  <r>
    <s v="SHP00128"/>
    <s v="BK50128"/>
    <d v="2025-02-10T00:00:00"/>
    <d v="2025-02-14T00:00:00"/>
    <d v="2025-03-07T00:00:00"/>
    <s v="LG"/>
    <s v="Electronics"/>
    <s v="South Korea"/>
    <s v="Hamburg"/>
    <s v="Busan"/>
    <x v="2"/>
    <s v="Mary Maersk"/>
    <s v="20FT"/>
    <n v="2"/>
    <s v="Textiles"/>
    <n v="71259.31"/>
    <n v="16935.93"/>
    <n v="3956.43"/>
    <n v="1388.5"/>
    <n v="712.59"/>
    <n v="685.4"/>
    <n v="1057.3"/>
    <n v="46523.16"/>
    <n v="0"/>
    <s v="None"/>
    <n v="141.13"/>
    <s v="Completed"/>
    <s v="Paid"/>
    <s v="High"/>
    <s v="L. Chen"/>
    <s v="Europe"/>
    <d v="2025-02-01T00:00:00"/>
  </r>
  <r>
    <s v="SHP00053"/>
    <s v="BK50053"/>
    <d v="2025-04-18T00:00:00"/>
    <d v="2025-04-21T00:00:00"/>
    <d v="2025-05-18T00:00:00"/>
    <s v="Nestlé"/>
    <s v="Food"/>
    <s v="Switzerland"/>
    <s v="Shanghai"/>
    <s v="Rotterdam"/>
    <x v="1"/>
    <s v="Mumbai Maersk"/>
    <s v="40FT"/>
    <n v="4"/>
    <s v="Machinery"/>
    <n v="71294.2"/>
    <n v="17001.79"/>
    <n v="4338.9799999999996"/>
    <n v="1263.69"/>
    <n v="712.94"/>
    <n v="564.95000000000005"/>
    <n v="828.14"/>
    <n v="46583.71"/>
    <n v="0"/>
    <s v="None"/>
    <n v="141.68"/>
    <s v="Completed"/>
    <s v="Pending"/>
    <s v="High"/>
    <s v="R. Mehta"/>
    <s v="Asia"/>
    <d v="2025-04-01T00:00:00"/>
  </r>
  <r>
    <s v="SHP00599"/>
    <s v="BK50599"/>
    <d v="2025-04-06T00:00:00"/>
    <d v="2025-04-08T00:00:00"/>
    <d v="2025-04-19T00:00:00"/>
    <s v="Toyota"/>
    <s v="Automotive"/>
    <s v="Japan"/>
    <s v="Colombo"/>
    <s v="Los Angeles"/>
    <x v="2"/>
    <s v="Mary Maersk"/>
    <s v="40FT"/>
    <n v="2"/>
    <s v="Furniture"/>
    <n v="71301.86"/>
    <n v="17942.36"/>
    <n v="4954.21"/>
    <n v="826.39"/>
    <n v="713.02"/>
    <n v="886.88"/>
    <n v="2424.35"/>
    <n v="43554.65"/>
    <n v="0"/>
    <s v="None"/>
    <n v="149.52000000000001"/>
    <s v="Completed"/>
    <s v="Pending"/>
    <s v="Standard"/>
    <s v="R. Mehta"/>
    <s v="Europe"/>
    <d v="2025-04-01T00:00:00"/>
  </r>
  <r>
    <s v="SHP00212"/>
    <s v="BK50212"/>
    <d v="2025-01-31T00:00:00"/>
    <d v="2025-02-01T00:00:00"/>
    <d v="2025-02-13T00:00:00"/>
    <s v="LG"/>
    <s v="Electronics"/>
    <s v="South Korea"/>
    <s v="Shanghai"/>
    <s v="Rotterdam"/>
    <x v="1"/>
    <s v="OOCL Hong Kong"/>
    <s v="40FT"/>
    <n v="2"/>
    <s v="Machinery"/>
    <n v="71417.33"/>
    <n v="15842.12"/>
    <n v="4335.12"/>
    <n v="1763.56"/>
    <n v="714.17"/>
    <n v="808.02"/>
    <n v="893.5"/>
    <n v="47060.84"/>
    <n v="0"/>
    <s v="None"/>
    <n v="132.02000000000001"/>
    <s v="Completed"/>
    <s v="Pending"/>
    <s v="Critical"/>
    <s v="A. Tan"/>
    <s v="Middle East"/>
    <d v="2025-01-01T00:00:00"/>
  </r>
  <r>
    <s v="SHP00455"/>
    <s v="BK50455"/>
    <d v="2025-11-27T00:00:00"/>
    <d v="2025-12-01T00:00:00"/>
    <d v="2025-12-19T00:00:00"/>
    <s v="Amazon"/>
    <s v="E-commerce"/>
    <s v="USA"/>
    <s v="Busan"/>
    <s v="Los Angeles"/>
    <x v="3"/>
    <s v="OOCL Hong Kong"/>
    <s v="Reefer"/>
    <n v="2"/>
    <s v="Chemicals"/>
    <n v="71560.41"/>
    <n v="19580.89"/>
    <n v="4430.04"/>
    <n v="1663.01"/>
    <n v="715.6"/>
    <n v="188.31"/>
    <n v="2271.09"/>
    <n v="42711.47"/>
    <n v="8"/>
    <s v="Mechanical"/>
    <n v="163.16999999999999"/>
    <s v="Delayed"/>
    <s v="Pending"/>
    <s v="Critical"/>
    <s v="J. Smith"/>
    <s v="Middle East"/>
    <d v="2025-11-01T00:00:00"/>
  </r>
  <r>
    <s v="SHP00136"/>
    <s v="BK50136"/>
    <d v="2025-04-15T00:00:00"/>
    <d v="2025-04-18T00:00:00"/>
    <d v="2025-05-11T00:00:00"/>
    <s v="LG"/>
    <s v="Electronics"/>
    <s v="South Korea"/>
    <s v="Busan"/>
    <s v="Colombo"/>
    <x v="2"/>
    <s v="Monaco Maersk"/>
    <s v="40FT"/>
    <n v="2"/>
    <s v="Food"/>
    <n v="71946.179999999993"/>
    <n v="17094.95"/>
    <n v="3285.58"/>
    <n v="1072.05"/>
    <n v="719.46"/>
    <n v="270.22000000000003"/>
    <n v="2248.4499999999998"/>
    <n v="47255.47"/>
    <n v="48"/>
    <s v="Labor Strike"/>
    <n v="142.46"/>
    <s v="Delayed"/>
    <s v="Paid"/>
    <s v="High"/>
    <s v="R. Mehta"/>
    <s v="Middle East"/>
    <d v="2025-04-01T00:00:00"/>
  </r>
  <r>
    <s v="SHP00697"/>
    <s v="BK50697"/>
    <d v="2025-01-25T00:00:00"/>
    <d v="2025-01-26T00:00:00"/>
    <d v="2025-02-19T00:00:00"/>
    <s v="Amazon"/>
    <s v="E-commerce"/>
    <s v="USA"/>
    <s v="Busan"/>
    <s v="Los Angeles"/>
    <x v="3"/>
    <s v="Monaco Maersk"/>
    <s v="20FT"/>
    <n v="2"/>
    <s v="Electronics"/>
    <n v="71998.81"/>
    <n v="14354.73"/>
    <n v="5029.6099999999997"/>
    <n v="946.47"/>
    <n v="719.99"/>
    <n v="266.52"/>
    <n v="2008.14"/>
    <n v="48673.35"/>
    <n v="8"/>
    <s v="Mechanical"/>
    <n v="119.62"/>
    <s v="Delayed"/>
    <s v="Pending"/>
    <s v="High"/>
    <s v="R. Mehta"/>
    <s v="Europe"/>
    <d v="2025-01-01T00:00:00"/>
  </r>
  <r>
    <s v="SHP00713"/>
    <s v="BK50713"/>
    <d v="2025-12-01T00:00:00"/>
    <d v="2025-12-02T00:00:00"/>
    <d v="2025-12-25T00:00:00"/>
    <s v="Toyota"/>
    <s v="Automotive"/>
    <s v="Japan"/>
    <s v="Jebel Ali"/>
    <s v="Nhava Sheva"/>
    <x v="0"/>
    <s v="CMA CGM Jacques Saadé"/>
    <s v="High Cube"/>
    <n v="4"/>
    <s v="Electronics"/>
    <n v="72116.63"/>
    <n v="12222.56"/>
    <n v="5315.38"/>
    <n v="1197.5"/>
    <n v="721.17"/>
    <n v="632.71"/>
    <n v="1589.39"/>
    <n v="50437.919999999998"/>
    <n v="0"/>
    <s v="None"/>
    <n v="101.85"/>
    <s v="Completed"/>
    <s v="Paid"/>
    <s v="Critical"/>
    <s v="A. Tan"/>
    <s v="Europe"/>
    <d v="2025-12-01T00:00:00"/>
  </r>
  <r>
    <s v="SHP00543"/>
    <s v="BK50543"/>
    <d v="2025-06-26T00:00:00"/>
    <d v="2025-06-30T00:00:00"/>
    <d v="2025-07-11T00:00:00"/>
    <s v="Nestlé"/>
    <s v="Food"/>
    <s v="Switzerland"/>
    <s v="Shanghai"/>
    <s v="Rotterdam"/>
    <x v="1"/>
    <s v="Monaco Maersk"/>
    <s v="Reefer"/>
    <n v="4"/>
    <s v="Food"/>
    <n v="72547.89"/>
    <n v="14440.62"/>
    <n v="3035.33"/>
    <n v="1639.77"/>
    <n v="725.48"/>
    <n v="158.28"/>
    <n v="2372.87"/>
    <n v="50175.54"/>
    <n v="0"/>
    <s v="None"/>
    <n v="120.34"/>
    <s v="Completed"/>
    <s v="Paid"/>
    <s v="Critical"/>
    <s v="R. Mehta"/>
    <s v="Europe"/>
    <d v="2025-06-01T00:00:00"/>
  </r>
  <r>
    <s v="SHP00072"/>
    <s v="BK50072"/>
    <d v="2025-11-04T00:00:00"/>
    <d v="2025-11-06T00:00:00"/>
    <d v="2025-11-19T00:00:00"/>
    <s v="Adidas"/>
    <s v="Retail"/>
    <s v="Germany"/>
    <s v="Jebel Ali"/>
    <s v="Busan"/>
    <x v="2"/>
    <s v="Mumbai Maersk"/>
    <s v="Reefer"/>
    <n v="2"/>
    <s v="Furniture"/>
    <n v="72641.98"/>
    <n v="20418.66"/>
    <n v="4240.8500000000004"/>
    <n v="750.52"/>
    <n v="726.42"/>
    <n v="151.80000000000001"/>
    <n v="1465.25"/>
    <n v="44888.480000000003"/>
    <n v="4"/>
    <s v="Labor Strike"/>
    <n v="170.16"/>
    <s v="Delayed"/>
    <s v="Pending"/>
    <s v="Critical"/>
    <s v="M. Ahmed"/>
    <s v="Europe"/>
    <d v="2025-11-01T00:00:00"/>
  </r>
  <r>
    <s v="SHP00960"/>
    <s v="BK50960"/>
    <d v="2025-01-11T00:00:00"/>
    <d v="2025-01-15T00:00:00"/>
    <d v="2025-02-03T00:00:00"/>
    <s v="Bosch"/>
    <s v="Manufacturing"/>
    <s v="Germany"/>
    <s v="Colombo"/>
    <s v="Singapore"/>
    <x v="4"/>
    <s v="OOCL Hong Kong"/>
    <s v="40FT"/>
    <n v="2"/>
    <s v="Machinery"/>
    <n v="72820.44"/>
    <n v="13832.15"/>
    <n v="4614.32"/>
    <n v="774.51"/>
    <n v="728.2"/>
    <n v="650.87"/>
    <n v="713.45"/>
    <n v="51506.94"/>
    <n v="36"/>
    <s v="Labor Strike"/>
    <n v="115.27"/>
    <s v="Delayed"/>
    <s v="Pending"/>
    <s v="Critical"/>
    <s v="R. Mehta"/>
    <s v="Europe"/>
    <d v="2025-01-01T00:00:00"/>
  </r>
  <r>
    <s v="SHP00441"/>
    <s v="BK50441"/>
    <d v="2025-12-08T00:00:00"/>
    <d v="2025-12-11T00:00:00"/>
    <d v="2026-01-07T00:00:00"/>
    <s v="Reliance"/>
    <s v="Retail"/>
    <s v="India"/>
    <s v="Shanghai"/>
    <s v="Rotterdam"/>
    <x v="1"/>
    <s v="Mumbai Maersk"/>
    <s v="High Cube"/>
    <n v="2"/>
    <s v="Auto Parts"/>
    <n v="72988.820000000007"/>
    <n v="17957.41"/>
    <n v="3351.26"/>
    <n v="1952.17"/>
    <n v="729.89"/>
    <n v="176.54"/>
    <n v="866.7"/>
    <n v="47954.85"/>
    <n v="48"/>
    <s v="Mechanical"/>
    <n v="149.65"/>
    <s v="Delayed"/>
    <s v="Pending"/>
    <s v="High"/>
    <s v="A. Tan"/>
    <s v="North America"/>
    <d v="2025-12-01T00:00:00"/>
  </r>
  <r>
    <s v="SHP00348"/>
    <s v="BK50348"/>
    <d v="2025-06-15T00:00:00"/>
    <d v="2025-06-16T00:00:00"/>
    <d v="2025-07-09T00:00:00"/>
    <s v="Nestlé"/>
    <s v="Food"/>
    <s v="Switzerland"/>
    <s v="Singapore"/>
    <s v="Rotterdam"/>
    <x v="1"/>
    <s v="Monaco Maersk"/>
    <s v="Reefer"/>
    <n v="2"/>
    <s v="Chemicals"/>
    <n v="72990.25"/>
    <n v="14508.05"/>
    <n v="5644.54"/>
    <n v="1155.1199999999999"/>
    <n v="729.9"/>
    <n v="448.72"/>
    <n v="2192.9299999999998"/>
    <n v="48310.99"/>
    <n v="8"/>
    <s v="Weather"/>
    <n v="120.9"/>
    <s v="Delayed"/>
    <s v="Pending"/>
    <s v="Critical"/>
    <s v="A. Tan"/>
    <s v="Asia"/>
    <d v="2025-06-01T00:00:00"/>
  </r>
  <r>
    <s v="SHP00568"/>
    <s v="BK50568"/>
    <d v="2025-10-26T00:00:00"/>
    <d v="2025-10-28T00:00:00"/>
    <d v="2025-11-26T00:00:00"/>
    <s v="IKEA"/>
    <s v="Retail"/>
    <s v="Sweden"/>
    <s v="Busan"/>
    <s v="Los Angeles"/>
    <x v="3"/>
    <s v="Ever Ace"/>
    <s v="20FT"/>
    <n v="2"/>
    <s v="Textiles"/>
    <n v="72991.33"/>
    <n v="14763.57"/>
    <n v="5404.34"/>
    <n v="811.46"/>
    <n v="729.91"/>
    <n v="258.76"/>
    <n v="1554.93"/>
    <n v="49468.36"/>
    <n v="48"/>
    <s v="Mechanical"/>
    <n v="123.03"/>
    <s v="Delayed"/>
    <s v="Paid"/>
    <s v="High"/>
    <s v="J. Smith"/>
    <s v="Europe"/>
    <d v="2025-10-01T00:00:00"/>
  </r>
  <r>
    <s v="SHP00941"/>
    <s v="BK50941"/>
    <d v="2025-04-26T00:00:00"/>
    <d v="2025-04-27T00:00:00"/>
    <d v="2025-05-22T00:00:00"/>
    <s v="Unilever"/>
    <s v="FMCG"/>
    <s v="UK"/>
    <s v="Busan"/>
    <s v="Los Angeles"/>
    <x v="3"/>
    <s v="Mary Maersk"/>
    <s v="Reefer"/>
    <n v="2"/>
    <s v="Textiles"/>
    <n v="73399.42"/>
    <n v="12752.88"/>
    <n v="3581.18"/>
    <n v="2078.86"/>
    <n v="733.99"/>
    <n v="644.75"/>
    <n v="540.63"/>
    <n v="53067.13"/>
    <n v="0"/>
    <s v="None"/>
    <n v="106.27"/>
    <s v="Completed"/>
    <s v="Pending"/>
    <s v="Critical"/>
    <s v="J. Smith"/>
    <s v="North America"/>
    <d v="2025-04-01T00:00:00"/>
  </r>
  <r>
    <s v="SHP00022"/>
    <s v="BK50022"/>
    <d v="2025-02-11T00:00:00"/>
    <d v="2025-02-14T00:00:00"/>
    <d v="2025-02-26T00:00:00"/>
    <s v="Reliance"/>
    <s v="Retail"/>
    <s v="India"/>
    <s v="Jebel Ali"/>
    <s v="Nhava Sheva"/>
    <x v="0"/>
    <s v="Monaco Maersk"/>
    <s v="20FT"/>
    <n v="2"/>
    <s v="Textiles"/>
    <n v="73432.63"/>
    <n v="13076.19"/>
    <n v="5369.64"/>
    <n v="2012.48"/>
    <n v="734.33"/>
    <n v="277.81"/>
    <n v="2459"/>
    <n v="49503.18"/>
    <n v="24"/>
    <s v="Port Congestion"/>
    <n v="108.97"/>
    <s v="Delayed"/>
    <s v="Pending"/>
    <s v="Critical"/>
    <s v="R. Mehta"/>
    <s v="North America"/>
    <d v="2025-02-01T00:00:00"/>
  </r>
  <r>
    <s v="SHP00217"/>
    <s v="BK50217"/>
    <d v="2025-08-20T00:00:00"/>
    <d v="2025-08-24T00:00:00"/>
    <d v="2025-09-04T00:00:00"/>
    <s v="Toyota"/>
    <s v="Automotive"/>
    <s v="Japan"/>
    <s v="Busan"/>
    <s v="Los Angeles"/>
    <x v="3"/>
    <s v="Mary Maersk"/>
    <s v="40FT"/>
    <n v="2"/>
    <s v="Chemicals"/>
    <n v="73451.37"/>
    <n v="20003.080000000002"/>
    <n v="5509.57"/>
    <n v="1926.29"/>
    <n v="734.51"/>
    <n v="409.82"/>
    <n v="1644.18"/>
    <n v="43223.92"/>
    <n v="0"/>
    <s v="None"/>
    <n v="166.69"/>
    <s v="Completed"/>
    <s v="Paid"/>
    <s v="Standard"/>
    <s v="J. Smith"/>
    <s v="Europe"/>
    <d v="2025-08-01T00:00:00"/>
  </r>
  <r>
    <s v="SHP00620"/>
    <s v="BK50620"/>
    <d v="2025-07-21T00:00:00"/>
    <d v="2025-07-23T00:00:00"/>
    <d v="2025-08-18T00:00:00"/>
    <s v="Toyota"/>
    <s v="Automotive"/>
    <s v="Japan"/>
    <s v="Jebel Ali"/>
    <s v="Singapore"/>
    <x v="2"/>
    <s v="Mary Maersk"/>
    <s v="20FT"/>
    <n v="2"/>
    <s v="Chemicals"/>
    <n v="73653.570000000007"/>
    <n v="12371.28"/>
    <n v="4410.33"/>
    <n v="1320.11"/>
    <n v="736.54"/>
    <n v="505.27"/>
    <n v="1766.16"/>
    <n v="52543.88"/>
    <n v="24"/>
    <s v="Mechanical"/>
    <n v="103.09"/>
    <s v="Delayed"/>
    <s v="Pending"/>
    <s v="Critical"/>
    <s v="M. Ahmed"/>
    <s v="Middle East"/>
    <d v="2025-07-01T00:00:00"/>
  </r>
  <r>
    <s v="SHP00353"/>
    <s v="BK50353"/>
    <d v="2025-04-27T00:00:00"/>
    <d v="2025-04-28T00:00:00"/>
    <d v="2025-05-10T00:00:00"/>
    <s v="Reliance"/>
    <s v="Retail"/>
    <s v="India"/>
    <s v="Hamburg"/>
    <s v="Colombo"/>
    <x v="2"/>
    <s v="Ever Ace"/>
    <s v="Reefer"/>
    <n v="2"/>
    <s v="Auto Parts"/>
    <n v="73671.05"/>
    <n v="17456.29"/>
    <n v="4211.8"/>
    <n v="1560.24"/>
    <n v="736.71"/>
    <n v="149.55000000000001"/>
    <n v="945.21"/>
    <n v="48611.25"/>
    <n v="0"/>
    <s v="None"/>
    <n v="145.47"/>
    <s v="Completed"/>
    <s v="Paid"/>
    <s v="Critical"/>
    <s v="A. Tan"/>
    <s v="Europe"/>
    <d v="2025-04-01T00:00:00"/>
  </r>
  <r>
    <s v="SHP00852"/>
    <s v="BK50852"/>
    <d v="2025-06-10T00:00:00"/>
    <d v="2025-06-13T00:00:00"/>
    <d v="2025-07-06T00:00:00"/>
    <s v="Pfizer"/>
    <s v="Pharma"/>
    <s v="USA"/>
    <s v="Jebel Ali"/>
    <s v="Nhava Sheva"/>
    <x v="0"/>
    <s v="OOCL Hong Kong"/>
    <s v="20FT"/>
    <n v="4"/>
    <s v="Electronics"/>
    <n v="74116.25"/>
    <n v="12177.51"/>
    <n v="5647.96"/>
    <n v="1416.56"/>
    <n v="741.16"/>
    <n v="505.48"/>
    <n v="1082.1600000000001"/>
    <n v="52545.42"/>
    <n v="0"/>
    <s v="None"/>
    <n v="101.48"/>
    <s v="Completed"/>
    <s v="Paid"/>
    <s v="High"/>
    <s v="R. Mehta"/>
    <s v="Europe"/>
    <d v="2025-06-01T00:00:00"/>
  </r>
  <r>
    <s v="SHP00909"/>
    <s v="BK50909"/>
    <d v="2025-01-28T00:00:00"/>
    <d v="2025-01-29T00:00:00"/>
    <d v="2025-02-23T00:00:00"/>
    <s v="Toyota"/>
    <s v="Automotive"/>
    <s v="Japan"/>
    <s v="Jebel Ali"/>
    <s v="Nhava Sheva"/>
    <x v="0"/>
    <s v="Mary Maersk"/>
    <s v="High Cube"/>
    <n v="4"/>
    <s v="Food"/>
    <n v="74142.28"/>
    <n v="17226.259999999998"/>
    <n v="4540.3100000000004"/>
    <n v="2210.75"/>
    <n v="741.42"/>
    <n v="127.4"/>
    <n v="1336.03"/>
    <n v="47960.11"/>
    <n v="0"/>
    <s v="None"/>
    <n v="143.55000000000001"/>
    <s v="Completed"/>
    <s v="Paid"/>
    <s v="Standard"/>
    <s v="L. Chen"/>
    <s v="Asia"/>
    <d v="2025-01-01T00:00:00"/>
  </r>
  <r>
    <s v="SHP00069"/>
    <s v="BK50069"/>
    <d v="2025-05-13T00:00:00"/>
    <d v="2025-05-14T00:00:00"/>
    <d v="2025-06-04T00:00:00"/>
    <s v="Unilever"/>
    <s v="FMCG"/>
    <s v="UK"/>
    <s v="Colombo"/>
    <s v="Singapore"/>
    <x v="4"/>
    <s v="OOCL Hong Kong"/>
    <s v="Reefer"/>
    <n v="2"/>
    <s v="Chemicals"/>
    <n v="74300.820000000007"/>
    <n v="19974.599999999999"/>
    <n v="4977.54"/>
    <n v="1395.08"/>
    <n v="743.01"/>
    <n v="369.35"/>
    <n v="1473.99"/>
    <n v="45367.25"/>
    <n v="12"/>
    <s v="Labor Strike"/>
    <n v="166.45"/>
    <s v="Delayed"/>
    <s v="Paid"/>
    <s v="Critical"/>
    <s v="J. Smith"/>
    <s v="Asia"/>
    <d v="2025-05-01T00:00:00"/>
  </r>
  <r>
    <s v="SHP00521"/>
    <s v="BK50521"/>
    <d v="2025-06-09T00:00:00"/>
    <d v="2025-06-10T00:00:00"/>
    <d v="2025-07-01T00:00:00"/>
    <s v="Amazon"/>
    <s v="E-commerce"/>
    <s v="USA"/>
    <s v="Singapore"/>
    <s v="Rotterdam"/>
    <x v="1"/>
    <s v="Monaco Maersk"/>
    <s v="40FT"/>
    <n v="2"/>
    <s v="Machinery"/>
    <n v="74729.350000000006"/>
    <n v="19441.740000000002"/>
    <n v="3041.56"/>
    <n v="1173.4100000000001"/>
    <n v="747.29"/>
    <n v="549.14"/>
    <n v="2379.6999999999998"/>
    <n v="47396.51"/>
    <n v="0"/>
    <s v="None"/>
    <n v="162.01"/>
    <s v="Completed"/>
    <s v="Pending"/>
    <s v="High"/>
    <s v="J. Smith"/>
    <s v="Middle East"/>
    <d v="2025-06-01T00:00:00"/>
  </r>
  <r>
    <s v="SHP00148"/>
    <s v="BK50148"/>
    <d v="2025-06-11T00:00:00"/>
    <d v="2025-06-15T00:00:00"/>
    <d v="2025-06-30T00:00:00"/>
    <s v="Adidas"/>
    <s v="Retail"/>
    <s v="Germany"/>
    <s v="Colombo"/>
    <s v="Singapore"/>
    <x v="4"/>
    <s v="MSC Gülsün"/>
    <s v="20FT"/>
    <n v="2"/>
    <s v="Chemicals"/>
    <n v="75115.37"/>
    <n v="14907.3"/>
    <n v="5118.6000000000004"/>
    <n v="1845.79"/>
    <n v="751.15"/>
    <n v="715.85"/>
    <n v="611.09"/>
    <n v="51165.59"/>
    <n v="8"/>
    <s v="Labor Strike"/>
    <n v="124.23"/>
    <s v="Delayed"/>
    <s v="Paid"/>
    <s v="Standard"/>
    <s v="A. Tan"/>
    <s v="North America"/>
    <d v="2025-06-01T00:00:00"/>
  </r>
  <r>
    <s v="SHP00245"/>
    <s v="BK50245"/>
    <d v="2025-03-28T00:00:00"/>
    <d v="2025-03-29T00:00:00"/>
    <d v="2025-04-11T00:00:00"/>
    <s v="Bosch"/>
    <s v="Manufacturing"/>
    <s v="Germany"/>
    <s v="Rotterdam"/>
    <s v="Singapore"/>
    <x v="2"/>
    <s v="Mumbai Maersk"/>
    <s v="High Cube"/>
    <n v="2"/>
    <s v="Auto Parts"/>
    <n v="75139.69"/>
    <n v="13767.69"/>
    <n v="3662.34"/>
    <n v="1097"/>
    <n v="751.4"/>
    <n v="585.92999999999995"/>
    <n v="2490.62"/>
    <n v="52784.71"/>
    <n v="48"/>
    <s v="Port Congestion"/>
    <n v="114.73"/>
    <s v="Delayed"/>
    <s v="Paid"/>
    <s v="Critical"/>
    <s v="M. Ahmed"/>
    <s v="North America"/>
    <d v="2025-03-01T00:00:00"/>
  </r>
  <r>
    <s v="SHP00422"/>
    <s v="BK50422"/>
    <d v="2025-06-30T00:00:00"/>
    <d v="2025-07-04T00:00:00"/>
    <d v="2025-07-14T00:00:00"/>
    <s v="Nestlé"/>
    <s v="Food"/>
    <s v="Switzerland"/>
    <s v="Shanghai"/>
    <s v="Rotterdam"/>
    <x v="1"/>
    <s v="Mary Maersk"/>
    <s v="High Cube"/>
    <n v="2"/>
    <s v="Textiles"/>
    <n v="75317.820000000007"/>
    <n v="14098.54"/>
    <n v="4755.8500000000004"/>
    <n v="1243.0999999999999"/>
    <n v="753.18"/>
    <n v="780.33"/>
    <n v="2229.42"/>
    <n v="51457.4"/>
    <n v="0"/>
    <s v="None"/>
    <n v="117.49"/>
    <s v="Completed"/>
    <s v="Paid"/>
    <s v="Standard"/>
    <s v="A. Tan"/>
    <s v="Middle East"/>
    <d v="2025-06-01T00:00:00"/>
  </r>
  <r>
    <s v="SHP00226"/>
    <s v="BK50226"/>
    <d v="2025-02-01T00:00:00"/>
    <d v="2025-02-05T00:00:00"/>
    <d v="2025-02-27T00:00:00"/>
    <s v="Siemens"/>
    <s v="Engineering"/>
    <s v="Germany"/>
    <s v="Jebel Ali"/>
    <s v="Nhava Sheva"/>
    <x v="0"/>
    <s v="Mary Maersk"/>
    <s v="Reefer"/>
    <n v="2"/>
    <s v="Auto Parts"/>
    <n v="75323.740000000005"/>
    <n v="13454.8"/>
    <n v="4332.25"/>
    <n v="2047.35"/>
    <n v="753.24"/>
    <n v="710.52"/>
    <n v="1946.7"/>
    <n v="52078.879999999997"/>
    <n v="4"/>
    <s v="Labor Strike"/>
    <n v="112.12"/>
    <s v="Delayed"/>
    <s v="Paid"/>
    <s v="Critical"/>
    <s v="J. Smith"/>
    <s v="Asia"/>
    <d v="2025-02-01T00:00:00"/>
  </r>
  <r>
    <s v="SHP00287"/>
    <s v="BK50287"/>
    <d v="2025-07-09T00:00:00"/>
    <d v="2025-07-10T00:00:00"/>
    <d v="2025-08-06T00:00:00"/>
    <s v="Pfizer"/>
    <s v="Pharma"/>
    <s v="USA"/>
    <s v="Busan"/>
    <s v="Los Angeles"/>
    <x v="3"/>
    <s v="CMA CGM Jacques Saadé"/>
    <s v="High Cube"/>
    <n v="4"/>
    <s v="Electronics"/>
    <n v="75446.929999999993"/>
    <n v="13823.81"/>
    <n v="5551.79"/>
    <n v="1779.23"/>
    <n v="754.47"/>
    <n v="461.14"/>
    <n v="2176.4499999999998"/>
    <n v="50900.04"/>
    <n v="8"/>
    <s v="Weather"/>
    <n v="115.2"/>
    <s v="Delayed"/>
    <s v="Paid"/>
    <s v="Standard"/>
    <s v="M. Ahmed"/>
    <s v="Asia"/>
    <d v="2025-07-01T00:00:00"/>
  </r>
  <r>
    <s v="SHP00334"/>
    <s v="BK50334"/>
    <d v="2025-02-02T00:00:00"/>
    <d v="2025-02-05T00:00:00"/>
    <d v="2025-03-02T00:00:00"/>
    <s v="Toyota"/>
    <s v="Automotive"/>
    <s v="Japan"/>
    <s v="Hamburg"/>
    <s v="Rotterdam"/>
    <x v="2"/>
    <s v="Mary Maersk"/>
    <s v="20FT"/>
    <n v="2"/>
    <s v="Auto Parts"/>
    <n v="75477.97"/>
    <n v="17879.080000000002"/>
    <n v="4137.49"/>
    <n v="1059.43"/>
    <n v="754.78"/>
    <n v="101.82"/>
    <n v="1681.61"/>
    <n v="49863.76"/>
    <n v="0"/>
    <s v="None"/>
    <n v="148.99"/>
    <s v="Completed"/>
    <s v="Pending"/>
    <s v="Standard"/>
    <s v="J. Smith"/>
    <s v="Europe"/>
    <d v="2025-02-01T00:00:00"/>
  </r>
  <r>
    <s v="SHP00017"/>
    <s v="BK50017"/>
    <d v="2025-05-04T00:00:00"/>
    <d v="2025-05-05T00:00:00"/>
    <d v="2025-06-01T00:00:00"/>
    <s v="Amazon"/>
    <s v="E-commerce"/>
    <s v="USA"/>
    <s v="Busan"/>
    <s v="Rotterdam"/>
    <x v="2"/>
    <s v="Madrid Maersk"/>
    <s v="40FT"/>
    <n v="2"/>
    <s v="Electronics"/>
    <n v="75509.86"/>
    <n v="16510.759999999998"/>
    <n v="3118.01"/>
    <n v="1451.96"/>
    <n v="755.1"/>
    <n v="811.37"/>
    <n v="481.06"/>
    <n v="52381.599999999999"/>
    <n v="0"/>
    <s v="None"/>
    <n v="137.59"/>
    <s v="Completed"/>
    <s v="Pending"/>
    <s v="Critical"/>
    <s v="M. Ahmed"/>
    <s v="Europe"/>
    <d v="2025-05-01T00:00:00"/>
  </r>
  <r>
    <s v="SHP00709"/>
    <s v="BK50709"/>
    <d v="2025-06-01T00:00:00"/>
    <d v="2025-06-05T00:00:00"/>
    <d v="2025-07-03T00:00:00"/>
    <s v="Siemens"/>
    <s v="Engineering"/>
    <s v="Germany"/>
    <s v="Singapore"/>
    <s v="Rotterdam"/>
    <x v="1"/>
    <s v="CMA CGM Jacques Saadé"/>
    <s v="20FT"/>
    <n v="2"/>
    <s v="Food"/>
    <n v="75921.25"/>
    <n v="19008.060000000001"/>
    <n v="3536.17"/>
    <n v="928.17"/>
    <n v="759.21"/>
    <n v="627.55999999999995"/>
    <n v="2468.4899999999998"/>
    <n v="48593.59"/>
    <n v="0"/>
    <s v="None"/>
    <n v="158.4"/>
    <s v="Completed"/>
    <s v="Paid"/>
    <s v="High"/>
    <s v="M. Ahmed"/>
    <s v="Middle East"/>
    <d v="2025-06-01T00:00:00"/>
  </r>
  <r>
    <s v="SHP00081"/>
    <s v="BK50081"/>
    <d v="2025-05-12T00:00:00"/>
    <d v="2025-05-15T00:00:00"/>
    <d v="2025-06-08T00:00:00"/>
    <s v="Nestlé"/>
    <s v="Food"/>
    <s v="Switzerland"/>
    <s v="Singapore"/>
    <s v="Rotterdam"/>
    <x v="1"/>
    <s v="OOCL Hong Kong"/>
    <s v="20FT"/>
    <n v="2"/>
    <s v="Furniture"/>
    <n v="75993.56"/>
    <n v="19631.36"/>
    <n v="6035.07"/>
    <n v="1747.31"/>
    <n v="759.94"/>
    <n v="815.93"/>
    <n v="1789.33"/>
    <n v="45214.62"/>
    <n v="12"/>
    <s v="Weather"/>
    <n v="163.59"/>
    <s v="Delayed"/>
    <s v="Pending"/>
    <s v="Critical"/>
    <s v="A. Tan"/>
    <s v="North America"/>
    <d v="2025-05-01T00:00:00"/>
  </r>
  <r>
    <s v="SHP00625"/>
    <s v="BK50625"/>
    <d v="2025-04-02T00:00:00"/>
    <d v="2025-04-06T00:00:00"/>
    <d v="2025-05-02T00:00:00"/>
    <s v="Adidas"/>
    <s v="Retail"/>
    <s v="Germany"/>
    <s v="Colombo"/>
    <s v="Singapore"/>
    <x v="4"/>
    <s v="Mary Maersk"/>
    <s v="Reefer"/>
    <n v="4"/>
    <s v="Auto Parts"/>
    <n v="76030.720000000001"/>
    <n v="16607.91"/>
    <n v="5584.67"/>
    <n v="1065.71"/>
    <n v="760.31"/>
    <n v="663.37"/>
    <n v="1088.5999999999999"/>
    <n v="50260.15"/>
    <n v="48"/>
    <s v="Port Congestion"/>
    <n v="138.4"/>
    <s v="Delayed"/>
    <s v="Paid"/>
    <s v="High"/>
    <s v="L. Chen"/>
    <s v="North America"/>
    <d v="2025-04-01T00:00:00"/>
  </r>
  <r>
    <s v="SHP00491"/>
    <s v="BK50491"/>
    <d v="2025-02-11T00:00:00"/>
    <d v="2025-02-13T00:00:00"/>
    <d v="2025-03-05T00:00:00"/>
    <s v="Bosch"/>
    <s v="Manufacturing"/>
    <s v="Germany"/>
    <s v="Colombo"/>
    <s v="Singapore"/>
    <x v="4"/>
    <s v="Mary Maersk"/>
    <s v="Reefer"/>
    <n v="2"/>
    <s v="Food"/>
    <n v="76059.78"/>
    <n v="12631.8"/>
    <n v="5709.35"/>
    <n v="1557.87"/>
    <n v="760.6"/>
    <n v="415.59"/>
    <n v="2388.21"/>
    <n v="52596.36"/>
    <n v="24"/>
    <s v="Mechanical"/>
    <n v="105.27"/>
    <s v="Delayed"/>
    <s v="Paid"/>
    <s v="Critical"/>
    <s v="A. Tan"/>
    <s v="North America"/>
    <d v="2025-02-01T00:00:00"/>
  </r>
  <r>
    <s v="SHP00197"/>
    <s v="BK50197"/>
    <d v="2025-11-29T00:00:00"/>
    <d v="2025-11-30T00:00:00"/>
    <d v="2025-12-28T00:00:00"/>
    <s v="Samsung"/>
    <s v="Electronics"/>
    <s v="South Korea"/>
    <s v="Colombo"/>
    <s v="Singapore"/>
    <x v="4"/>
    <s v="Mumbai Maersk"/>
    <s v="Reefer"/>
    <n v="2"/>
    <s v="Textiles"/>
    <n v="76253.53"/>
    <n v="14096.05"/>
    <n v="3762.04"/>
    <n v="1742.51"/>
    <n v="762.54"/>
    <n v="181.27"/>
    <n v="1103.54"/>
    <n v="54605.58"/>
    <n v="24"/>
    <s v="Labor Strike"/>
    <n v="117.47"/>
    <s v="Delayed"/>
    <s v="Paid"/>
    <s v="Critical"/>
    <s v="A. Tan"/>
    <s v="North America"/>
    <d v="2025-11-01T00:00:00"/>
  </r>
  <r>
    <s v="SHP00050"/>
    <s v="BK50050"/>
    <d v="2025-04-04T00:00:00"/>
    <d v="2025-04-08T00:00:00"/>
    <d v="2025-04-28T00:00:00"/>
    <s v="Nestlé"/>
    <s v="Food"/>
    <s v="Switzerland"/>
    <s v="Jebel Ali"/>
    <s v="Nhava Sheva"/>
    <x v="0"/>
    <s v="Madrid Maersk"/>
    <s v="40FT"/>
    <n v="2"/>
    <s v="Auto Parts"/>
    <n v="76254.210000000006"/>
    <n v="17084.23"/>
    <n v="4672.34"/>
    <n v="1363.4"/>
    <n v="762.54"/>
    <n v="825.49"/>
    <n v="560.64"/>
    <n v="50985.57"/>
    <n v="24"/>
    <s v="Weather"/>
    <n v="142.37"/>
    <s v="Delayed"/>
    <s v="Paid"/>
    <s v="High"/>
    <s v="L. Chen"/>
    <s v="Europe"/>
    <d v="2025-04-01T00:00:00"/>
  </r>
  <r>
    <s v="SHP00238"/>
    <s v="BK50238"/>
    <d v="2025-10-07T00:00:00"/>
    <d v="2025-10-11T00:00:00"/>
    <d v="2025-11-05T00:00:00"/>
    <s v="Toyota"/>
    <s v="Automotive"/>
    <s v="Japan"/>
    <s v="Colombo"/>
    <s v="Singapore"/>
    <x v="4"/>
    <s v="Madrid Maersk"/>
    <s v="40FT"/>
    <n v="2"/>
    <s v="Food"/>
    <n v="76330.78"/>
    <n v="16134.07"/>
    <n v="4562.47"/>
    <n v="1347.54"/>
    <n v="763.31"/>
    <n v="861.62"/>
    <n v="1587.14"/>
    <n v="51074.63"/>
    <n v="48"/>
    <s v="Port Congestion"/>
    <n v="134.44999999999999"/>
    <s v="Delayed"/>
    <s v="Pending"/>
    <s v="Critical"/>
    <s v="L. Chen"/>
    <s v="Asia"/>
    <d v="2025-10-01T00:00:00"/>
  </r>
  <r>
    <s v="SHP00421"/>
    <s v="BK50421"/>
    <d v="2025-06-01T00:00:00"/>
    <d v="2025-06-05T00:00:00"/>
    <d v="2025-07-01T00:00:00"/>
    <s v="Siemens"/>
    <s v="Engineering"/>
    <s v="Germany"/>
    <s v="Busan"/>
    <s v="Rotterdam"/>
    <x v="2"/>
    <s v="Mary Maersk"/>
    <s v="20FT"/>
    <n v="4"/>
    <s v="Chemicals"/>
    <n v="76549.850000000006"/>
    <n v="14396.54"/>
    <n v="3707.65"/>
    <n v="1865.6"/>
    <n v="765.5"/>
    <n v="586.14"/>
    <n v="1303.3900000000001"/>
    <n v="53925.03"/>
    <n v="0"/>
    <s v="None"/>
    <n v="119.97"/>
    <s v="Completed"/>
    <s v="Pending"/>
    <s v="Standard"/>
    <s v="R. Mehta"/>
    <s v="Europe"/>
    <d v="2025-06-01T00:00:00"/>
  </r>
  <r>
    <s v="SHP00785"/>
    <s v="BK50785"/>
    <d v="2025-03-05T00:00:00"/>
    <d v="2025-03-09T00:00:00"/>
    <d v="2025-04-06T00:00:00"/>
    <s v="Siemens"/>
    <s v="Engineering"/>
    <s v="Germany"/>
    <s v="Colombo"/>
    <s v="Singapore"/>
    <x v="4"/>
    <s v="Madrid Maersk"/>
    <s v="High Cube"/>
    <n v="2"/>
    <s v="Electronics"/>
    <n v="76576.05"/>
    <n v="15870.21"/>
    <n v="3629.17"/>
    <n v="1614.71"/>
    <n v="765.76"/>
    <n v="122.76"/>
    <n v="1105.73"/>
    <n v="53467.71"/>
    <n v="0"/>
    <s v="None"/>
    <n v="132.25"/>
    <s v="Completed"/>
    <s v="Pending"/>
    <s v="High"/>
    <s v="M. Ahmed"/>
    <s v="Asia"/>
    <d v="2025-03-01T00:00:00"/>
  </r>
  <r>
    <s v="SHP00446"/>
    <s v="BK50446"/>
    <d v="2025-01-20T00:00:00"/>
    <d v="2025-01-23T00:00:00"/>
    <d v="2025-02-15T00:00:00"/>
    <s v="Samsung"/>
    <s v="Electronics"/>
    <s v="South Korea"/>
    <s v="Rotterdam"/>
    <s v="Rotterdam"/>
    <x v="2"/>
    <s v="MSC Gülsün"/>
    <s v="Reefer"/>
    <n v="4"/>
    <s v="Auto Parts"/>
    <n v="76743.81"/>
    <n v="16305.82"/>
    <n v="5993.26"/>
    <n v="1248.18"/>
    <n v="767.44"/>
    <n v="388.46"/>
    <n v="454.96"/>
    <n v="51585.69"/>
    <n v="0"/>
    <s v="None"/>
    <n v="135.88"/>
    <s v="Completed"/>
    <s v="Pending"/>
    <s v="High"/>
    <s v="L. Chen"/>
    <s v="Asia"/>
    <d v="2025-01-01T00:00:00"/>
  </r>
  <r>
    <s v="SHP00781"/>
    <s v="BK50781"/>
    <d v="2025-05-02T00:00:00"/>
    <d v="2025-05-04T00:00:00"/>
    <d v="2025-05-19T00:00:00"/>
    <s v="Pfizer"/>
    <s v="Pharma"/>
    <s v="USA"/>
    <s v="Jebel Ali"/>
    <s v="Nhava Sheva"/>
    <x v="0"/>
    <s v="Madrid Maersk"/>
    <s v="20FT"/>
    <n v="2"/>
    <s v="Chemicals"/>
    <n v="77204.95"/>
    <n v="21619.59"/>
    <n v="4070.59"/>
    <n v="1344.02"/>
    <n v="772.05"/>
    <n v="612.01"/>
    <n v="1254.8"/>
    <n v="47531.89"/>
    <n v="12"/>
    <s v="Weather"/>
    <n v="180.16"/>
    <s v="Delayed"/>
    <s v="Paid"/>
    <s v="Critical"/>
    <s v="L. Chen"/>
    <s v="North America"/>
    <d v="2025-05-01T00:00:00"/>
  </r>
  <r>
    <s v="SHP00295"/>
    <s v="BK50295"/>
    <d v="2025-02-23T00:00:00"/>
    <d v="2025-02-24T00:00:00"/>
    <d v="2025-03-24T00:00:00"/>
    <s v="Nestlé"/>
    <s v="Food"/>
    <s v="Switzerland"/>
    <s v="Singapore"/>
    <s v="Rotterdam"/>
    <x v="1"/>
    <s v="Monaco Maersk"/>
    <s v="High Cube"/>
    <n v="4"/>
    <s v="Food"/>
    <n v="77273.14"/>
    <n v="19995.27"/>
    <n v="5521.12"/>
    <n v="2184.06"/>
    <n v="772.73"/>
    <n v="207.26"/>
    <n v="1032.93"/>
    <n v="47559.77"/>
    <n v="0"/>
    <s v="None"/>
    <n v="166.63"/>
    <s v="Completed"/>
    <s v="Paid"/>
    <s v="Standard"/>
    <s v="M. Ahmed"/>
    <s v="Asia"/>
    <d v="2025-02-01T00:00:00"/>
  </r>
  <r>
    <s v="SHP00617"/>
    <s v="BK50617"/>
    <d v="2025-06-18T00:00:00"/>
    <d v="2025-06-20T00:00:00"/>
    <d v="2025-07-07T00:00:00"/>
    <s v="Siemens"/>
    <s v="Engineering"/>
    <s v="Germany"/>
    <s v="Busan"/>
    <s v="Los Angeles"/>
    <x v="3"/>
    <s v="Mary Maersk"/>
    <s v="40FT"/>
    <n v="2"/>
    <s v="Chemicals"/>
    <n v="77338.17"/>
    <n v="22718.080000000002"/>
    <n v="4815.12"/>
    <n v="1965.54"/>
    <n v="773.38"/>
    <n v="104.55"/>
    <n v="1779.78"/>
    <n v="45181.72"/>
    <n v="4"/>
    <s v="Labor Strike"/>
    <n v="189.32"/>
    <s v="Delayed"/>
    <s v="Paid"/>
    <s v="Critical"/>
    <s v="J. Smith"/>
    <s v="Asia"/>
    <d v="2025-06-01T00:00:00"/>
  </r>
  <r>
    <s v="SHP00931"/>
    <s v="BK50931"/>
    <d v="2025-01-18T00:00:00"/>
    <d v="2025-01-19T00:00:00"/>
    <d v="2025-02-09T00:00:00"/>
    <s v="Nestlé"/>
    <s v="Food"/>
    <s v="Switzerland"/>
    <s v="Colombo"/>
    <s v="Singapore"/>
    <x v="4"/>
    <s v="Monaco Maersk"/>
    <s v="40FT"/>
    <n v="2"/>
    <s v="Chemicals"/>
    <n v="77611.86"/>
    <n v="19681.89"/>
    <n v="3768.87"/>
    <n v="1045.43"/>
    <n v="776.12"/>
    <n v="498.34"/>
    <n v="783.57"/>
    <n v="51057.64"/>
    <n v="36"/>
    <s v="Customs"/>
    <n v="164.02"/>
    <s v="Delayed"/>
    <s v="Paid"/>
    <s v="Standard"/>
    <s v="L. Chen"/>
    <s v="Europe"/>
    <d v="2025-01-01T00:00:00"/>
  </r>
  <r>
    <s v="SHP00843"/>
    <s v="BK50843"/>
    <d v="2025-06-08T00:00:00"/>
    <d v="2025-06-11T00:00:00"/>
    <d v="2025-07-02T00:00:00"/>
    <s v="Amazon"/>
    <s v="E-commerce"/>
    <s v="USA"/>
    <s v="Hamburg"/>
    <s v="Nhava Sheva"/>
    <x v="2"/>
    <s v="CMA CGM Jacques Saadé"/>
    <s v="Reefer"/>
    <n v="2"/>
    <s v="Furniture"/>
    <n v="77767.64"/>
    <n v="13165.28"/>
    <n v="5718.59"/>
    <n v="1356.97"/>
    <n v="777.68"/>
    <n v="508.37"/>
    <n v="837.85"/>
    <n v="55402.9"/>
    <n v="24"/>
    <s v="Labor Strike"/>
    <n v="109.71"/>
    <s v="Delayed"/>
    <s v="Pending"/>
    <s v="High"/>
    <s v="L. Chen"/>
    <s v="Asia"/>
    <d v="2025-06-01T00:00:00"/>
  </r>
  <r>
    <s v="SHP00199"/>
    <s v="BK50199"/>
    <d v="2025-07-15T00:00:00"/>
    <d v="2025-07-17T00:00:00"/>
    <d v="2025-08-13T00:00:00"/>
    <s v="Samsung"/>
    <s v="Electronics"/>
    <s v="South Korea"/>
    <s v="Shanghai"/>
    <s v="Rotterdam"/>
    <x v="1"/>
    <s v="MSC Gülsün"/>
    <s v="High Cube"/>
    <n v="2"/>
    <s v="Auto Parts"/>
    <n v="77860.2"/>
    <n v="18498.91"/>
    <n v="3313.89"/>
    <n v="786.51"/>
    <n v="778.6"/>
    <n v="136.36000000000001"/>
    <n v="1544.35"/>
    <n v="52801.58"/>
    <n v="4"/>
    <s v="Customs"/>
    <n v="154.16"/>
    <s v="Delayed"/>
    <s v="Paid"/>
    <s v="Critical"/>
    <s v="M. Ahmed"/>
    <s v="Middle East"/>
    <d v="2025-07-01T00:00:00"/>
  </r>
  <r>
    <s v="SHP00739"/>
    <s v="BK50739"/>
    <d v="2025-12-19T00:00:00"/>
    <d v="2025-12-23T00:00:00"/>
    <d v="2026-01-17T00:00:00"/>
    <s v="Reliance"/>
    <s v="Retail"/>
    <s v="India"/>
    <s v="Singapore"/>
    <s v="Rotterdam"/>
    <x v="1"/>
    <s v="MSC Gülsün"/>
    <s v="20FT"/>
    <n v="4"/>
    <s v="Textiles"/>
    <n v="77872.45"/>
    <n v="12919.67"/>
    <n v="4360.5600000000004"/>
    <n v="1561.65"/>
    <n v="778.72"/>
    <n v="895.66"/>
    <n v="1761.27"/>
    <n v="55594.92"/>
    <n v="24"/>
    <s v="Weather"/>
    <n v="107.66"/>
    <s v="Delayed"/>
    <s v="Pending"/>
    <s v="Standard"/>
    <s v="J. Smith"/>
    <s v="Europe"/>
    <d v="2025-12-01T00:00:00"/>
  </r>
  <r>
    <s v="SHP00729"/>
    <s v="BK50729"/>
    <d v="2025-05-23T00:00:00"/>
    <d v="2025-05-26T00:00:00"/>
    <d v="2025-06-14T00:00:00"/>
    <s v="Adidas"/>
    <s v="Retail"/>
    <s v="Germany"/>
    <s v="Colombo"/>
    <s v="Singapore"/>
    <x v="4"/>
    <s v="MSC Gülsün"/>
    <s v="40FT"/>
    <n v="2"/>
    <s v="Food"/>
    <n v="77918.52"/>
    <n v="18903.05"/>
    <n v="4952.46"/>
    <n v="1522.13"/>
    <n v="779.19"/>
    <n v="266.11"/>
    <n v="1634.74"/>
    <n v="49860.84"/>
    <n v="12"/>
    <s v="Mechanical"/>
    <n v="157.53"/>
    <s v="Delayed"/>
    <s v="Paid"/>
    <s v="High"/>
    <s v="L. Chen"/>
    <s v="Asia"/>
    <d v="2025-05-01T00:00:00"/>
  </r>
  <r>
    <s v="SHP00762"/>
    <s v="BK50762"/>
    <d v="2025-11-04T00:00:00"/>
    <d v="2025-11-07T00:00:00"/>
    <d v="2025-12-02T00:00:00"/>
    <s v="Pfizer"/>
    <s v="Pharma"/>
    <s v="USA"/>
    <s v="Singapore"/>
    <s v="Rotterdam"/>
    <x v="1"/>
    <s v="MSC Gülsün"/>
    <s v="20FT"/>
    <n v="4"/>
    <s v="Textiles"/>
    <n v="77920.22"/>
    <n v="17442.98"/>
    <n v="4582.83"/>
    <n v="2248.58"/>
    <n v="779.2"/>
    <n v="791.41"/>
    <n v="2215.6799999999998"/>
    <n v="49859.54"/>
    <n v="0"/>
    <s v="None"/>
    <n v="145.36000000000001"/>
    <s v="Completed"/>
    <s v="Pending"/>
    <s v="Standard"/>
    <s v="A. Tan"/>
    <s v="Asia"/>
    <d v="2025-11-01T00:00:00"/>
  </r>
  <r>
    <s v="SHP00126"/>
    <s v="BK50126"/>
    <d v="2025-09-14T00:00:00"/>
    <d v="2025-09-18T00:00:00"/>
    <d v="2025-10-14T00:00:00"/>
    <s v="Unilever"/>
    <s v="FMCG"/>
    <s v="UK"/>
    <s v="Colombo"/>
    <s v="Singapore"/>
    <x v="4"/>
    <s v="Ever Ace"/>
    <s v="Reefer"/>
    <n v="4"/>
    <s v="Auto Parts"/>
    <n v="78091.63"/>
    <n v="20392.39"/>
    <n v="5231.45"/>
    <n v="1931.07"/>
    <n v="780.92"/>
    <n v="499.2"/>
    <n v="449.74"/>
    <n v="48806.86"/>
    <n v="36"/>
    <s v="Labor Strike"/>
    <n v="169.94"/>
    <s v="Delayed"/>
    <s v="Pending"/>
    <s v="High"/>
    <s v="R. Mehta"/>
    <s v="Europe"/>
    <d v="2025-09-01T00:00:00"/>
  </r>
  <r>
    <s v="SHP00076"/>
    <s v="BK50076"/>
    <d v="2025-08-29T00:00:00"/>
    <d v="2025-09-01T00:00:00"/>
    <d v="2025-09-27T00:00:00"/>
    <s v="IKEA"/>
    <s v="Retail"/>
    <s v="Sweden"/>
    <s v="Jebel Ali"/>
    <s v="Nhava Sheva"/>
    <x v="0"/>
    <s v="Madrid Maersk"/>
    <s v="High Cube"/>
    <n v="2"/>
    <s v="Chemicals"/>
    <n v="78123.44"/>
    <n v="23047.8"/>
    <n v="5359.36"/>
    <n v="1308.22"/>
    <n v="781.23"/>
    <n v="629.66999999999996"/>
    <n v="537.11"/>
    <n v="46460.05"/>
    <n v="0"/>
    <s v="None"/>
    <n v="192.06"/>
    <s v="Completed"/>
    <s v="Pending"/>
    <s v="Critical"/>
    <s v="A. Tan"/>
    <s v="Europe"/>
    <d v="2025-08-01T00:00:00"/>
  </r>
  <r>
    <s v="SHP00763"/>
    <s v="BK50763"/>
    <d v="2025-05-13T00:00:00"/>
    <d v="2025-05-15T00:00:00"/>
    <d v="2025-05-30T00:00:00"/>
    <s v="Amazon"/>
    <s v="E-commerce"/>
    <s v="USA"/>
    <s v="Los Angeles"/>
    <s v="Jebel Ali"/>
    <x v="2"/>
    <s v="Monaco Maersk"/>
    <s v="20FT"/>
    <n v="2"/>
    <s v="Furniture"/>
    <n v="78460.27"/>
    <n v="12964.49"/>
    <n v="5143.29"/>
    <n v="1946.49"/>
    <n v="784.6"/>
    <n v="328.6"/>
    <n v="759.08"/>
    <n v="56533.72"/>
    <n v="0"/>
    <s v="None"/>
    <n v="108.04"/>
    <s v="Completed"/>
    <s v="Pending"/>
    <s v="Standard"/>
    <s v="A. Tan"/>
    <s v="Asia"/>
    <d v="2025-05-01T00:00:00"/>
  </r>
  <r>
    <s v="SHP00430"/>
    <s v="BK50430"/>
    <d v="2025-11-15T00:00:00"/>
    <d v="2025-11-18T00:00:00"/>
    <d v="2025-12-07T00:00:00"/>
    <s v="LG"/>
    <s v="Electronics"/>
    <s v="South Korea"/>
    <s v="Colombo"/>
    <s v="Singapore"/>
    <x v="4"/>
    <s v="CMA CGM Jacques Saadé"/>
    <s v="Reefer"/>
    <n v="2"/>
    <s v="Machinery"/>
    <n v="78510.5"/>
    <n v="18559.509999999998"/>
    <n v="3709.34"/>
    <n v="2354.4899999999998"/>
    <n v="785.11"/>
    <n v="535.25"/>
    <n v="1990.47"/>
    <n v="50576.33"/>
    <n v="0"/>
    <s v="None"/>
    <n v="154.66"/>
    <s v="Completed"/>
    <s v="Paid"/>
    <s v="Standard"/>
    <s v="J. Smith"/>
    <s v="Europe"/>
    <d v="2025-11-01T00:00:00"/>
  </r>
  <r>
    <s v="SHP00012"/>
    <s v="BK50012"/>
    <d v="2025-08-29T00:00:00"/>
    <d v="2025-08-31T00:00:00"/>
    <d v="2025-09-26T00:00:00"/>
    <s v="IKEA"/>
    <s v="Retail"/>
    <s v="Sweden"/>
    <s v="Colombo"/>
    <s v="Singapore"/>
    <x v="4"/>
    <s v="Ever Ace"/>
    <s v="High Cube"/>
    <n v="2"/>
    <s v="Textiles"/>
    <n v="78606.11"/>
    <n v="22652.38"/>
    <n v="5424.17"/>
    <n v="1506.41"/>
    <n v="786.06"/>
    <n v="465.82"/>
    <n v="651.13"/>
    <n v="47120.14"/>
    <n v="36"/>
    <s v="Weather"/>
    <n v="188.77"/>
    <s v="Delayed"/>
    <s v="Paid"/>
    <s v="High"/>
    <s v="R. Mehta"/>
    <s v="North America"/>
    <d v="2025-08-01T00:00:00"/>
  </r>
  <r>
    <s v="SHP00723"/>
    <s v="BK50723"/>
    <d v="2025-06-07T00:00:00"/>
    <d v="2025-06-09T00:00:00"/>
    <d v="2025-07-03T00:00:00"/>
    <s v="Nestlé"/>
    <s v="Food"/>
    <s v="Switzerland"/>
    <s v="Colombo"/>
    <s v="Singapore"/>
    <x v="4"/>
    <s v="Ever Ace"/>
    <s v="High Cube"/>
    <n v="2"/>
    <s v="Auto Parts"/>
    <n v="78723.820000000007"/>
    <n v="14709.63"/>
    <n v="5745.7"/>
    <n v="1546.22"/>
    <n v="787.24"/>
    <n v="183.35"/>
    <n v="1171.8"/>
    <n v="54579.88"/>
    <n v="0"/>
    <s v="None"/>
    <n v="122.58"/>
    <s v="Completed"/>
    <s v="Pending"/>
    <s v="Critical"/>
    <s v="L. Chen"/>
    <s v="Middle East"/>
    <d v="2025-06-01T00:00:00"/>
  </r>
  <r>
    <s v="SHP00829"/>
    <s v="BK50829"/>
    <d v="2025-03-28T00:00:00"/>
    <d v="2025-04-01T00:00:00"/>
    <d v="2025-04-27T00:00:00"/>
    <s v="Adidas"/>
    <s v="Retail"/>
    <s v="Germany"/>
    <s v="Singapore"/>
    <s v="Colombo"/>
    <x v="2"/>
    <s v="MSC Gülsün"/>
    <s v="High Cube"/>
    <n v="2"/>
    <s v="Machinery"/>
    <n v="78982.06"/>
    <n v="14372.93"/>
    <n v="4296.1099999999997"/>
    <n v="2092.2600000000002"/>
    <n v="789.82"/>
    <n v="442.32"/>
    <n v="2387.1799999999998"/>
    <n v="54601.440000000002"/>
    <n v="0"/>
    <s v="None"/>
    <n v="119.77"/>
    <s v="Completed"/>
    <s v="Paid"/>
    <s v="High"/>
    <s v="L. Chen"/>
    <s v="Asia"/>
    <d v="2025-03-01T00:00:00"/>
  </r>
  <r>
    <s v="SHP00977"/>
    <s v="BK50977"/>
    <d v="2025-05-13T00:00:00"/>
    <d v="2025-05-16T00:00:00"/>
    <d v="2025-06-02T00:00:00"/>
    <s v="Adidas"/>
    <s v="Retail"/>
    <s v="Germany"/>
    <s v="Jebel Ali"/>
    <s v="Nhava Sheva"/>
    <x v="0"/>
    <s v="MSC Gülsün"/>
    <s v="20FT"/>
    <n v="2"/>
    <s v="Food"/>
    <n v="79010.63"/>
    <n v="13522.2"/>
    <n v="3861.05"/>
    <n v="1009.86"/>
    <n v="790.11"/>
    <n v="872.11"/>
    <n v="378.94"/>
    <n v="58576.36"/>
    <n v="0"/>
    <s v="None"/>
    <n v="112.69"/>
    <s v="Completed"/>
    <s v="Pending"/>
    <s v="Standard"/>
    <s v="J. Smith"/>
    <s v="Europe"/>
    <d v="2025-05-01T00:00:00"/>
  </r>
  <r>
    <s v="SHP00975"/>
    <s v="BK50975"/>
    <d v="2025-08-31T00:00:00"/>
    <d v="2025-09-01T00:00:00"/>
    <d v="2025-09-21T00:00:00"/>
    <s v="Nestlé"/>
    <s v="Food"/>
    <s v="Switzerland"/>
    <s v="Colombo"/>
    <s v="Hamburg"/>
    <x v="2"/>
    <s v="CMA CGM Jacques Saadé"/>
    <s v="40FT"/>
    <n v="2"/>
    <s v="Chemicals"/>
    <n v="79032.92"/>
    <n v="15056.83"/>
    <n v="3441.4"/>
    <n v="1702.27"/>
    <n v="790.33"/>
    <n v="750.7"/>
    <n v="1298.1300000000001"/>
    <n v="55993.26"/>
    <n v="24"/>
    <s v="Customs"/>
    <n v="125.47"/>
    <s v="Delayed"/>
    <s v="Paid"/>
    <s v="Standard"/>
    <s v="A. Tan"/>
    <s v="Europe"/>
    <d v="2025-08-01T00:00:00"/>
  </r>
  <r>
    <s v="SHP00114"/>
    <s v="BK50114"/>
    <d v="2025-10-09T00:00:00"/>
    <d v="2025-10-13T00:00:00"/>
    <d v="2025-10-24T00:00:00"/>
    <s v="Unilever"/>
    <s v="FMCG"/>
    <s v="UK"/>
    <s v="Hamburg"/>
    <s v="Jebel Ali"/>
    <x v="2"/>
    <s v="Monaco Maersk"/>
    <s v="High Cube"/>
    <n v="2"/>
    <s v="Chemicals"/>
    <n v="79082.62"/>
    <n v="19057.54"/>
    <n v="3578.21"/>
    <n v="1786.84"/>
    <n v="790.83"/>
    <n v="846.55"/>
    <n v="2156.98"/>
    <n v="50865.67"/>
    <n v="0"/>
    <s v="None"/>
    <n v="158.81"/>
    <s v="Completed"/>
    <s v="Pending"/>
    <s v="Standard"/>
    <s v="R. Mehta"/>
    <s v="Asia"/>
    <d v="2025-10-01T00:00:00"/>
  </r>
  <r>
    <s v="SHP00067"/>
    <s v="BK50067"/>
    <d v="2025-09-09T00:00:00"/>
    <d v="2025-09-12T00:00:00"/>
    <d v="2025-10-07T00:00:00"/>
    <s v="Bosch"/>
    <s v="Manufacturing"/>
    <s v="Germany"/>
    <s v="Nhava Sheva"/>
    <s v="Rotterdam"/>
    <x v="2"/>
    <s v="CMA CGM Jacques Saadé"/>
    <s v="Reefer"/>
    <n v="2"/>
    <s v="Food"/>
    <n v="79090.600000000006"/>
    <n v="17229.560000000001"/>
    <n v="3526.2"/>
    <n v="1688.79"/>
    <n v="790.91"/>
    <n v="608.19000000000005"/>
    <n v="1265.3399999999999"/>
    <n v="53981.61"/>
    <n v="24"/>
    <s v="Mechanical"/>
    <n v="143.58000000000001"/>
    <s v="Delayed"/>
    <s v="Paid"/>
    <s v="Critical"/>
    <s v="J. Smith"/>
    <s v="Europe"/>
    <d v="2025-09-01T00:00:00"/>
  </r>
  <r>
    <s v="SHP00161"/>
    <s v="BK50161"/>
    <d v="2025-10-27T00:00:00"/>
    <d v="2025-10-31T00:00:00"/>
    <d v="2025-11-28T00:00:00"/>
    <s v="Nestlé"/>
    <s v="Food"/>
    <s v="Switzerland"/>
    <s v="Singapore"/>
    <s v="New York"/>
    <x v="2"/>
    <s v="Mary Maersk"/>
    <s v="40FT"/>
    <n v="2"/>
    <s v="Textiles"/>
    <n v="79196.649999999994"/>
    <n v="17361.419999999998"/>
    <n v="5110.7299999999996"/>
    <n v="2137.2199999999998"/>
    <n v="791.97"/>
    <n v="458.95"/>
    <n v="1727.43"/>
    <n v="51608.93"/>
    <n v="0"/>
    <s v="None"/>
    <n v="144.68"/>
    <s v="Completed"/>
    <s v="Paid"/>
    <s v="High"/>
    <s v="A. Tan"/>
    <s v="Asia"/>
    <d v="2025-10-01T00:00:00"/>
  </r>
  <r>
    <s v="SHP00298"/>
    <s v="BK50298"/>
    <d v="2025-12-08T00:00:00"/>
    <d v="2025-12-09T00:00:00"/>
    <d v="2026-01-02T00:00:00"/>
    <s v="Nestlé"/>
    <s v="Food"/>
    <s v="Switzerland"/>
    <s v="Jebel Ali"/>
    <s v="Los Angeles"/>
    <x v="2"/>
    <s v="Mumbai Maersk"/>
    <s v="40FT"/>
    <n v="4"/>
    <s v="Textiles"/>
    <n v="79200.61"/>
    <n v="16738.27"/>
    <n v="5837.13"/>
    <n v="1888.1"/>
    <n v="792.01"/>
    <n v="420.46"/>
    <n v="1323.13"/>
    <n v="52201.51"/>
    <n v="48"/>
    <s v="Port Congestion"/>
    <n v="139.49"/>
    <s v="Delayed"/>
    <s v="Pending"/>
    <s v="High"/>
    <s v="R. Mehta"/>
    <s v="Europe"/>
    <d v="2025-12-01T00:00:00"/>
  </r>
  <r>
    <s v="SHP00809"/>
    <s v="BK50809"/>
    <d v="2025-03-24T00:00:00"/>
    <d v="2025-03-25T00:00:00"/>
    <d v="2025-04-11T00:00:00"/>
    <s v="Amazon"/>
    <s v="E-commerce"/>
    <s v="USA"/>
    <s v="Jebel Ali"/>
    <s v="Nhava Sheva"/>
    <x v="0"/>
    <s v="Ever Ace"/>
    <s v="High Cube"/>
    <n v="2"/>
    <s v="Auto Parts"/>
    <n v="79557.63"/>
    <n v="17877.03"/>
    <n v="6332.95"/>
    <n v="1792.14"/>
    <n v="795.58"/>
    <n v="367.1"/>
    <n v="1016.45"/>
    <n v="51376.38"/>
    <n v="36"/>
    <s v="Port Congestion"/>
    <n v="148.97999999999999"/>
    <s v="Delayed"/>
    <s v="Paid"/>
    <s v="Standard"/>
    <s v="A. Tan"/>
    <s v="Europe"/>
    <d v="2025-03-01T00:00:00"/>
  </r>
  <r>
    <s v="SHP00686"/>
    <s v="BK50686"/>
    <d v="2025-05-21T00:00:00"/>
    <d v="2025-05-22T00:00:00"/>
    <d v="2025-06-13T00:00:00"/>
    <s v="Pfizer"/>
    <s v="Pharma"/>
    <s v="USA"/>
    <s v="Busan"/>
    <s v="Los Angeles"/>
    <x v="3"/>
    <s v="Monaco Maersk"/>
    <s v="20FT"/>
    <n v="2"/>
    <s v="Food"/>
    <n v="79598.84"/>
    <n v="17046.34"/>
    <n v="4942.8999999999996"/>
    <n v="1909.03"/>
    <n v="795.99"/>
    <n v="422.2"/>
    <n v="1703.03"/>
    <n v="52779.35"/>
    <n v="4"/>
    <s v="Labor Strike"/>
    <n v="142.05000000000001"/>
    <s v="Delayed"/>
    <s v="Pending"/>
    <s v="Critical"/>
    <s v="L. Chen"/>
    <s v="North America"/>
    <d v="2025-05-01T00:00:00"/>
  </r>
  <r>
    <s v="SHP00756"/>
    <s v="BK50756"/>
    <d v="2025-02-12T00:00:00"/>
    <d v="2025-02-15T00:00:00"/>
    <d v="2025-03-12T00:00:00"/>
    <s v="Toyota"/>
    <s v="Automotive"/>
    <s v="Japan"/>
    <s v="New York"/>
    <s v="Busan"/>
    <x v="2"/>
    <s v="Madrid Maersk"/>
    <s v="40FT"/>
    <n v="2"/>
    <s v="Textiles"/>
    <n v="79754.429999999993"/>
    <n v="13700.84"/>
    <n v="4296.09"/>
    <n v="2170.66"/>
    <n v="797.54"/>
    <n v="454.35"/>
    <n v="2131.7600000000002"/>
    <n v="56203.19"/>
    <n v="0"/>
    <s v="None"/>
    <n v="114.17"/>
    <s v="Completed"/>
    <s v="Pending"/>
    <s v="High"/>
    <s v="A. Tan"/>
    <s v="Asia"/>
    <d v="2025-02-01T00:00:00"/>
  </r>
  <r>
    <s v="SHP00615"/>
    <s v="BK50615"/>
    <d v="2025-09-03T00:00:00"/>
    <d v="2025-09-05T00:00:00"/>
    <d v="2025-09-21T00:00:00"/>
    <s v="Adidas"/>
    <s v="Retail"/>
    <s v="Germany"/>
    <s v="Jebel Ali"/>
    <s v="Nhava Sheva"/>
    <x v="0"/>
    <s v="OOCL Hong Kong"/>
    <s v="High Cube"/>
    <n v="2"/>
    <s v="Electronics"/>
    <n v="79937.13"/>
    <n v="23387"/>
    <n v="4445.4799999999996"/>
    <n v="1952.94"/>
    <n v="799.37"/>
    <n v="436.22"/>
    <n v="1626.8"/>
    <n v="47289.32"/>
    <n v="0"/>
    <s v="None"/>
    <n v="194.89"/>
    <s v="Completed"/>
    <s v="Paid"/>
    <s v="Critical"/>
    <s v="L. Chen"/>
    <s v="Middle East"/>
    <d v="2025-09-01T00:00:00"/>
  </r>
  <r>
    <s v="SHP00170"/>
    <s v="BK50170"/>
    <d v="2025-04-27T00:00:00"/>
    <d v="2025-05-01T00:00:00"/>
    <d v="2025-05-20T00:00:00"/>
    <s v="Reliance"/>
    <s v="Retail"/>
    <s v="India"/>
    <s v="Los Angeles"/>
    <s v="Los Angeles"/>
    <x v="2"/>
    <s v="MSC Gülsün"/>
    <s v="20FT"/>
    <n v="2"/>
    <s v="Electronics"/>
    <n v="80092.44"/>
    <n v="21930.240000000002"/>
    <n v="3601.91"/>
    <n v="994.73"/>
    <n v="800.92"/>
    <n v="780.68"/>
    <n v="824.86"/>
    <n v="51159.1"/>
    <n v="48"/>
    <s v="Weather"/>
    <n v="182.75"/>
    <s v="Delayed"/>
    <s v="Pending"/>
    <s v="High"/>
    <s v="J. Smith"/>
    <s v="Middle East"/>
    <d v="2025-04-01T00:00:00"/>
  </r>
  <r>
    <s v="SHP00307"/>
    <s v="BK50307"/>
    <d v="2025-06-05T00:00:00"/>
    <d v="2025-06-08T00:00:00"/>
    <d v="2025-06-24T00:00:00"/>
    <s v="Amazon"/>
    <s v="E-commerce"/>
    <s v="USA"/>
    <s v="Busan"/>
    <s v="Los Angeles"/>
    <x v="3"/>
    <s v="CMA CGM Jacques Saadé"/>
    <s v="40FT"/>
    <n v="2"/>
    <s v="Furniture"/>
    <n v="80187.929999999993"/>
    <n v="17170.52"/>
    <n v="3572.72"/>
    <n v="1196.92"/>
    <n v="801.88"/>
    <n v="480.48"/>
    <n v="488.96"/>
    <n v="56476.45"/>
    <n v="24"/>
    <s v="Weather"/>
    <n v="143.09"/>
    <s v="Delayed"/>
    <s v="Paid"/>
    <s v="Critical"/>
    <s v="L. Chen"/>
    <s v="Asia"/>
    <d v="2025-06-01T00:00:00"/>
  </r>
  <r>
    <s v="SHP00470"/>
    <s v="BK50470"/>
    <d v="2025-06-08T00:00:00"/>
    <d v="2025-06-10T00:00:00"/>
    <d v="2025-06-29T00:00:00"/>
    <s v="Amazon"/>
    <s v="E-commerce"/>
    <s v="USA"/>
    <s v="Colombo"/>
    <s v="Singapore"/>
    <x v="4"/>
    <s v="Madrid Maersk"/>
    <s v="20FT"/>
    <n v="2"/>
    <s v="Machinery"/>
    <n v="80212.710000000006"/>
    <n v="13482.42"/>
    <n v="5383.93"/>
    <n v="1824.37"/>
    <n v="802.13"/>
    <n v="448.47"/>
    <n v="1856.16"/>
    <n v="56415.23"/>
    <n v="0"/>
    <s v="None"/>
    <n v="112.35"/>
    <s v="Completed"/>
    <s v="Paid"/>
    <s v="Standard"/>
    <s v="L. Chen"/>
    <s v="Europe"/>
    <d v="2025-06-01T00:00:00"/>
  </r>
  <r>
    <s v="SHP00684"/>
    <s v="BK50684"/>
    <d v="2025-06-15T00:00:00"/>
    <d v="2025-06-17T00:00:00"/>
    <d v="2025-07-09T00:00:00"/>
    <s v="Bosch"/>
    <s v="Manufacturing"/>
    <s v="Germany"/>
    <s v="Shanghai"/>
    <s v="Rotterdam"/>
    <x v="1"/>
    <s v="Ever Ace"/>
    <s v="40FT"/>
    <n v="4"/>
    <s v="Food"/>
    <n v="80261.320000000007"/>
    <n v="22452.81"/>
    <n v="3595.42"/>
    <n v="2131.08"/>
    <n v="802.61"/>
    <n v="129.71"/>
    <n v="2065.4"/>
    <n v="49084.29"/>
    <n v="0"/>
    <s v="None"/>
    <n v="187.11"/>
    <s v="Completed"/>
    <s v="Pending"/>
    <s v="Standard"/>
    <s v="J. Smith"/>
    <s v="Asia"/>
    <d v="2025-06-01T00:00:00"/>
  </r>
  <r>
    <s v="SHP00185"/>
    <s v="BK50185"/>
    <d v="2025-08-16T00:00:00"/>
    <d v="2025-08-17T00:00:00"/>
    <d v="2025-08-30T00:00:00"/>
    <s v="IKEA"/>
    <s v="Retail"/>
    <s v="Sweden"/>
    <s v="Los Angeles"/>
    <s v="Colombo"/>
    <x v="2"/>
    <s v="Mumbai Maersk"/>
    <s v="20FT"/>
    <n v="2"/>
    <s v="Textiles"/>
    <n v="80356.5"/>
    <n v="20784.830000000002"/>
    <n v="5052.78"/>
    <n v="1612.4"/>
    <n v="803.57"/>
    <n v="485.33"/>
    <n v="1143.2"/>
    <n v="50474.39"/>
    <n v="0"/>
    <s v="None"/>
    <n v="173.21"/>
    <s v="Completed"/>
    <s v="Paid"/>
    <s v="Standard"/>
    <s v="A. Tan"/>
    <s v="Middle East"/>
    <d v="2025-08-01T00:00:00"/>
  </r>
  <r>
    <s v="SHP00062"/>
    <s v="BK50062"/>
    <d v="2025-04-21T00:00:00"/>
    <d v="2025-04-24T00:00:00"/>
    <d v="2025-05-24T00:00:00"/>
    <s v="IKEA"/>
    <s v="Retail"/>
    <s v="Sweden"/>
    <s v="Colombo"/>
    <s v="Singapore"/>
    <x v="4"/>
    <s v="OOCL Hong Kong"/>
    <s v="Reefer"/>
    <n v="2"/>
    <s v="Textiles"/>
    <n v="80432.009999999995"/>
    <n v="20369.060000000001"/>
    <n v="4901.46"/>
    <n v="2322.59"/>
    <n v="804.32"/>
    <n v="827.3"/>
    <n v="1156.22"/>
    <n v="50051.06"/>
    <n v="48"/>
    <s v="Customs"/>
    <n v="169.74"/>
    <s v="Delayed"/>
    <s v="Pending"/>
    <s v="Critical"/>
    <s v="J. Smith"/>
    <s v="Middle East"/>
    <d v="2025-04-01T00:00:00"/>
  </r>
  <r>
    <s v="SHP00265"/>
    <s v="BK50265"/>
    <d v="2025-09-21T00:00:00"/>
    <d v="2025-09-22T00:00:00"/>
    <d v="2025-10-12T00:00:00"/>
    <s v="Pfizer"/>
    <s v="Pharma"/>
    <s v="USA"/>
    <s v="Singapore"/>
    <s v="Rotterdam"/>
    <x v="1"/>
    <s v="Ever Ace"/>
    <s v="High Cube"/>
    <n v="4"/>
    <s v="Textiles"/>
    <n v="80432.789999999994"/>
    <n v="13453.7"/>
    <n v="4651.57"/>
    <n v="2079.79"/>
    <n v="804.33"/>
    <n v="466.36"/>
    <n v="1816.52"/>
    <n v="57160.52"/>
    <n v="12"/>
    <s v="Mechanical"/>
    <n v="112.11"/>
    <s v="Delayed"/>
    <s v="Pending"/>
    <s v="Standard"/>
    <s v="A. Tan"/>
    <s v="Asia"/>
    <d v="2025-09-01T00:00:00"/>
  </r>
  <r>
    <s v="SHP00440"/>
    <s v="BK50440"/>
    <d v="2025-04-12T00:00:00"/>
    <d v="2025-04-16T00:00:00"/>
    <d v="2025-05-13T00:00:00"/>
    <s v="LG"/>
    <s v="Electronics"/>
    <s v="South Korea"/>
    <s v="Nhava Sheva"/>
    <s v="Busan"/>
    <x v="2"/>
    <s v="Mary Maersk"/>
    <s v="20FT"/>
    <n v="2"/>
    <s v="Electronics"/>
    <n v="80496.83"/>
    <n v="14397.77"/>
    <n v="4879.46"/>
    <n v="2072.37"/>
    <n v="804.97"/>
    <n v="584.59"/>
    <n v="1998.59"/>
    <n v="55759.08"/>
    <n v="0"/>
    <s v="None"/>
    <n v="119.98"/>
    <s v="Completed"/>
    <s v="Pending"/>
    <s v="High"/>
    <s v="L. Chen"/>
    <s v="North America"/>
    <d v="2025-04-01T00:00:00"/>
  </r>
  <r>
    <s v="SHP00637"/>
    <s v="BK50637"/>
    <d v="2025-05-01T00:00:00"/>
    <d v="2025-05-05T00:00:00"/>
    <d v="2025-05-28T00:00:00"/>
    <s v="Adidas"/>
    <s v="Retail"/>
    <s v="Germany"/>
    <s v="Busan"/>
    <s v="Los Angeles"/>
    <x v="3"/>
    <s v="CMA CGM Jacques Saadé"/>
    <s v="20FT"/>
    <n v="2"/>
    <s v="Electronics"/>
    <n v="80639.13"/>
    <n v="20755.32"/>
    <n v="4994.09"/>
    <n v="1392.54"/>
    <n v="806.39"/>
    <n v="324.22000000000003"/>
    <n v="1970.27"/>
    <n v="50396.3"/>
    <n v="12"/>
    <s v="Customs"/>
    <n v="172.96"/>
    <s v="Delayed"/>
    <s v="Paid"/>
    <s v="High"/>
    <s v="L. Chen"/>
    <s v="Europe"/>
    <d v="2025-05-01T00:00:00"/>
  </r>
  <r>
    <s v="SHP00169"/>
    <s v="BK50169"/>
    <d v="2025-03-23T00:00:00"/>
    <d v="2025-03-26T00:00:00"/>
    <d v="2025-04-23T00:00:00"/>
    <s v="LG"/>
    <s v="Electronics"/>
    <s v="South Korea"/>
    <s v="Busan"/>
    <s v="Los Angeles"/>
    <x v="3"/>
    <s v="Madrid Maersk"/>
    <s v="40FT"/>
    <n v="2"/>
    <s v="Machinery"/>
    <n v="80792.5"/>
    <n v="22084.81"/>
    <n v="4698.88"/>
    <n v="1827.76"/>
    <n v="807.93"/>
    <n v="176.17"/>
    <n v="707.14"/>
    <n v="50489.81"/>
    <n v="4"/>
    <s v="Weather"/>
    <n v="184.04"/>
    <s v="Delayed"/>
    <s v="Paid"/>
    <s v="Standard"/>
    <s v="J. Smith"/>
    <s v="Middle East"/>
    <d v="2025-03-01T00:00:00"/>
  </r>
  <r>
    <s v="SHP00106"/>
    <s v="BK50106"/>
    <d v="2025-10-15T00:00:00"/>
    <d v="2025-10-19T00:00:00"/>
    <d v="2025-11-07T00:00:00"/>
    <s v="Siemens"/>
    <s v="Engineering"/>
    <s v="Germany"/>
    <s v="Shanghai"/>
    <s v="Rotterdam"/>
    <x v="1"/>
    <s v="Monaco Maersk"/>
    <s v="High Cube"/>
    <n v="2"/>
    <s v="Machinery"/>
    <n v="80890.720000000001"/>
    <n v="13001.03"/>
    <n v="6095.58"/>
    <n v="1965.85"/>
    <n v="808.91"/>
    <n v="428.61"/>
    <n v="1685.39"/>
    <n v="56905.35"/>
    <n v="12"/>
    <s v="Customs"/>
    <n v="108.34"/>
    <s v="Delayed"/>
    <s v="Paid"/>
    <s v="Critical"/>
    <s v="R. Mehta"/>
    <s v="Middle East"/>
    <d v="2025-10-01T00:00:00"/>
  </r>
  <r>
    <s v="SHP00498"/>
    <s v="BK50498"/>
    <d v="2025-04-05T00:00:00"/>
    <d v="2025-04-08T00:00:00"/>
    <d v="2025-04-23T00:00:00"/>
    <s v="Toyota"/>
    <s v="Automotive"/>
    <s v="Japan"/>
    <s v="Colombo"/>
    <s v="Singapore"/>
    <x v="4"/>
    <s v="OOCL Hong Kong"/>
    <s v="40FT"/>
    <n v="4"/>
    <s v="Electronics"/>
    <n v="80955"/>
    <n v="15849.94"/>
    <n v="6313.18"/>
    <n v="2286.7800000000002"/>
    <n v="809.55"/>
    <n v="251.47"/>
    <n v="835.79"/>
    <n v="54608.29"/>
    <n v="0"/>
    <s v="None"/>
    <n v="132.08000000000001"/>
    <s v="Completed"/>
    <s v="Paid"/>
    <s v="High"/>
    <s v="A. Tan"/>
    <s v="Asia"/>
    <d v="2025-04-01T00:00:00"/>
  </r>
  <r>
    <s v="SHP00056"/>
    <s v="BK50056"/>
    <d v="2025-09-25T00:00:00"/>
    <d v="2025-09-27T00:00:00"/>
    <d v="2025-10-12T00:00:00"/>
    <s v="Bosch"/>
    <s v="Manufacturing"/>
    <s v="Germany"/>
    <s v="Shanghai"/>
    <s v="Rotterdam"/>
    <x v="1"/>
    <s v="MSC Gülsün"/>
    <s v="20FT"/>
    <n v="2"/>
    <s v="Food"/>
    <n v="81529.960000000006"/>
    <n v="17949.55"/>
    <n v="5182.1400000000003"/>
    <n v="1265.5899999999999"/>
    <n v="815.3"/>
    <n v="226.38"/>
    <n v="1852.23"/>
    <n v="54238.77"/>
    <n v="36"/>
    <s v="Mechanical"/>
    <n v="149.58000000000001"/>
    <s v="Delayed"/>
    <s v="Pending"/>
    <s v="High"/>
    <s v="J. Smith"/>
    <s v="Europe"/>
    <d v="2025-09-01T00:00:00"/>
  </r>
  <r>
    <s v="SHP00940"/>
    <s v="BK50940"/>
    <d v="2025-05-07T00:00:00"/>
    <d v="2025-05-11T00:00:00"/>
    <d v="2025-06-02T00:00:00"/>
    <s v="Amazon"/>
    <s v="E-commerce"/>
    <s v="USA"/>
    <s v="Busan"/>
    <s v="Los Angeles"/>
    <x v="3"/>
    <s v="Monaco Maersk"/>
    <s v="High Cube"/>
    <n v="2"/>
    <s v="Food"/>
    <n v="81859.27"/>
    <n v="20936.12"/>
    <n v="5475.35"/>
    <n v="1921.85"/>
    <n v="818.59"/>
    <n v="340.55"/>
    <n v="2370.31"/>
    <n v="49996.5"/>
    <n v="0"/>
    <s v="None"/>
    <n v="174.47"/>
    <s v="Completed"/>
    <s v="Paid"/>
    <s v="Critical"/>
    <s v="M. Ahmed"/>
    <s v="North America"/>
    <d v="2025-05-01T00:00:00"/>
  </r>
  <r>
    <s v="SHP00818"/>
    <s v="BK50818"/>
    <d v="2025-02-01T00:00:00"/>
    <d v="2025-02-04T00:00:00"/>
    <d v="2025-03-02T00:00:00"/>
    <s v="Unilever"/>
    <s v="FMCG"/>
    <s v="UK"/>
    <s v="Busan"/>
    <s v="Los Angeles"/>
    <x v="3"/>
    <s v="Mary Maersk"/>
    <s v="40FT"/>
    <n v="2"/>
    <s v="Furniture"/>
    <n v="82266.509999999995"/>
    <n v="23253.759999999998"/>
    <n v="6407.39"/>
    <n v="2324.81"/>
    <n v="822.67"/>
    <n v="745.77"/>
    <n v="1629.31"/>
    <n v="47082.8"/>
    <n v="4"/>
    <s v="Port Congestion"/>
    <n v="193.78"/>
    <s v="Delayed"/>
    <s v="Pending"/>
    <s v="High"/>
    <s v="L. Chen"/>
    <s v="Asia"/>
    <d v="2025-02-01T00:00:00"/>
  </r>
  <r>
    <s v="SHP00872"/>
    <s v="BK50872"/>
    <d v="2025-06-22T00:00:00"/>
    <d v="2025-06-23T00:00:00"/>
    <d v="2025-07-12T00:00:00"/>
    <s v="Reliance"/>
    <s v="Retail"/>
    <s v="India"/>
    <s v="Shanghai"/>
    <s v="Rotterdam"/>
    <x v="1"/>
    <s v="MSC Gülsün"/>
    <s v="40FT"/>
    <n v="2"/>
    <s v="Furniture"/>
    <n v="82704.679999999993"/>
    <n v="20204.86"/>
    <n v="4719.46"/>
    <n v="2409.8000000000002"/>
    <n v="827.05"/>
    <n v="774.81"/>
    <n v="1838.95"/>
    <n v="51929.75"/>
    <n v="0"/>
    <s v="None"/>
    <n v="168.37"/>
    <s v="Completed"/>
    <s v="Pending"/>
    <s v="Standard"/>
    <s v="A. Tan"/>
    <s v="Asia"/>
    <d v="2025-06-01T00:00:00"/>
  </r>
  <r>
    <s v="SHP00183"/>
    <s v="BK50183"/>
    <d v="2025-06-16T00:00:00"/>
    <d v="2025-06-17T00:00:00"/>
    <d v="2025-06-29T00:00:00"/>
    <s v="IKEA"/>
    <s v="Retail"/>
    <s v="Sweden"/>
    <s v="Singapore"/>
    <s v="Rotterdam"/>
    <x v="1"/>
    <s v="MSC Gülsün"/>
    <s v="20FT"/>
    <n v="2"/>
    <s v="Chemicals"/>
    <n v="82794.289999999994"/>
    <n v="13812.81"/>
    <n v="4501.57"/>
    <n v="1276.6400000000001"/>
    <n v="827.94"/>
    <n v="480.43"/>
    <n v="402.37"/>
    <n v="61492.53"/>
    <n v="4"/>
    <s v="Port Congestion"/>
    <n v="115.11"/>
    <s v="Delayed"/>
    <s v="Paid"/>
    <s v="Standard"/>
    <s v="A. Tan"/>
    <s v="Middle East"/>
    <d v="2025-06-01T00:00:00"/>
  </r>
  <r>
    <s v="SHP00871"/>
    <s v="BK50871"/>
    <d v="2025-02-15T00:00:00"/>
    <d v="2025-02-19T00:00:00"/>
    <d v="2025-03-18T00:00:00"/>
    <s v="Samsung"/>
    <s v="Electronics"/>
    <s v="South Korea"/>
    <s v="Jebel Ali"/>
    <s v="Nhava Sheva"/>
    <x v="0"/>
    <s v="Mumbai Maersk"/>
    <s v="Reefer"/>
    <n v="2"/>
    <s v="Textiles"/>
    <n v="82926.41"/>
    <n v="24661.96"/>
    <n v="5719.61"/>
    <n v="939.32"/>
    <n v="829.26"/>
    <n v="380.52"/>
    <n v="2470.15"/>
    <n v="47925.59"/>
    <n v="8"/>
    <s v="Mechanical"/>
    <n v="205.52"/>
    <s v="Delayed"/>
    <s v="Pending"/>
    <s v="Standard"/>
    <s v="L. Chen"/>
    <s v="Asia"/>
    <d v="2025-02-01T00:00:00"/>
  </r>
  <r>
    <s v="SHP00978"/>
    <s v="BK50978"/>
    <d v="2025-10-30T00:00:00"/>
    <d v="2025-11-01T00:00:00"/>
    <d v="2025-11-22T00:00:00"/>
    <s v="Unilever"/>
    <s v="FMCG"/>
    <s v="UK"/>
    <s v="Jebel Ali"/>
    <s v="Nhava Sheva"/>
    <x v="0"/>
    <s v="OOCL Hong Kong"/>
    <s v="High Cube"/>
    <n v="2"/>
    <s v="Food"/>
    <n v="83027.58"/>
    <n v="13632"/>
    <n v="4354.97"/>
    <n v="1511.59"/>
    <n v="830.28"/>
    <n v="667.97"/>
    <n v="384.49"/>
    <n v="61646.28"/>
    <n v="0"/>
    <s v="None"/>
    <n v="113.6"/>
    <s v="Completed"/>
    <s v="Pending"/>
    <s v="High"/>
    <s v="J. Smith"/>
    <s v="Europe"/>
    <d v="2025-10-01T00:00:00"/>
  </r>
  <r>
    <s v="SHP00589"/>
    <s v="BK50589"/>
    <d v="2025-11-16T00:00:00"/>
    <d v="2025-11-17T00:00:00"/>
    <d v="2025-12-07T00:00:00"/>
    <s v="Amazon"/>
    <s v="E-commerce"/>
    <s v="USA"/>
    <s v="Busan"/>
    <s v="Los Angeles"/>
    <x v="3"/>
    <s v="CMA CGM Jacques Saadé"/>
    <s v="Reefer"/>
    <n v="2"/>
    <s v="Chemicals"/>
    <n v="83060.789999999994"/>
    <n v="18390.12"/>
    <n v="5064.84"/>
    <n v="1481.19"/>
    <n v="830.61"/>
    <n v="675.58"/>
    <n v="1108.67"/>
    <n v="55509.78"/>
    <n v="24"/>
    <s v="Port Congestion"/>
    <n v="153.25"/>
    <s v="Delayed"/>
    <s v="Pending"/>
    <s v="Critical"/>
    <s v="M. Ahmed"/>
    <s v="North America"/>
    <d v="2025-11-01T00:00:00"/>
  </r>
  <r>
    <s v="SHP00848"/>
    <s v="BK50848"/>
    <d v="2025-06-19T00:00:00"/>
    <d v="2025-06-20T00:00:00"/>
    <d v="2025-07-10T00:00:00"/>
    <s v="Siemens"/>
    <s v="Engineering"/>
    <s v="Germany"/>
    <s v="Jebel Ali"/>
    <s v="Nhava Sheva"/>
    <x v="0"/>
    <s v="CMA CGM Jacques Saadé"/>
    <s v="40FT"/>
    <n v="4"/>
    <s v="Chemicals"/>
    <n v="83111.710000000006"/>
    <n v="22052.62"/>
    <n v="5904.71"/>
    <n v="2072.62"/>
    <n v="831.12"/>
    <n v="838.23"/>
    <n v="1148.02"/>
    <n v="50264.39"/>
    <n v="12"/>
    <s v="Weather"/>
    <n v="183.77"/>
    <s v="Delayed"/>
    <s v="Pending"/>
    <s v="Critical"/>
    <s v="R. Mehta"/>
    <s v="Asia"/>
    <d v="2025-06-01T00:00:00"/>
  </r>
  <r>
    <s v="SHP00207"/>
    <s v="BK50207"/>
    <d v="2025-03-15T00:00:00"/>
    <d v="2025-03-17T00:00:00"/>
    <d v="2025-03-27T00:00:00"/>
    <s v="Amazon"/>
    <s v="E-commerce"/>
    <s v="USA"/>
    <s v="Singapore"/>
    <s v="Rotterdam"/>
    <x v="1"/>
    <s v="Mary Maersk"/>
    <s v="20FT"/>
    <n v="2"/>
    <s v="Food"/>
    <n v="83184.7"/>
    <n v="15965.74"/>
    <n v="6552.62"/>
    <n v="2193.11"/>
    <n v="831.85"/>
    <n v="642.91999999999996"/>
    <n v="1152.6500000000001"/>
    <n v="55845.81"/>
    <n v="4"/>
    <s v="Weather"/>
    <n v="133.05000000000001"/>
    <s v="Delayed"/>
    <s v="Paid"/>
    <s v="Critical"/>
    <s v="A. Tan"/>
    <s v="Middle East"/>
    <d v="2025-03-01T00:00:00"/>
  </r>
  <r>
    <s v="SHP00952"/>
    <s v="BK50952"/>
    <d v="2025-08-15T00:00:00"/>
    <d v="2025-08-17T00:00:00"/>
    <d v="2025-09-10T00:00:00"/>
    <s v="Samsung"/>
    <s v="Electronics"/>
    <s v="South Korea"/>
    <s v="Singapore"/>
    <s v="Los Angeles"/>
    <x v="2"/>
    <s v="Monaco Maersk"/>
    <s v="20FT"/>
    <n v="2"/>
    <s v="Furniture"/>
    <n v="83383.63"/>
    <n v="18205.02"/>
    <n v="5022.2"/>
    <n v="1533.03"/>
    <n v="833.84"/>
    <n v="140.72"/>
    <n v="1946.91"/>
    <n v="55701.91"/>
    <n v="24"/>
    <s v="Mechanical"/>
    <n v="151.71"/>
    <s v="Delayed"/>
    <s v="Paid"/>
    <s v="Standard"/>
    <s v="L. Chen"/>
    <s v="Middle East"/>
    <d v="2025-08-01T00:00:00"/>
  </r>
  <r>
    <s v="SHP00328"/>
    <s v="BK50328"/>
    <d v="2025-10-20T00:00:00"/>
    <d v="2025-10-23T00:00:00"/>
    <d v="2025-11-04T00:00:00"/>
    <s v="Bosch"/>
    <s v="Manufacturing"/>
    <s v="Germany"/>
    <s v="Jebel Ali"/>
    <s v="Busan"/>
    <x v="2"/>
    <s v="MSC Gülsün"/>
    <s v="Reefer"/>
    <n v="4"/>
    <s v="Electronics"/>
    <n v="83628.94"/>
    <n v="22612.91"/>
    <n v="4329.09"/>
    <n v="1640.16"/>
    <n v="836.29"/>
    <n v="767.13"/>
    <n v="1824.68"/>
    <n v="51618.68"/>
    <n v="4"/>
    <s v="Port Congestion"/>
    <n v="188.44"/>
    <s v="Delayed"/>
    <s v="Paid"/>
    <s v="Standard"/>
    <s v="M. Ahmed"/>
    <s v="North America"/>
    <d v="2025-10-01T00:00:00"/>
  </r>
  <r>
    <s v="SHP00575"/>
    <s v="BK50575"/>
    <d v="2025-09-01T00:00:00"/>
    <d v="2025-09-02T00:00:00"/>
    <d v="2025-09-25T00:00:00"/>
    <s v="Adidas"/>
    <s v="Retail"/>
    <s v="Germany"/>
    <s v="Shanghai"/>
    <s v="Rotterdam"/>
    <x v="1"/>
    <s v="Monaco Maersk"/>
    <s v="Reefer"/>
    <n v="2"/>
    <s v="Chemicals"/>
    <n v="83834.13"/>
    <n v="18302.45"/>
    <n v="3574.12"/>
    <n v="2512.37"/>
    <n v="838.34"/>
    <n v="159.46"/>
    <n v="2190.14"/>
    <n v="56257.25"/>
    <n v="0"/>
    <s v="None"/>
    <n v="152.52000000000001"/>
    <s v="Completed"/>
    <s v="Pending"/>
    <s v="Critical"/>
    <s v="J. Smith"/>
    <s v="Middle East"/>
    <d v="2025-09-01T00:00:00"/>
  </r>
  <r>
    <s v="SHP00840"/>
    <s v="BK50840"/>
    <d v="2025-03-09T00:00:00"/>
    <d v="2025-03-12T00:00:00"/>
    <d v="2025-03-31T00:00:00"/>
    <s v="Reliance"/>
    <s v="Retail"/>
    <s v="India"/>
    <s v="Jebel Ali"/>
    <s v="Busan"/>
    <x v="2"/>
    <s v="Monaco Maersk"/>
    <s v="40FT"/>
    <n v="2"/>
    <s v="Chemicals"/>
    <n v="83861.16"/>
    <n v="17423.29"/>
    <n v="4973.75"/>
    <n v="1261.3900000000001"/>
    <n v="838.61"/>
    <n v="529.54999999999995"/>
    <n v="1288.74"/>
    <n v="57545.83"/>
    <n v="0"/>
    <s v="None"/>
    <n v="145.19"/>
    <s v="Completed"/>
    <s v="Paid"/>
    <s v="Standard"/>
    <s v="L. Chen"/>
    <s v="North America"/>
    <d v="2025-03-01T00:00:00"/>
  </r>
  <r>
    <s v="SHP00581"/>
    <s v="BK50581"/>
    <d v="2025-10-26T00:00:00"/>
    <d v="2025-10-28T00:00:00"/>
    <d v="2025-11-15T00:00:00"/>
    <s v="Reliance"/>
    <s v="Retail"/>
    <s v="India"/>
    <s v="Colombo"/>
    <s v="Rotterdam"/>
    <x v="2"/>
    <s v="Mary Maersk"/>
    <s v="40FT"/>
    <n v="4"/>
    <s v="Electronics"/>
    <n v="84266.2"/>
    <n v="18107.05"/>
    <n v="5175.21"/>
    <n v="1564.84"/>
    <n v="842.66"/>
    <n v="531.21"/>
    <n v="2018.3"/>
    <n v="56026.93"/>
    <n v="0"/>
    <s v="None"/>
    <n v="150.88999999999999"/>
    <s v="Completed"/>
    <s v="Pending"/>
    <s v="Critical"/>
    <s v="J. Smith"/>
    <s v="Middle East"/>
    <d v="2025-10-01T00:00:00"/>
  </r>
  <r>
    <s v="SHP00911"/>
    <s v="BK50911"/>
    <d v="2025-03-23T00:00:00"/>
    <d v="2025-03-24T00:00:00"/>
    <d v="2025-04-15T00:00:00"/>
    <s v="IKEA"/>
    <s v="Retail"/>
    <s v="Sweden"/>
    <s v="Shanghai"/>
    <s v="Rotterdam"/>
    <x v="1"/>
    <s v="MSC Gülsün"/>
    <s v="High Cube"/>
    <n v="2"/>
    <s v="Textiles"/>
    <n v="84376.36"/>
    <n v="22550.02"/>
    <n v="4307.83"/>
    <n v="1583.19"/>
    <n v="843.76"/>
    <n v="489.44"/>
    <n v="538.28"/>
    <n v="54063.839999999997"/>
    <n v="0"/>
    <s v="None"/>
    <n v="187.92"/>
    <s v="Completed"/>
    <s v="Paid"/>
    <s v="Standard"/>
    <s v="A. Tan"/>
    <s v="Europe"/>
    <d v="2025-03-01T00:00:00"/>
  </r>
  <r>
    <s v="SHP00700"/>
    <s v="BK50700"/>
    <d v="2025-03-28T00:00:00"/>
    <d v="2025-03-30T00:00:00"/>
    <d v="2025-04-20T00:00:00"/>
    <s v="Reliance"/>
    <s v="Retail"/>
    <s v="India"/>
    <s v="Shanghai"/>
    <s v="Rotterdam"/>
    <x v="1"/>
    <s v="Ever Ace"/>
    <s v="20FT"/>
    <n v="4"/>
    <s v="Auto Parts"/>
    <n v="84382.79"/>
    <n v="22261.439999999999"/>
    <n v="6595.46"/>
    <n v="1979.74"/>
    <n v="843.83"/>
    <n v="810.96"/>
    <n v="301.36"/>
    <n v="51590"/>
    <n v="48"/>
    <s v="Labor Strike"/>
    <n v="185.51"/>
    <s v="Delayed"/>
    <s v="Pending"/>
    <s v="High"/>
    <s v="L. Chen"/>
    <s v="Middle East"/>
    <d v="2025-03-01T00:00:00"/>
  </r>
  <r>
    <s v="SHP00754"/>
    <s v="BK50754"/>
    <d v="2025-02-15T00:00:00"/>
    <d v="2025-02-19T00:00:00"/>
    <d v="2025-03-09T00:00:00"/>
    <s v="Samsung"/>
    <s v="Electronics"/>
    <s v="South Korea"/>
    <s v="Los Angeles"/>
    <s v="Shanghai"/>
    <x v="2"/>
    <s v="MSC Gülsün"/>
    <s v="High Cube"/>
    <n v="2"/>
    <s v="Textiles"/>
    <n v="84478.57"/>
    <n v="14241.66"/>
    <n v="4899.41"/>
    <n v="1608.77"/>
    <n v="844.79"/>
    <n v="858.98"/>
    <n v="1161.24"/>
    <n v="60863.72"/>
    <n v="0"/>
    <s v="None"/>
    <n v="118.68"/>
    <s v="Completed"/>
    <s v="Pending"/>
    <s v="Critical"/>
    <s v="J. Smith"/>
    <s v="Middle East"/>
    <d v="2025-02-01T00:00:00"/>
  </r>
  <r>
    <s v="SHP00539"/>
    <s v="BK50539"/>
    <d v="2025-10-25T00:00:00"/>
    <d v="2025-10-26T00:00:00"/>
    <d v="2025-11-20T00:00:00"/>
    <s v="IKEA"/>
    <s v="Retail"/>
    <s v="Sweden"/>
    <s v="Jebel Ali"/>
    <s v="Nhava Sheva"/>
    <x v="0"/>
    <s v="Ever Ace"/>
    <s v="40FT"/>
    <n v="4"/>
    <s v="Auto Parts"/>
    <n v="84506.99"/>
    <n v="21382.03"/>
    <n v="5501.23"/>
    <n v="1093.19"/>
    <n v="845.07"/>
    <n v="533.91"/>
    <n v="371.72"/>
    <n v="54779.839999999997"/>
    <n v="36"/>
    <s v="Customs"/>
    <n v="178.18"/>
    <s v="Delayed"/>
    <s v="Pending"/>
    <s v="Critical"/>
    <s v="R. Mehta"/>
    <s v="North America"/>
    <d v="2025-10-01T00:00:00"/>
  </r>
  <r>
    <s v="SHP00836"/>
    <s v="BK50836"/>
    <d v="2025-04-21T00:00:00"/>
    <d v="2025-04-23T00:00:00"/>
    <d v="2025-05-08T00:00:00"/>
    <s v="Amazon"/>
    <s v="E-commerce"/>
    <s v="USA"/>
    <s v="Jebel Ali"/>
    <s v="Nhava Sheva"/>
    <x v="0"/>
    <s v="Monaco Maersk"/>
    <s v="High Cube"/>
    <n v="2"/>
    <s v="Chemicals"/>
    <n v="84590.2"/>
    <n v="17240.419999999998"/>
    <n v="4071.64"/>
    <n v="1587.15"/>
    <n v="845.9"/>
    <n v="240.96"/>
    <n v="1128.21"/>
    <n v="59475.92"/>
    <n v="8"/>
    <s v="Weather"/>
    <n v="143.66999999999999"/>
    <s v="Delayed"/>
    <s v="Pending"/>
    <s v="Standard"/>
    <s v="A. Tan"/>
    <s v="Asia"/>
    <d v="2025-04-01T00:00:00"/>
  </r>
  <r>
    <s v="SHP00042"/>
    <s v="BK50042"/>
    <d v="2025-12-22T00:00:00"/>
    <d v="2025-12-26T00:00:00"/>
    <d v="2026-01-06T00:00:00"/>
    <s v="Toyota"/>
    <s v="Automotive"/>
    <s v="Japan"/>
    <s v="Jebel Ali"/>
    <s v="Nhava Sheva"/>
    <x v="0"/>
    <s v="Mumbai Maersk"/>
    <s v="40FT"/>
    <n v="2"/>
    <s v="Auto Parts"/>
    <n v="84805.6"/>
    <n v="24312.15"/>
    <n v="5823.13"/>
    <n v="1954.19"/>
    <n v="848.06"/>
    <n v="683.38"/>
    <n v="1184.3699999999999"/>
    <n v="50000.32"/>
    <n v="12"/>
    <s v="Port Congestion"/>
    <n v="202.6"/>
    <s v="Delayed"/>
    <s v="Pending"/>
    <s v="High"/>
    <s v="J. Smith"/>
    <s v="North America"/>
    <d v="2025-12-01T00:00:00"/>
  </r>
  <r>
    <s v="SHP00115"/>
    <s v="BK50115"/>
    <d v="2025-11-08T00:00:00"/>
    <d v="2025-11-11T00:00:00"/>
    <d v="2025-12-04T00:00:00"/>
    <s v="Toyota"/>
    <s v="Automotive"/>
    <s v="Japan"/>
    <s v="Jebel Ali"/>
    <s v="Nhava Sheva"/>
    <x v="0"/>
    <s v="OOCL Hong Kong"/>
    <s v="High Cube"/>
    <n v="2"/>
    <s v="Textiles"/>
    <n v="84810.92"/>
    <n v="15637.59"/>
    <n v="4483.53"/>
    <n v="1107.58"/>
    <n v="848.11"/>
    <n v="609.47"/>
    <n v="1658.3"/>
    <n v="60466.34"/>
    <n v="0"/>
    <s v="None"/>
    <n v="130.31"/>
    <s v="Completed"/>
    <s v="Paid"/>
    <s v="High"/>
    <s v="L. Chen"/>
    <s v="North America"/>
    <d v="2025-11-01T00:00:00"/>
  </r>
  <r>
    <s v="SHP00885"/>
    <s v="BK50885"/>
    <d v="2025-09-08T00:00:00"/>
    <d v="2025-09-11T00:00:00"/>
    <d v="2025-10-08T00:00:00"/>
    <s v="Toyota"/>
    <s v="Automotive"/>
    <s v="Japan"/>
    <s v="Singapore"/>
    <s v="Rotterdam"/>
    <x v="1"/>
    <s v="Monaco Maersk"/>
    <s v="High Cube"/>
    <n v="2"/>
    <s v="Electronics"/>
    <n v="84862.71"/>
    <n v="24532.720000000001"/>
    <n v="4456.88"/>
    <n v="2432.91"/>
    <n v="848.63"/>
    <n v="639.29999999999995"/>
    <n v="1120.55"/>
    <n v="50831.72"/>
    <n v="12"/>
    <s v="Weather"/>
    <n v="204.44"/>
    <s v="Delayed"/>
    <s v="Pending"/>
    <s v="Critical"/>
    <s v="A. Tan"/>
    <s v="North America"/>
    <d v="2025-09-01T00:00:00"/>
  </r>
  <r>
    <s v="SHP00986"/>
    <s v="BK50986"/>
    <d v="2025-11-18T00:00:00"/>
    <d v="2025-11-22T00:00:00"/>
    <d v="2025-12-11T00:00:00"/>
    <s v="Samsung"/>
    <s v="Electronics"/>
    <s v="South Korea"/>
    <s v="Shanghai"/>
    <s v="Rotterdam"/>
    <x v="1"/>
    <s v="Madrid Maersk"/>
    <s v="High Cube"/>
    <n v="2"/>
    <s v="Machinery"/>
    <n v="84912.46"/>
    <n v="24590.1"/>
    <n v="3755.25"/>
    <n v="2016.84"/>
    <n v="849.12"/>
    <n v="731.42"/>
    <n v="1323.16"/>
    <n v="51646.57"/>
    <n v="8"/>
    <s v="Mechanical"/>
    <n v="204.92"/>
    <s v="Delayed"/>
    <s v="Pending"/>
    <s v="High"/>
    <s v="M. Ahmed"/>
    <s v="North America"/>
    <d v="2025-11-01T00:00:00"/>
  </r>
  <r>
    <s v="SHP00299"/>
    <s v="BK50299"/>
    <d v="2025-04-11T00:00:00"/>
    <d v="2025-04-13T00:00:00"/>
    <d v="2025-05-08T00:00:00"/>
    <s v="Amazon"/>
    <s v="E-commerce"/>
    <s v="USA"/>
    <s v="Jebel Ali"/>
    <s v="Nhava Sheva"/>
    <x v="0"/>
    <s v="OOCL Hong Kong"/>
    <s v="Reefer"/>
    <n v="2"/>
    <s v="Furniture"/>
    <n v="85013.03"/>
    <n v="25467.18"/>
    <n v="3855.91"/>
    <n v="880.22"/>
    <n v="850.13"/>
    <n v="746.52"/>
    <n v="2085.86"/>
    <n v="51127.21"/>
    <n v="0"/>
    <s v="None"/>
    <n v="212.23"/>
    <s v="Completed"/>
    <s v="Paid"/>
    <s v="Standard"/>
    <s v="A. Tan"/>
    <s v="Europe"/>
    <d v="2025-04-01T00:00:00"/>
  </r>
  <r>
    <s v="SHP00206"/>
    <s v="BK50206"/>
    <d v="2025-08-11T00:00:00"/>
    <d v="2025-08-12T00:00:00"/>
    <d v="2025-08-31T00:00:00"/>
    <s v="IKEA"/>
    <s v="Retail"/>
    <s v="Sweden"/>
    <s v="Singapore"/>
    <s v="Rotterdam"/>
    <x v="1"/>
    <s v="CMA CGM Jacques Saadé"/>
    <s v="40FT"/>
    <n v="2"/>
    <s v="Electronics"/>
    <n v="85099.61"/>
    <n v="19006.560000000001"/>
    <n v="4448.49"/>
    <n v="2048.4699999999998"/>
    <n v="851"/>
    <n v="485.17"/>
    <n v="740.84"/>
    <n v="57519.08"/>
    <n v="0"/>
    <s v="None"/>
    <n v="158.38999999999999"/>
    <s v="Completed"/>
    <s v="Pending"/>
    <s v="Critical"/>
    <s v="L. Chen"/>
    <s v="Asia"/>
    <d v="2025-08-01T00:00:00"/>
  </r>
  <r>
    <s v="SHP00622"/>
    <s v="BK50622"/>
    <d v="2025-04-11T00:00:00"/>
    <d v="2025-04-15T00:00:00"/>
    <d v="2025-05-09T00:00:00"/>
    <s v="IKEA"/>
    <s v="Retail"/>
    <s v="Sweden"/>
    <s v="Colombo"/>
    <s v="Jebel Ali"/>
    <x v="2"/>
    <s v="MSC Gülsün"/>
    <s v="High Cube"/>
    <n v="2"/>
    <s v="Auto Parts"/>
    <n v="85453.82"/>
    <n v="16774.259999999998"/>
    <n v="4902.88"/>
    <n v="1183.3"/>
    <n v="854.54"/>
    <n v="196.69"/>
    <n v="1199.4000000000001"/>
    <n v="60342.75"/>
    <n v="36"/>
    <s v="Port Congestion"/>
    <n v="139.79"/>
    <s v="Delayed"/>
    <s v="Paid"/>
    <s v="Critical"/>
    <s v="L. Chen"/>
    <s v="Europe"/>
    <d v="2025-04-01T00:00:00"/>
  </r>
  <r>
    <s v="SHP00313"/>
    <s v="BK50313"/>
    <d v="2025-12-26T00:00:00"/>
    <d v="2025-12-27T00:00:00"/>
    <d v="2026-01-11T00:00:00"/>
    <s v="Bosch"/>
    <s v="Manufacturing"/>
    <s v="Germany"/>
    <s v="Jebel Ali"/>
    <s v="Nhava Sheva"/>
    <x v="0"/>
    <s v="Mumbai Maersk"/>
    <s v="20FT"/>
    <n v="2"/>
    <s v="Textiles"/>
    <n v="85554.53"/>
    <n v="23649.31"/>
    <n v="4624.79"/>
    <n v="1606.5"/>
    <n v="855.55"/>
    <n v="742.49"/>
    <n v="337.78"/>
    <n v="53738.11"/>
    <n v="0"/>
    <s v="None"/>
    <n v="197.08"/>
    <s v="Completed"/>
    <s v="Paid"/>
    <s v="High"/>
    <s v="M. Ahmed"/>
    <s v="Asia"/>
    <d v="2025-12-01T00:00:00"/>
  </r>
  <r>
    <s v="SHP00459"/>
    <s v="BK50459"/>
    <d v="2025-07-21T00:00:00"/>
    <d v="2025-07-23T00:00:00"/>
    <d v="2025-08-08T00:00:00"/>
    <s v="LG"/>
    <s v="Electronics"/>
    <s v="South Korea"/>
    <s v="Shanghai"/>
    <s v="Rotterdam"/>
    <x v="1"/>
    <s v="Monaco Maersk"/>
    <s v="40FT"/>
    <n v="4"/>
    <s v="Auto Parts"/>
    <n v="85557.79"/>
    <n v="18045.7"/>
    <n v="4729.54"/>
    <n v="2326.29"/>
    <n v="855.58"/>
    <n v="295.35000000000002"/>
    <n v="2051.09"/>
    <n v="57254.239999999998"/>
    <n v="0"/>
    <s v="None"/>
    <n v="150.38"/>
    <s v="Completed"/>
    <s v="Pending"/>
    <s v="High"/>
    <s v="A. Tan"/>
    <s v="Europe"/>
    <d v="2025-07-01T00:00:00"/>
  </r>
  <r>
    <s v="SHP00467"/>
    <s v="BK50467"/>
    <d v="2025-07-04T00:00:00"/>
    <d v="2025-07-06T00:00:00"/>
    <d v="2025-07-24T00:00:00"/>
    <s v="Unilever"/>
    <s v="FMCG"/>
    <s v="UK"/>
    <s v="Singapore"/>
    <s v="Los Angeles"/>
    <x v="2"/>
    <s v="CMA CGM Jacques Saadé"/>
    <s v="Reefer"/>
    <n v="4"/>
    <s v="Food"/>
    <n v="85639.08"/>
    <n v="15517.32"/>
    <n v="5507.66"/>
    <n v="1461.55"/>
    <n v="856.39"/>
    <n v="356.87"/>
    <n v="2296.5300000000002"/>
    <n v="59642.76"/>
    <n v="48"/>
    <s v="Customs"/>
    <n v="129.31"/>
    <s v="Delayed"/>
    <s v="Pending"/>
    <s v="High"/>
    <s v="R. Mehta"/>
    <s v="Asia"/>
    <d v="2025-07-01T00:00:00"/>
  </r>
  <r>
    <s v="SHP00460"/>
    <s v="BK50460"/>
    <d v="2025-01-02T00:00:00"/>
    <d v="2025-01-05T00:00:00"/>
    <d v="2025-01-22T00:00:00"/>
    <s v="Siemens"/>
    <s v="Engineering"/>
    <s v="Germany"/>
    <s v="Singapore"/>
    <s v="New York"/>
    <x v="2"/>
    <s v="Madrid Maersk"/>
    <s v="20FT"/>
    <n v="4"/>
    <s v="Textiles"/>
    <n v="85672.53"/>
    <n v="22997.46"/>
    <n v="5573.63"/>
    <n v="1094.6199999999999"/>
    <n v="856.73"/>
    <n v="207.37"/>
    <n v="1796.66"/>
    <n v="53146.06"/>
    <n v="0"/>
    <s v="None"/>
    <n v="191.65"/>
    <s v="Completed"/>
    <s v="Paid"/>
    <s v="Critical"/>
    <s v="J. Smith"/>
    <s v="Asia"/>
    <d v="2025-01-01T00:00:00"/>
  </r>
  <r>
    <s v="SHP00862"/>
    <s v="BK50862"/>
    <d v="2025-05-11T00:00:00"/>
    <d v="2025-05-14T00:00:00"/>
    <d v="2025-06-07T00:00:00"/>
    <s v="Unilever"/>
    <s v="FMCG"/>
    <s v="UK"/>
    <s v="Los Angeles"/>
    <s v="Shanghai"/>
    <x v="2"/>
    <s v="OOCL Hong Kong"/>
    <s v="20FT"/>
    <n v="2"/>
    <s v="Electronics"/>
    <n v="85891.22"/>
    <n v="18681.509999999998"/>
    <n v="3981.79"/>
    <n v="2134.2399999999998"/>
    <n v="858.91"/>
    <n v="117.64"/>
    <n v="1030.9100000000001"/>
    <n v="59086.22"/>
    <n v="48"/>
    <s v="Mechanical"/>
    <n v="155.68"/>
    <s v="Delayed"/>
    <s v="Paid"/>
    <s v="High"/>
    <s v="R. Mehta"/>
    <s v="Middle East"/>
    <d v="2025-05-01T00:00:00"/>
  </r>
  <r>
    <s v="SHP00029"/>
    <s v="BK50029"/>
    <d v="2025-08-21T00:00:00"/>
    <d v="2025-08-24T00:00:00"/>
    <d v="2025-09-20T00:00:00"/>
    <s v="Amazon"/>
    <s v="E-commerce"/>
    <s v="USA"/>
    <s v="Busan"/>
    <s v="Los Angeles"/>
    <x v="3"/>
    <s v="CMA CGM Jacques Saadé"/>
    <s v="40FT"/>
    <n v="2"/>
    <s v="Textiles"/>
    <n v="85938.559999999998"/>
    <n v="14391.58"/>
    <n v="3642.72"/>
    <n v="1592.36"/>
    <n v="859.39"/>
    <n v="740.64"/>
    <n v="1314.97"/>
    <n v="63396.9"/>
    <n v="0"/>
    <s v="None"/>
    <n v="119.93"/>
    <s v="Completed"/>
    <s v="Pending"/>
    <s v="Critical"/>
    <s v="J. Smith"/>
    <s v="Europe"/>
    <d v="2025-08-01T00:00:00"/>
  </r>
  <r>
    <s v="SHP00847"/>
    <s v="BK50847"/>
    <d v="2025-05-21T00:00:00"/>
    <d v="2025-05-22T00:00:00"/>
    <d v="2025-06-02T00:00:00"/>
    <s v="Adidas"/>
    <s v="Retail"/>
    <s v="Germany"/>
    <s v="Busan"/>
    <s v="Los Angeles"/>
    <x v="3"/>
    <s v="Mary Maersk"/>
    <s v="40FT"/>
    <n v="2"/>
    <s v="Electronics"/>
    <n v="85944.66"/>
    <n v="15390.86"/>
    <n v="6568.21"/>
    <n v="1478.98"/>
    <n v="859.45"/>
    <n v="572.49"/>
    <n v="1295.74"/>
    <n v="59778.93"/>
    <n v="0"/>
    <s v="None"/>
    <n v="128.26"/>
    <s v="Completed"/>
    <s v="Paid"/>
    <s v="High"/>
    <s v="M. Ahmed"/>
    <s v="Middle East"/>
    <d v="2025-05-01T00:00:00"/>
  </r>
  <r>
    <s v="SHP00970"/>
    <s v="BK50970"/>
    <d v="2025-09-26T00:00:00"/>
    <d v="2025-09-29T00:00:00"/>
    <d v="2025-10-17T00:00:00"/>
    <s v="Toyota"/>
    <s v="Automotive"/>
    <s v="Japan"/>
    <s v="Shanghai"/>
    <s v="Rotterdam"/>
    <x v="1"/>
    <s v="Mary Maersk"/>
    <s v="High Cube"/>
    <n v="2"/>
    <s v="Furniture"/>
    <n v="86220.26"/>
    <n v="21669.4"/>
    <n v="4826.51"/>
    <n v="1688.5"/>
    <n v="862.2"/>
    <n v="296.22000000000003"/>
    <n v="782.93"/>
    <n v="56094.5"/>
    <n v="0"/>
    <s v="None"/>
    <n v="180.58"/>
    <s v="Completed"/>
    <s v="Paid"/>
    <s v="Critical"/>
    <s v="M. Ahmed"/>
    <s v="Middle East"/>
    <d v="2025-09-01T00:00:00"/>
  </r>
  <r>
    <s v="SHP00876"/>
    <s v="BK50876"/>
    <d v="2025-10-22T00:00:00"/>
    <d v="2025-10-26T00:00:00"/>
    <d v="2025-11-11T00:00:00"/>
    <s v="Reliance"/>
    <s v="Retail"/>
    <s v="India"/>
    <s v="Singapore"/>
    <s v="Rotterdam"/>
    <x v="1"/>
    <s v="Madrid Maersk"/>
    <s v="40FT"/>
    <n v="2"/>
    <s v="Electronics"/>
    <n v="86462.31"/>
    <n v="24173.59"/>
    <n v="3553.12"/>
    <n v="2569.35"/>
    <n v="864.62"/>
    <n v="598.73"/>
    <n v="1975.22"/>
    <n v="52727.68"/>
    <n v="24"/>
    <s v="Labor Strike"/>
    <n v="201.45"/>
    <s v="Delayed"/>
    <s v="Pending"/>
    <s v="Critical"/>
    <s v="J. Smith"/>
    <s v="Asia"/>
    <d v="2025-10-01T00:00:00"/>
  </r>
  <r>
    <s v="SHP00302"/>
    <s v="BK50302"/>
    <d v="2025-08-01T00:00:00"/>
    <d v="2025-08-05T00:00:00"/>
    <d v="2025-08-17T00:00:00"/>
    <s v="Toyota"/>
    <s v="Automotive"/>
    <s v="Japan"/>
    <s v="Singapore"/>
    <s v="Rotterdam"/>
    <x v="1"/>
    <s v="Mumbai Maersk"/>
    <s v="20FT"/>
    <n v="2"/>
    <s v="Furniture"/>
    <n v="86467.06"/>
    <n v="14735.83"/>
    <n v="4710.07"/>
    <n v="1778.35"/>
    <n v="864.67"/>
    <n v="364.18"/>
    <n v="2347.96"/>
    <n v="61666"/>
    <n v="8"/>
    <s v="Customs"/>
    <n v="122.8"/>
    <s v="Delayed"/>
    <s v="Paid"/>
    <s v="High"/>
    <s v="A. Tan"/>
    <s v="North America"/>
    <d v="2025-08-01T00:00:00"/>
  </r>
  <r>
    <s v="SHP00458"/>
    <s v="BK50458"/>
    <d v="2025-01-20T00:00:00"/>
    <d v="2025-01-24T00:00:00"/>
    <d v="2025-02-07T00:00:00"/>
    <s v="Nestlé"/>
    <s v="Food"/>
    <s v="Switzerland"/>
    <s v="Shanghai"/>
    <s v="Colombo"/>
    <x v="2"/>
    <s v="CMA CGM Jacques Saadé"/>
    <s v="20FT"/>
    <n v="2"/>
    <s v="Food"/>
    <n v="86496.75"/>
    <n v="16729.310000000001"/>
    <n v="6421.32"/>
    <n v="2090.4699999999998"/>
    <n v="864.97"/>
    <n v="859.45"/>
    <n v="387.99"/>
    <n v="59143.24"/>
    <n v="12"/>
    <s v="Weather"/>
    <n v="139.41"/>
    <s v="Delayed"/>
    <s v="Paid"/>
    <s v="Standard"/>
    <s v="A. Tan"/>
    <s v="North America"/>
    <d v="2025-01-01T00:00:00"/>
  </r>
  <r>
    <s v="SHP00934"/>
    <s v="BK50934"/>
    <d v="2025-01-05T00:00:00"/>
    <d v="2025-01-09T00:00:00"/>
    <d v="2025-02-04T00:00:00"/>
    <s v="Adidas"/>
    <s v="Retail"/>
    <s v="Germany"/>
    <s v="Hamburg"/>
    <s v="Shanghai"/>
    <x v="2"/>
    <s v="CMA CGM Jacques Saadé"/>
    <s v="40FT"/>
    <n v="2"/>
    <s v="Chemicals"/>
    <n v="86599.81"/>
    <n v="21816.959999999999"/>
    <n v="4106.08"/>
    <n v="1794.54"/>
    <n v="866"/>
    <n v="486.26"/>
    <n v="825.28"/>
    <n v="56704.69"/>
    <n v="12"/>
    <s v="Labor Strike"/>
    <n v="181.81"/>
    <s v="Delayed"/>
    <s v="Paid"/>
    <s v="High"/>
    <s v="M. Ahmed"/>
    <s v="North America"/>
    <d v="2025-01-01T00:00:00"/>
  </r>
  <r>
    <s v="SHP00536"/>
    <s v="BK50536"/>
    <d v="2025-07-15T00:00:00"/>
    <d v="2025-07-16T00:00:00"/>
    <d v="2025-07-30T00:00:00"/>
    <s v="Bosch"/>
    <s v="Manufacturing"/>
    <s v="Germany"/>
    <s v="Shanghai"/>
    <s v="Rotterdam"/>
    <x v="2"/>
    <s v="Monaco Maersk"/>
    <s v="Reefer"/>
    <n v="4"/>
    <s v="Machinery"/>
    <n v="86816.52"/>
    <n v="21818.880000000001"/>
    <n v="3615.75"/>
    <n v="1558.06"/>
    <n v="868.17"/>
    <n v="252.34"/>
    <n v="2192.31"/>
    <n v="56511.01"/>
    <n v="0"/>
    <s v="None"/>
    <n v="181.82"/>
    <s v="Completed"/>
    <s v="Pending"/>
    <s v="Standard"/>
    <s v="R. Mehta"/>
    <s v="North America"/>
    <d v="2025-07-01T00:00:00"/>
  </r>
  <r>
    <s v="SHP00827"/>
    <s v="BK50827"/>
    <d v="2025-05-19T00:00:00"/>
    <d v="2025-05-20T00:00:00"/>
    <d v="2025-06-09T00:00:00"/>
    <s v="Toyota"/>
    <s v="Automotive"/>
    <s v="Japan"/>
    <s v="New York"/>
    <s v="Rotterdam"/>
    <x v="2"/>
    <s v="CMA CGM Jacques Saadé"/>
    <s v="40FT"/>
    <n v="2"/>
    <s v="Auto Parts"/>
    <n v="87171.5"/>
    <n v="21570.34"/>
    <n v="4698.54"/>
    <n v="1310.82"/>
    <n v="871.72"/>
    <n v="112.78"/>
    <n v="1445.93"/>
    <n v="57161.37"/>
    <n v="0"/>
    <s v="None"/>
    <n v="179.75"/>
    <s v="Completed"/>
    <s v="Pending"/>
    <s v="Standard"/>
    <s v="M. Ahmed"/>
    <s v="North America"/>
    <d v="2025-05-01T00:00:00"/>
  </r>
  <r>
    <s v="SHP00879"/>
    <s v="BK50879"/>
    <d v="2025-06-04T00:00:00"/>
    <d v="2025-06-08T00:00:00"/>
    <d v="2025-07-05T00:00:00"/>
    <s v="Siemens"/>
    <s v="Engineering"/>
    <s v="Germany"/>
    <s v="Los Angeles"/>
    <s v="Los Angeles"/>
    <x v="2"/>
    <s v="CMA CGM Jacques Saadé"/>
    <s v="Reefer"/>
    <n v="2"/>
    <s v="Furniture"/>
    <n v="87187.6"/>
    <n v="19961.439999999999"/>
    <n v="5027.3599999999997"/>
    <n v="2038.58"/>
    <n v="871.88"/>
    <n v="529.42999999999995"/>
    <n v="1541.04"/>
    <n v="57217.87"/>
    <n v="36"/>
    <s v="Labor Strike"/>
    <n v="166.35"/>
    <s v="Delayed"/>
    <s v="Pending"/>
    <s v="Critical"/>
    <s v="A. Tan"/>
    <s v="North America"/>
    <d v="2025-06-01T00:00:00"/>
  </r>
  <r>
    <s v="SHP00791"/>
    <s v="BK50791"/>
    <d v="2025-11-08T00:00:00"/>
    <d v="2025-11-10T00:00:00"/>
    <d v="2025-12-07T00:00:00"/>
    <s v="Siemens"/>
    <s v="Engineering"/>
    <s v="Germany"/>
    <s v="Shanghai"/>
    <s v="Hamburg"/>
    <x v="2"/>
    <s v="Mary Maersk"/>
    <s v="20FT"/>
    <n v="2"/>
    <s v="Chemicals"/>
    <n v="87255.5"/>
    <n v="15576.44"/>
    <n v="3999.37"/>
    <n v="2391.08"/>
    <n v="872.56"/>
    <n v="288.49"/>
    <n v="1227.68"/>
    <n v="62899.88"/>
    <n v="4"/>
    <s v="Mechanical"/>
    <n v="129.80000000000001"/>
    <s v="Delayed"/>
    <s v="Pending"/>
    <s v="Critical"/>
    <s v="L. Chen"/>
    <s v="North America"/>
    <d v="2025-11-01T00:00:00"/>
  </r>
  <r>
    <s v="SHP00046"/>
    <s v="BK50046"/>
    <d v="2025-07-30T00:00:00"/>
    <d v="2025-07-31T00:00:00"/>
    <d v="2025-08-21T00:00:00"/>
    <s v="Toyota"/>
    <s v="Automotive"/>
    <s v="Japan"/>
    <s v="Jebel Ali"/>
    <s v="Nhava Sheva"/>
    <x v="0"/>
    <s v="MSC Gülsün"/>
    <s v="40FT"/>
    <n v="4"/>
    <s v="Furniture"/>
    <n v="87261.8"/>
    <n v="14466.56"/>
    <n v="6938.52"/>
    <n v="957.44"/>
    <n v="872.62"/>
    <n v="524.86"/>
    <n v="1889.44"/>
    <n v="61612.36"/>
    <n v="36"/>
    <s v="Weather"/>
    <n v="120.55"/>
    <s v="Delayed"/>
    <s v="Pending"/>
    <s v="Standard"/>
    <s v="A. Tan"/>
    <s v="Europe"/>
    <d v="2025-07-01T00:00:00"/>
  </r>
  <r>
    <s v="SHP00503"/>
    <s v="BK50503"/>
    <d v="2025-08-29T00:00:00"/>
    <d v="2025-09-01T00:00:00"/>
    <d v="2025-09-28T00:00:00"/>
    <s v="Toyota"/>
    <s v="Automotive"/>
    <s v="Japan"/>
    <s v="Singapore"/>
    <s v="Jebel Ali"/>
    <x v="2"/>
    <s v="Mary Maersk"/>
    <s v="40FT"/>
    <n v="2"/>
    <s v="Auto Parts"/>
    <n v="87579.01"/>
    <n v="14309.75"/>
    <n v="5177.3100000000004"/>
    <n v="2577.4899999999998"/>
    <n v="875.79"/>
    <n v="168.03"/>
    <n v="1395.89"/>
    <n v="63074.75"/>
    <n v="24"/>
    <s v="Port Congestion"/>
    <n v="119.25"/>
    <s v="Delayed"/>
    <s v="Pending"/>
    <s v="Critical"/>
    <s v="L. Chen"/>
    <s v="North America"/>
    <d v="2025-08-01T00:00:00"/>
  </r>
  <r>
    <s v="SHP00336"/>
    <s v="BK50336"/>
    <d v="2025-06-15T00:00:00"/>
    <d v="2025-06-17T00:00:00"/>
    <d v="2025-07-13T00:00:00"/>
    <s v="Pfizer"/>
    <s v="Pharma"/>
    <s v="USA"/>
    <s v="Shanghai"/>
    <s v="Los Angeles"/>
    <x v="2"/>
    <s v="Mumbai Maersk"/>
    <s v="20FT"/>
    <n v="2"/>
    <s v="Auto Parts"/>
    <n v="87751.8"/>
    <n v="20733.349999999999"/>
    <n v="4954.8599999999997"/>
    <n v="2204.13"/>
    <n v="877.52"/>
    <n v="551"/>
    <n v="1170.6300000000001"/>
    <n v="57260.31"/>
    <n v="24"/>
    <s v="Weather"/>
    <n v="172.78"/>
    <s v="Delayed"/>
    <s v="Paid"/>
    <s v="High"/>
    <s v="J. Smith"/>
    <s v="North America"/>
    <d v="2025-06-01T00:00:00"/>
  </r>
  <r>
    <s v="SHP00990"/>
    <s v="BK50990"/>
    <d v="2025-08-28T00:00:00"/>
    <d v="2025-08-29T00:00:00"/>
    <d v="2025-09-24T00:00:00"/>
    <s v="Siemens"/>
    <s v="Engineering"/>
    <s v="Germany"/>
    <s v="Singapore"/>
    <s v="Rotterdam"/>
    <x v="1"/>
    <s v="Ever Ace"/>
    <s v="40FT"/>
    <n v="2"/>
    <s v="Machinery"/>
    <n v="87773.74"/>
    <n v="17923.48"/>
    <n v="3852.33"/>
    <n v="1514.7"/>
    <n v="877.74"/>
    <n v="696.43"/>
    <n v="1290.4000000000001"/>
    <n v="61618.66"/>
    <n v="0"/>
    <s v="None"/>
    <n v="149.36000000000001"/>
    <s v="Completed"/>
    <s v="Paid"/>
    <s v="High"/>
    <s v="L. Chen"/>
    <s v="Asia"/>
    <d v="2025-08-01T00:00:00"/>
  </r>
  <r>
    <s v="SHP00646"/>
    <s v="BK50646"/>
    <d v="2025-07-14T00:00:00"/>
    <d v="2025-07-18T00:00:00"/>
    <d v="2025-08-06T00:00:00"/>
    <s v="Unilever"/>
    <s v="FMCG"/>
    <s v="UK"/>
    <s v="Busan"/>
    <s v="Los Angeles"/>
    <x v="3"/>
    <s v="Ever Ace"/>
    <s v="Reefer"/>
    <n v="2"/>
    <s v="Auto Parts"/>
    <n v="87813.11"/>
    <n v="17537.14"/>
    <n v="4507.6000000000004"/>
    <n v="1417.87"/>
    <n v="878.13"/>
    <n v="714.61"/>
    <n v="475.54"/>
    <n v="62282.22"/>
    <n v="0"/>
    <s v="None"/>
    <n v="146.13999999999999"/>
    <s v="Completed"/>
    <s v="Paid"/>
    <s v="Standard"/>
    <s v="R. Mehta"/>
    <s v="Middle East"/>
    <d v="2025-07-01T00:00:00"/>
  </r>
  <r>
    <s v="SHP00500"/>
    <s v="BK50500"/>
    <d v="2025-02-02T00:00:00"/>
    <d v="2025-02-06T00:00:00"/>
    <d v="2025-03-02T00:00:00"/>
    <s v="Bosch"/>
    <s v="Manufacturing"/>
    <s v="Germany"/>
    <s v="Jebel Ali"/>
    <s v="Nhava Sheva"/>
    <x v="0"/>
    <s v="MSC Gülsün"/>
    <s v="40FT"/>
    <n v="2"/>
    <s v="Electronics"/>
    <n v="87837.36"/>
    <n v="24956.51"/>
    <n v="4295.78"/>
    <n v="2058.5500000000002"/>
    <n v="878.37"/>
    <n v="606.85"/>
    <n v="1784.36"/>
    <n v="53256.94"/>
    <n v="8"/>
    <s v="Weather"/>
    <n v="207.97"/>
    <s v="Delayed"/>
    <s v="Paid"/>
    <s v="High"/>
    <s v="M. Ahmed"/>
    <s v="North America"/>
    <d v="2025-02-01T00:00:00"/>
  </r>
  <r>
    <s v="SHP00828"/>
    <s v="BK50828"/>
    <d v="2025-06-17T00:00:00"/>
    <d v="2025-06-21T00:00:00"/>
    <d v="2025-07-18T00:00:00"/>
    <s v="Pfizer"/>
    <s v="Pharma"/>
    <s v="USA"/>
    <s v="Singapore"/>
    <s v="Rotterdam"/>
    <x v="1"/>
    <s v="MSC Gülsün"/>
    <s v="High Cube"/>
    <n v="2"/>
    <s v="Auto Parts"/>
    <n v="87846.59"/>
    <n v="22575.16"/>
    <n v="3568.49"/>
    <n v="2413.9299999999998"/>
    <n v="878.47"/>
    <n v="841.73"/>
    <n v="515.09"/>
    <n v="57053.72"/>
    <n v="0"/>
    <s v="None"/>
    <n v="188.13"/>
    <s v="Completed"/>
    <s v="Pending"/>
    <s v="Critical"/>
    <s v="J. Smith"/>
    <s v="Middle East"/>
    <d v="2025-06-01T00:00:00"/>
  </r>
  <r>
    <s v="SHP00063"/>
    <s v="BK50063"/>
    <d v="2025-04-29T00:00:00"/>
    <d v="2025-04-30T00:00:00"/>
    <d v="2025-05-16T00:00:00"/>
    <s v="LG"/>
    <s v="Electronics"/>
    <s v="South Korea"/>
    <s v="Jebel Ali"/>
    <s v="Nhava Sheva"/>
    <x v="0"/>
    <s v="Ever Ace"/>
    <s v="Reefer"/>
    <n v="2"/>
    <s v="Food"/>
    <n v="88043.6"/>
    <n v="16411.560000000001"/>
    <n v="6524.12"/>
    <n v="1395.04"/>
    <n v="880.44"/>
    <n v="727.45"/>
    <n v="406.83"/>
    <n v="61698.16"/>
    <n v="48"/>
    <s v="Mechanical"/>
    <n v="136.76"/>
    <s v="Delayed"/>
    <s v="Pending"/>
    <s v="Standard"/>
    <s v="L. Chen"/>
    <s v="North America"/>
    <d v="2025-04-01T00:00:00"/>
  </r>
  <r>
    <s v="SHP00644"/>
    <s v="BK50644"/>
    <d v="2025-05-27T00:00:00"/>
    <d v="2025-05-29T00:00:00"/>
    <d v="2025-06-21T00:00:00"/>
    <s v="Amazon"/>
    <s v="E-commerce"/>
    <s v="USA"/>
    <s v="Colombo"/>
    <s v="Singapore"/>
    <x v="4"/>
    <s v="Ever Ace"/>
    <s v="20FT"/>
    <n v="2"/>
    <s v="Furniture"/>
    <n v="88069.440000000002"/>
    <n v="20188.23"/>
    <n v="5948.32"/>
    <n v="1327.03"/>
    <n v="880.69"/>
    <n v="325.64999999999998"/>
    <n v="1511.14"/>
    <n v="57888.38"/>
    <n v="0"/>
    <s v="None"/>
    <n v="168.24"/>
    <s v="Completed"/>
    <s v="Paid"/>
    <s v="Standard"/>
    <s v="M. Ahmed"/>
    <s v="North America"/>
    <d v="2025-05-01T00:00:00"/>
  </r>
  <r>
    <s v="SHP00880"/>
    <s v="BK50880"/>
    <d v="2025-09-09T00:00:00"/>
    <d v="2025-09-13T00:00:00"/>
    <d v="2025-10-04T00:00:00"/>
    <s v="Siemens"/>
    <s v="Engineering"/>
    <s v="Germany"/>
    <s v="Colombo"/>
    <s v="Singapore"/>
    <x v="4"/>
    <s v="OOCL Hong Kong"/>
    <s v="High Cube"/>
    <n v="2"/>
    <s v="Furniture"/>
    <n v="88211.21"/>
    <n v="25828.25"/>
    <n v="6336.1"/>
    <n v="2364.2800000000002"/>
    <n v="882.11"/>
    <n v="333.66"/>
    <n v="1192.98"/>
    <n v="51273.83"/>
    <n v="8"/>
    <s v="Customs"/>
    <n v="215.24"/>
    <s v="Delayed"/>
    <s v="Pending"/>
    <s v="High"/>
    <s v="M. Ahmed"/>
    <s v="North America"/>
    <d v="2025-09-01T00:00:00"/>
  </r>
  <r>
    <s v="SHP00386"/>
    <s v="BK50386"/>
    <d v="2025-11-22T00:00:00"/>
    <d v="2025-11-24T00:00:00"/>
    <d v="2025-12-11T00:00:00"/>
    <s v="Adidas"/>
    <s v="Retail"/>
    <s v="Germany"/>
    <s v="Colombo"/>
    <s v="Singapore"/>
    <x v="2"/>
    <s v="Monaco Maersk"/>
    <s v="Reefer"/>
    <n v="2"/>
    <s v="Food"/>
    <n v="88414.87"/>
    <n v="16571.39"/>
    <n v="4874.37"/>
    <n v="2098.39"/>
    <n v="884.15"/>
    <n v="744.82"/>
    <n v="1029.23"/>
    <n v="62212.52"/>
    <n v="0"/>
    <s v="None"/>
    <n v="138.09"/>
    <s v="Completed"/>
    <s v="Paid"/>
    <s v="Critical"/>
    <s v="L. Chen"/>
    <s v="North America"/>
    <d v="2025-11-01T00:00:00"/>
  </r>
  <r>
    <s v="SHP00044"/>
    <s v="BK50044"/>
    <d v="2025-02-16T00:00:00"/>
    <d v="2025-02-18T00:00:00"/>
    <d v="2025-03-11T00:00:00"/>
    <s v="Siemens"/>
    <s v="Engineering"/>
    <s v="Germany"/>
    <s v="Hamburg"/>
    <s v="Colombo"/>
    <x v="2"/>
    <s v="MSC Gülsün"/>
    <s v="20FT"/>
    <n v="4"/>
    <s v="Food"/>
    <n v="88428.12"/>
    <n v="15132.64"/>
    <n v="5524.44"/>
    <n v="1246.7"/>
    <n v="884.28"/>
    <n v="607.9"/>
    <n v="2481.91"/>
    <n v="62550.25"/>
    <n v="0"/>
    <s v="None"/>
    <n v="126.11"/>
    <s v="Completed"/>
    <s v="Pending"/>
    <s v="Critical"/>
    <s v="A. Tan"/>
    <s v="Europe"/>
    <d v="2025-02-01T00:00:00"/>
  </r>
  <r>
    <s v="SHP00541"/>
    <s v="BK50541"/>
    <d v="2025-09-07T00:00:00"/>
    <d v="2025-09-09T00:00:00"/>
    <d v="2025-09-23T00:00:00"/>
    <s v="Reliance"/>
    <s v="Retail"/>
    <s v="India"/>
    <s v="Busan"/>
    <s v="Los Angeles"/>
    <x v="3"/>
    <s v="MSC Gülsün"/>
    <s v="High Cube"/>
    <n v="4"/>
    <s v="Furniture"/>
    <n v="88722.71"/>
    <n v="19810.919999999998"/>
    <n v="6719.19"/>
    <n v="2049.9899999999998"/>
    <n v="887.23"/>
    <n v="561.41"/>
    <n v="630.85"/>
    <n v="58063.12"/>
    <n v="0"/>
    <s v="None"/>
    <n v="165.09"/>
    <s v="Completed"/>
    <s v="Pending"/>
    <s v="High"/>
    <s v="M. Ahmed"/>
    <s v="Asia"/>
    <d v="2025-09-01T00:00:00"/>
  </r>
  <r>
    <s v="SHP00717"/>
    <s v="BK50717"/>
    <d v="2025-09-26T00:00:00"/>
    <d v="2025-09-30T00:00:00"/>
    <d v="2025-10-13T00:00:00"/>
    <s v="Pfizer"/>
    <s v="Pharma"/>
    <s v="USA"/>
    <s v="Nhava Sheva"/>
    <s v="Los Angeles"/>
    <x v="2"/>
    <s v="Ever Ace"/>
    <s v="High Cube"/>
    <n v="2"/>
    <s v="Food"/>
    <n v="89056.17"/>
    <n v="23174.080000000002"/>
    <n v="7107.68"/>
    <n v="2544.17"/>
    <n v="890.56"/>
    <n v="719.79"/>
    <n v="1823.95"/>
    <n v="52795.94"/>
    <n v="0"/>
    <s v="None"/>
    <n v="193.12"/>
    <s v="Completed"/>
    <s v="Pending"/>
    <s v="Standard"/>
    <s v="L. Chen"/>
    <s v="Europe"/>
    <d v="2025-09-01T00:00:00"/>
  </r>
  <r>
    <s v="SHP00923"/>
    <s v="BK50923"/>
    <d v="2025-02-13T00:00:00"/>
    <d v="2025-02-15T00:00:00"/>
    <d v="2025-03-07T00:00:00"/>
    <s v="Reliance"/>
    <s v="Retail"/>
    <s v="India"/>
    <s v="Jebel Ali"/>
    <s v="Nhava Sheva"/>
    <x v="0"/>
    <s v="OOCL Hong Kong"/>
    <s v="40FT"/>
    <n v="2"/>
    <s v="Textiles"/>
    <n v="89082.18"/>
    <n v="16548.05"/>
    <n v="6660.57"/>
    <n v="2521.7600000000002"/>
    <n v="890.82"/>
    <n v="411.34"/>
    <n v="1469.61"/>
    <n v="60580.03"/>
    <n v="8"/>
    <s v="Weather"/>
    <n v="137.9"/>
    <s v="Delayed"/>
    <s v="Pending"/>
    <s v="Critical"/>
    <s v="L. Chen"/>
    <s v="Middle East"/>
    <d v="2025-02-01T00:00:00"/>
  </r>
  <r>
    <s v="SHP00109"/>
    <s v="BK50109"/>
    <d v="2025-12-27T00:00:00"/>
    <d v="2025-12-30T00:00:00"/>
    <d v="2026-01-21T00:00:00"/>
    <s v="Reliance"/>
    <s v="Retail"/>
    <s v="India"/>
    <s v="Jebel Ali"/>
    <s v="Nhava Sheva"/>
    <x v="0"/>
    <s v="Mary Maersk"/>
    <s v="High Cube"/>
    <n v="2"/>
    <s v="Furniture"/>
    <n v="89238.15"/>
    <n v="18807.98"/>
    <n v="6786.06"/>
    <n v="2607.63"/>
    <n v="892.38"/>
    <n v="349.19"/>
    <n v="2376.81"/>
    <n v="57418.1"/>
    <n v="4"/>
    <s v="Weather"/>
    <n v="156.72999999999999"/>
    <s v="Delayed"/>
    <s v="Paid"/>
    <s v="Critical"/>
    <s v="L. Chen"/>
    <s v="Asia"/>
    <d v="2025-12-01T00:00:00"/>
  </r>
  <r>
    <s v="SHP00092"/>
    <s v="BK50092"/>
    <d v="2025-05-07T00:00:00"/>
    <d v="2025-05-10T00:00:00"/>
    <d v="2025-06-02T00:00:00"/>
    <s v="Reliance"/>
    <s v="Retail"/>
    <s v="India"/>
    <s v="Colombo"/>
    <s v="Singapore"/>
    <x v="4"/>
    <s v="Mary Maersk"/>
    <s v="40FT"/>
    <n v="2"/>
    <s v="Chemicals"/>
    <n v="89468.76"/>
    <n v="26556.87"/>
    <n v="5618.88"/>
    <n v="2439.2199999999998"/>
    <n v="894.69"/>
    <n v="803.04"/>
    <n v="1801.22"/>
    <n v="51354.84"/>
    <n v="0"/>
    <s v="None"/>
    <n v="221.31"/>
    <s v="Completed"/>
    <s v="Pending"/>
    <s v="High"/>
    <s v="R. Mehta"/>
    <s v="Middle East"/>
    <d v="2025-05-01T00:00:00"/>
  </r>
  <r>
    <s v="SHP00248"/>
    <s v="BK50248"/>
    <d v="2025-09-22T00:00:00"/>
    <d v="2025-09-24T00:00:00"/>
    <d v="2025-10-12T00:00:00"/>
    <s v="IKEA"/>
    <s v="Retail"/>
    <s v="Sweden"/>
    <s v="Busan"/>
    <s v="Los Angeles"/>
    <x v="3"/>
    <s v="MSC Gülsün"/>
    <s v="20FT"/>
    <n v="2"/>
    <s v="Food"/>
    <n v="89595.09"/>
    <n v="22902.97"/>
    <n v="6710.69"/>
    <n v="1367.62"/>
    <n v="895.95"/>
    <n v="614.5"/>
    <n v="831.61"/>
    <n v="56271.75"/>
    <n v="48"/>
    <s v="Mechanical"/>
    <n v="190.86"/>
    <s v="Delayed"/>
    <s v="Paid"/>
    <s v="Standard"/>
    <s v="R. Mehta"/>
    <s v="North America"/>
    <d v="2025-09-01T00:00:00"/>
  </r>
  <r>
    <s v="SHP00132"/>
    <s v="BK50132"/>
    <d v="2025-01-09T00:00:00"/>
    <d v="2025-01-13T00:00:00"/>
    <d v="2025-02-08T00:00:00"/>
    <s v="Bosch"/>
    <s v="Manufacturing"/>
    <s v="Germany"/>
    <s v="Singapore"/>
    <s v="Rotterdam"/>
    <x v="1"/>
    <s v="MSC Gülsün"/>
    <s v="40FT"/>
    <n v="2"/>
    <s v="Furniture"/>
    <n v="89618.79"/>
    <n v="24629.07"/>
    <n v="5812.08"/>
    <n v="2013.51"/>
    <n v="896.19"/>
    <n v="296.08999999999997"/>
    <n v="2215.4"/>
    <n v="53756.45"/>
    <n v="8"/>
    <s v="Customs"/>
    <n v="205.24"/>
    <s v="Delayed"/>
    <s v="Paid"/>
    <s v="Critical"/>
    <s v="L. Chen"/>
    <s v="Middle East"/>
    <d v="2025-01-01T00:00:00"/>
  </r>
  <r>
    <s v="SHP00815"/>
    <s v="BK50815"/>
    <d v="2025-01-19T00:00:00"/>
    <d v="2025-01-23T00:00:00"/>
    <d v="2025-02-03T00:00:00"/>
    <s v="Siemens"/>
    <s v="Engineering"/>
    <s v="Germany"/>
    <s v="Colombo"/>
    <s v="Singapore"/>
    <x v="4"/>
    <s v="MSC Gülsün"/>
    <s v="20FT"/>
    <n v="2"/>
    <s v="Chemicals"/>
    <n v="89633.35"/>
    <n v="22011.9"/>
    <n v="5440.79"/>
    <n v="1339.8"/>
    <n v="896.33"/>
    <n v="119.58"/>
    <n v="2246.71"/>
    <n v="57578.239999999998"/>
    <n v="0"/>
    <s v="None"/>
    <n v="183.43"/>
    <s v="Completed"/>
    <s v="Pending"/>
    <s v="Standard"/>
    <s v="A. Tan"/>
    <s v="Asia"/>
    <d v="2025-01-01T00:00:00"/>
  </r>
  <r>
    <s v="SHP00108"/>
    <s v="BK50108"/>
    <d v="2025-12-26T00:00:00"/>
    <d v="2025-12-27T00:00:00"/>
    <d v="2026-01-19T00:00:00"/>
    <s v="Reliance"/>
    <s v="Retail"/>
    <s v="India"/>
    <s v="Hamburg"/>
    <s v="Singapore"/>
    <x v="2"/>
    <s v="OOCL Hong Kong"/>
    <s v="Reefer"/>
    <n v="2"/>
    <s v="Machinery"/>
    <n v="89731.57"/>
    <n v="20946.25"/>
    <n v="4334.78"/>
    <n v="1357.46"/>
    <n v="897.32"/>
    <n v="645.1"/>
    <n v="1161.3"/>
    <n v="60389.36"/>
    <n v="0"/>
    <s v="None"/>
    <n v="174.55"/>
    <s v="Completed"/>
    <s v="Pending"/>
    <s v="Standard"/>
    <s v="R. Mehta"/>
    <s v="Asia"/>
    <d v="2025-12-01T00:00:00"/>
  </r>
  <r>
    <s v="SHP00375"/>
    <s v="BK50375"/>
    <d v="2025-09-25T00:00:00"/>
    <d v="2025-09-28T00:00:00"/>
    <d v="2025-10-12T00:00:00"/>
    <s v="Unilever"/>
    <s v="FMCG"/>
    <s v="UK"/>
    <s v="Colombo"/>
    <s v="Singapore"/>
    <x v="4"/>
    <s v="MSC Gülsün"/>
    <s v="Reefer"/>
    <n v="4"/>
    <s v="Electronics"/>
    <n v="90136.37"/>
    <n v="23811.61"/>
    <n v="4823.97"/>
    <n v="1604.47"/>
    <n v="901.36"/>
    <n v="836.27"/>
    <n v="2273.02"/>
    <n v="55885.67"/>
    <n v="8"/>
    <s v="Weather"/>
    <n v="198.43"/>
    <s v="Delayed"/>
    <s v="Paid"/>
    <s v="High"/>
    <s v="L. Chen"/>
    <s v="Middle East"/>
    <d v="2025-09-01T00:00:00"/>
  </r>
  <r>
    <s v="SHP00486"/>
    <s v="BK50486"/>
    <d v="2025-07-06T00:00:00"/>
    <d v="2025-07-10T00:00:00"/>
    <d v="2025-08-03T00:00:00"/>
    <s v="Unilever"/>
    <s v="FMCG"/>
    <s v="UK"/>
    <s v="Colombo"/>
    <s v="Singapore"/>
    <x v="4"/>
    <s v="MSC Gülsün"/>
    <s v="20FT"/>
    <n v="4"/>
    <s v="Food"/>
    <n v="91961.71"/>
    <n v="17137.61"/>
    <n v="6452.03"/>
    <n v="2597.58"/>
    <n v="919.62"/>
    <n v="123.05"/>
    <n v="2212.77"/>
    <n v="62519.05"/>
    <n v="48"/>
    <s v="Port Congestion"/>
    <n v="142.81"/>
    <s v="Delayed"/>
    <s v="Paid"/>
    <s v="Standard"/>
    <s v="R. Mehta"/>
    <s v="Asia"/>
    <d v="2025-07-01T00:00:00"/>
  </r>
  <r>
    <s v="SHP00995"/>
    <s v="BK50995"/>
    <d v="2025-01-23T00:00:00"/>
    <d v="2025-01-24T00:00:00"/>
    <d v="2025-02-11T00:00:00"/>
    <s v="Adidas"/>
    <s v="Retail"/>
    <s v="Germany"/>
    <s v="Rotterdam"/>
    <s v="Los Angeles"/>
    <x v="2"/>
    <s v="CMA CGM Jacques Saadé"/>
    <s v="40FT"/>
    <n v="4"/>
    <s v="Textiles"/>
    <n v="92211.38"/>
    <n v="20412.38"/>
    <n v="5067.6099999999997"/>
    <n v="2283.7199999999998"/>
    <n v="922.11"/>
    <n v="294.20999999999998"/>
    <n v="2246.8200000000002"/>
    <n v="60984.53"/>
    <n v="0"/>
    <s v="None"/>
    <n v="170.1"/>
    <s v="Completed"/>
    <s v="Paid"/>
    <s v="Standard"/>
    <s v="L. Chen"/>
    <s v="Asia"/>
    <d v="2025-01-01T00:00:00"/>
  </r>
  <r>
    <s v="SHP00308"/>
    <s v="BK50308"/>
    <d v="2025-03-20T00:00:00"/>
    <d v="2025-03-21T00:00:00"/>
    <d v="2025-04-09T00:00:00"/>
    <s v="LG"/>
    <s v="Electronics"/>
    <s v="South Korea"/>
    <s v="Busan"/>
    <s v="Los Angeles"/>
    <x v="3"/>
    <s v="CMA CGM Jacques Saadé"/>
    <s v="Reefer"/>
    <n v="4"/>
    <s v="Auto Parts"/>
    <n v="92653.97"/>
    <n v="21113.33"/>
    <n v="6846.98"/>
    <n v="2688.43"/>
    <n v="926.54"/>
    <n v="308.85000000000002"/>
    <n v="483.29"/>
    <n v="60286.55"/>
    <n v="12"/>
    <s v="Port Congestion"/>
    <n v="175.94"/>
    <s v="Delayed"/>
    <s v="Pending"/>
    <s v="High"/>
    <s v="R. Mehta"/>
    <s v="North America"/>
    <d v="2025-03-01T00:00:00"/>
  </r>
  <r>
    <s v="SHP00602"/>
    <s v="BK50602"/>
    <d v="2025-06-12T00:00:00"/>
    <d v="2025-06-15T00:00:00"/>
    <d v="2025-07-12T00:00:00"/>
    <s v="Adidas"/>
    <s v="Retail"/>
    <s v="Germany"/>
    <s v="Singapore"/>
    <s v="Rotterdam"/>
    <x v="1"/>
    <s v="Mumbai Maersk"/>
    <s v="High Cube"/>
    <n v="4"/>
    <s v="Machinery"/>
    <n v="93543.98"/>
    <n v="15902.84"/>
    <n v="4380.58"/>
    <n v="2731.19"/>
    <n v="935.44"/>
    <n v="430.36"/>
    <n v="634.16999999999996"/>
    <n v="68529.399999999994"/>
    <n v="36"/>
    <s v="Mechanical"/>
    <n v="132.52000000000001"/>
    <s v="Delayed"/>
    <s v="Paid"/>
    <s v="Critical"/>
    <s v="L. Chen"/>
    <s v="North America"/>
    <d v="2025-06-01T00:00:00"/>
  </r>
  <r>
    <s v="SHP00002"/>
    <s v="BK50002"/>
    <d v="2025-07-12T00:00:00"/>
    <d v="2025-07-15T00:00:00"/>
    <d v="2025-07-28T00:00:00"/>
    <s v="Unilever"/>
    <s v="FMCG"/>
    <s v="UK"/>
    <s v="Nhava Sheva"/>
    <s v="Los Angeles"/>
    <x v="2"/>
    <s v="Mumbai Maersk"/>
    <s v="High Cube"/>
    <n v="4"/>
    <s v="Food"/>
    <n v="93591.95"/>
    <n v="25012.22"/>
    <n v="7195.1"/>
    <n v="1868.07"/>
    <n v="935.92"/>
    <n v="306.05"/>
    <n v="991.46"/>
    <n v="57283.13"/>
    <n v="12"/>
    <s v="Labor Strike"/>
    <n v="208.44"/>
    <s v="Delayed"/>
    <s v="Paid"/>
    <s v="High"/>
    <s v="M. Ahmed"/>
    <s v="Europe"/>
    <d v="2025-07-01T00:00:00"/>
  </r>
  <r>
    <s v="SHP00588"/>
    <s v="BK50588"/>
    <d v="2025-05-03T00:00:00"/>
    <d v="2025-05-04T00:00:00"/>
    <d v="2025-05-29T00:00:00"/>
    <s v="Nestlé"/>
    <s v="Food"/>
    <s v="Switzerland"/>
    <s v="Shanghai"/>
    <s v="Rotterdam"/>
    <x v="1"/>
    <s v="Madrid Maersk"/>
    <s v="40FT"/>
    <n v="4"/>
    <s v="Chemicals"/>
    <n v="93961.54"/>
    <n v="18924.55"/>
    <n v="6623.1"/>
    <n v="1788.25"/>
    <n v="939.62"/>
    <n v="700.64"/>
    <n v="1275.28"/>
    <n v="63710.1"/>
    <n v="0"/>
    <s v="None"/>
    <n v="157.69999999999999"/>
    <s v="Completed"/>
    <s v="Pending"/>
    <s v="Standard"/>
    <s v="M. Ahmed"/>
    <s v="Middle East"/>
    <d v="2025-05-01T00:00:00"/>
  </r>
  <r>
    <s v="SHP00426"/>
    <s v="BK50426"/>
    <d v="2025-11-27T00:00:00"/>
    <d v="2025-12-01T00:00:00"/>
    <d v="2025-12-16T00:00:00"/>
    <s v="Adidas"/>
    <s v="Retail"/>
    <s v="Germany"/>
    <s v="Singapore"/>
    <s v="Rotterdam"/>
    <x v="1"/>
    <s v="Monaco Maersk"/>
    <s v="40FT"/>
    <n v="4"/>
    <s v="Textiles"/>
    <n v="94195.87"/>
    <n v="18370.349999999999"/>
    <n v="5448.14"/>
    <n v="2353.98"/>
    <n v="941.96"/>
    <n v="261.76"/>
    <n v="1152.92"/>
    <n v="65666.759999999995"/>
    <n v="12"/>
    <s v="Port Congestion"/>
    <n v="153.09"/>
    <s v="Delayed"/>
    <s v="Pending"/>
    <s v="Critical"/>
    <s v="L. Chen"/>
    <s v="Europe"/>
    <d v="2025-11-01T00:00:00"/>
  </r>
  <r>
    <s v="SHP00311"/>
    <s v="BK50311"/>
    <d v="2025-02-15T00:00:00"/>
    <d v="2025-02-16T00:00:00"/>
    <d v="2025-02-28T00:00:00"/>
    <s v="LG"/>
    <s v="Electronics"/>
    <s v="South Korea"/>
    <s v="Singapore"/>
    <s v="Rotterdam"/>
    <x v="2"/>
    <s v="Madrid Maersk"/>
    <s v="High Cube"/>
    <n v="4"/>
    <s v="Food"/>
    <n v="94817.24"/>
    <n v="22728.560000000001"/>
    <n v="5159.53"/>
    <n v="2268.38"/>
    <n v="948.17"/>
    <n v="119.13"/>
    <n v="773.28"/>
    <n v="62820.19"/>
    <n v="24"/>
    <s v="Mechanical"/>
    <n v="189.4"/>
    <s v="Delayed"/>
    <s v="Paid"/>
    <s v="Critical"/>
    <s v="M. Ahmed"/>
    <s v="Middle East"/>
    <d v="2025-02-01T00:00:00"/>
  </r>
  <r>
    <s v="SHP00590"/>
    <s v="BK50590"/>
    <d v="2025-04-18T00:00:00"/>
    <d v="2025-04-20T00:00:00"/>
    <d v="2025-05-14T00:00:00"/>
    <s v="Amazon"/>
    <s v="E-commerce"/>
    <s v="USA"/>
    <s v="Busan"/>
    <s v="Los Angeles"/>
    <x v="3"/>
    <s v="OOCL Hong Kong"/>
    <s v="20FT"/>
    <n v="4"/>
    <s v="Food"/>
    <n v="95316.53"/>
    <n v="25410.46"/>
    <n v="7377.24"/>
    <n v="1455.82"/>
    <n v="953.17"/>
    <n v="306.62"/>
    <n v="2466.1799999999998"/>
    <n v="57347.040000000001"/>
    <n v="48"/>
    <s v="Mechanical"/>
    <n v="211.75"/>
    <s v="Delayed"/>
    <s v="Paid"/>
    <s v="Standard"/>
    <s v="R. Mehta"/>
    <s v="Asia"/>
    <d v="2025-04-01T00:00:00"/>
  </r>
  <r>
    <s v="SHP00490"/>
    <s v="BK50490"/>
    <d v="2025-04-30T00:00:00"/>
    <d v="2025-05-01T00:00:00"/>
    <d v="2025-05-22T00:00:00"/>
    <s v="IKEA"/>
    <s v="Retail"/>
    <s v="Sweden"/>
    <s v="Singapore"/>
    <s v="Rotterdam"/>
    <x v="1"/>
    <s v="CMA CGM Jacques Saadé"/>
    <s v="High Cube"/>
    <n v="4"/>
    <s v="Electronics"/>
    <n v="96042.93"/>
    <n v="26793.25"/>
    <n v="5017.38"/>
    <n v="1611.01"/>
    <n v="960.43"/>
    <n v="327.27999999999997"/>
    <n v="1249.8599999999999"/>
    <n v="60083.72"/>
    <n v="12"/>
    <s v="Customs"/>
    <n v="223.28"/>
    <s v="Delayed"/>
    <s v="Paid"/>
    <s v="Critical"/>
    <s v="A. Tan"/>
    <s v="Asia"/>
    <d v="2025-04-01T00:00:00"/>
  </r>
  <r>
    <s v="SHP00743"/>
    <s v="BK50743"/>
    <d v="2025-03-20T00:00:00"/>
    <d v="2025-03-22T00:00:00"/>
    <d v="2025-04-01T00:00:00"/>
    <s v="Siemens"/>
    <s v="Engineering"/>
    <s v="Germany"/>
    <s v="Singapore"/>
    <s v="Rotterdam"/>
    <x v="1"/>
    <s v="Mumbai Maersk"/>
    <s v="40FT"/>
    <n v="4"/>
    <s v="Machinery"/>
    <n v="96897.41"/>
    <n v="21947.86"/>
    <n v="6569.02"/>
    <n v="1063.31"/>
    <n v="968.97"/>
    <n v="278.24"/>
    <n v="1454.93"/>
    <n v="64615.08"/>
    <n v="4"/>
    <s v="Labor Strike"/>
    <n v="182.9"/>
    <s v="Delayed"/>
    <s v="Pending"/>
    <s v="Standard"/>
    <s v="L. Chen"/>
    <s v="Europe"/>
    <d v="2025-03-01T00:00:00"/>
  </r>
  <r>
    <s v="SHP00989"/>
    <s v="BK50989"/>
    <d v="2025-01-20T00:00:00"/>
    <d v="2025-01-22T00:00:00"/>
    <d v="2025-02-15T00:00:00"/>
    <s v="Nestlé"/>
    <s v="Food"/>
    <s v="Switzerland"/>
    <s v="Colombo"/>
    <s v="Singapore"/>
    <x v="4"/>
    <s v="Madrid Maersk"/>
    <s v="High Cube"/>
    <n v="4"/>
    <s v="Machinery"/>
    <n v="99807.67"/>
    <n v="17606.560000000001"/>
    <n v="5995.3"/>
    <n v="1009.83"/>
    <n v="998.08"/>
    <n v="489.96"/>
    <n v="2346.5700000000002"/>
    <n v="71361.37"/>
    <n v="12"/>
    <s v="Mechanical"/>
    <n v="146.72"/>
    <s v="Delayed"/>
    <s v="Pending"/>
    <s v="Standard"/>
    <s v="R. Mehta"/>
    <s v="Europe"/>
    <d v="2025-01-01T00:00:00"/>
  </r>
  <r>
    <s v="SHP00413"/>
    <s v="BK50413"/>
    <d v="2025-01-01T00:00:00"/>
    <d v="2025-01-04T00:00:00"/>
    <d v="2025-01-31T00:00:00"/>
    <s v="LG"/>
    <s v="Electronics"/>
    <s v="South Korea"/>
    <s v="Colombo"/>
    <s v="Singapore"/>
    <x v="4"/>
    <s v="Madrid Maersk"/>
    <s v="High Cube"/>
    <n v="4"/>
    <s v="Auto Parts"/>
    <n v="99903.31"/>
    <n v="20419.93"/>
    <n v="6411.95"/>
    <n v="2599.85"/>
    <n v="999.03"/>
    <n v="183.37"/>
    <n v="739.94"/>
    <n v="68549.240000000005"/>
    <n v="48"/>
    <s v="Weather"/>
    <n v="170.17"/>
    <s v="Delayed"/>
    <s v="Paid"/>
    <s v="Critical"/>
    <s v="A. Tan"/>
    <s v="Middle East"/>
    <d v="2025-01-01T00:00:00"/>
  </r>
  <r>
    <s v="SHP00337"/>
    <s v="BK50337"/>
    <d v="2025-06-22T00:00:00"/>
    <d v="2025-06-26T00:00:00"/>
    <d v="2025-07-18T00:00:00"/>
    <s v="Samsung"/>
    <s v="Electronics"/>
    <s v="South Korea"/>
    <s v="Shanghai"/>
    <s v="Rotterdam"/>
    <x v="1"/>
    <s v="OOCL Hong Kong"/>
    <s v="20FT"/>
    <n v="4"/>
    <s v="Chemicals"/>
    <n v="100162.54"/>
    <n v="22682.52"/>
    <n v="7503.69"/>
    <n v="1901.41"/>
    <n v="1001.63"/>
    <n v="519.76"/>
    <n v="1247.1400000000001"/>
    <n v="65306.39"/>
    <n v="0"/>
    <s v="None"/>
    <n v="189.02"/>
    <s v="Completed"/>
    <s v="Pending"/>
    <s v="High"/>
    <s v="M. Ahmed"/>
    <s v="Asia"/>
    <d v="2025-06-01T00:00:00"/>
  </r>
  <r>
    <s v="SHP00297"/>
    <s v="BK50297"/>
    <d v="2025-05-30T00:00:00"/>
    <d v="2025-05-31T00:00:00"/>
    <d v="2025-06-25T00:00:00"/>
    <s v="Samsung"/>
    <s v="Electronics"/>
    <s v="South Korea"/>
    <s v="Shanghai"/>
    <s v="Rotterdam"/>
    <x v="1"/>
    <s v="Monaco Maersk"/>
    <s v="Reefer"/>
    <n v="4"/>
    <s v="Machinery"/>
    <n v="101118.21"/>
    <n v="19706.88"/>
    <n v="5467.26"/>
    <n v="2948.45"/>
    <n v="1011.18"/>
    <n v="169.92"/>
    <n v="2487.0300000000002"/>
    <n v="69327.490000000005"/>
    <n v="0"/>
    <s v="None"/>
    <n v="164.22"/>
    <s v="Completed"/>
    <s v="Paid"/>
    <s v="High"/>
    <s v="L. Chen"/>
    <s v="Europe"/>
    <d v="2025-05-01T00:00:00"/>
  </r>
  <r>
    <s v="SHP00257"/>
    <s v="BK50257"/>
    <d v="2025-02-14T00:00:00"/>
    <d v="2025-02-15T00:00:00"/>
    <d v="2025-03-08T00:00:00"/>
    <s v="Samsung"/>
    <s v="Electronics"/>
    <s v="South Korea"/>
    <s v="Colombo"/>
    <s v="Singapore"/>
    <x v="4"/>
    <s v="Ever Ace"/>
    <s v="High Cube"/>
    <n v="4"/>
    <s v="Chemicals"/>
    <n v="102876.33"/>
    <n v="20802.189999999999"/>
    <n v="7897.73"/>
    <n v="2103.92"/>
    <n v="1028.76"/>
    <n v="415.68"/>
    <n v="483.81"/>
    <n v="70144.240000000005"/>
    <n v="0"/>
    <s v="None"/>
    <n v="173.35"/>
    <s v="Completed"/>
    <s v="Pending"/>
    <s v="High"/>
    <s v="L. Chen"/>
    <s v="North America"/>
    <d v="2025-02-01T00:00:00"/>
  </r>
  <r>
    <s v="SHP00616"/>
    <s v="BK50616"/>
    <d v="2025-06-21T00:00:00"/>
    <d v="2025-06-24T00:00:00"/>
    <d v="2025-07-13T00:00:00"/>
    <s v="IKEA"/>
    <s v="Retail"/>
    <s v="Sweden"/>
    <s v="Singapore"/>
    <s v="Rotterdam"/>
    <x v="1"/>
    <s v="Madrid Maersk"/>
    <s v="20FT"/>
    <n v="4"/>
    <s v="Food"/>
    <n v="102926.17"/>
    <n v="21489.62"/>
    <n v="5406.35"/>
    <n v="1192.24"/>
    <n v="1029.26"/>
    <n v="575.36"/>
    <n v="1370.7"/>
    <n v="71862.64"/>
    <n v="0"/>
    <s v="None"/>
    <n v="179.08"/>
    <s v="Completed"/>
    <s v="Pending"/>
    <s v="High"/>
    <s v="L. Chen"/>
    <s v="Middle East"/>
    <d v="2025-06-01T00:00:00"/>
  </r>
  <r>
    <s v="SHP00878"/>
    <s v="BK50878"/>
    <d v="2025-03-19T00:00:00"/>
    <d v="2025-03-23T00:00:00"/>
    <d v="2025-04-09T00:00:00"/>
    <s v="Bosch"/>
    <s v="Manufacturing"/>
    <s v="Germany"/>
    <s v="Singapore"/>
    <s v="Rotterdam"/>
    <x v="1"/>
    <s v="Monaco Maersk"/>
    <s v="Reefer"/>
    <n v="4"/>
    <s v="Machinery"/>
    <n v="103860.67"/>
    <n v="16623.43"/>
    <n v="7600.7"/>
    <n v="2354.15"/>
    <n v="1038.6099999999999"/>
    <n v="251.86"/>
    <n v="2230.65"/>
    <n v="73761.27"/>
    <n v="0"/>
    <s v="None"/>
    <n v="138.53"/>
    <s v="Completed"/>
    <s v="Paid"/>
    <s v="High"/>
    <s v="J. Smith"/>
    <s v="Middle East"/>
    <d v="2025-03-01T00:00:00"/>
  </r>
  <r>
    <s v="SHP00464"/>
    <s v="BK50464"/>
    <d v="2025-12-13T00:00:00"/>
    <d v="2025-12-15T00:00:00"/>
    <d v="2026-01-08T00:00:00"/>
    <s v="Samsung"/>
    <s v="Electronics"/>
    <s v="South Korea"/>
    <s v="Singapore"/>
    <s v="Rotterdam"/>
    <x v="1"/>
    <s v="Madrid Maersk"/>
    <s v="20FT"/>
    <n v="4"/>
    <s v="Electronics"/>
    <n v="104776.04"/>
    <n v="17185.46"/>
    <n v="6518.31"/>
    <n v="2020.53"/>
    <n v="1047.76"/>
    <n v="846.12"/>
    <n v="1999.97"/>
    <n v="75157.89"/>
    <n v="48"/>
    <s v="Customs"/>
    <n v="143.21"/>
    <s v="Delayed"/>
    <s v="Paid"/>
    <s v="Critical"/>
    <s v="A. Tan"/>
    <s v="Middle East"/>
    <d v="2025-12-01T00:00:00"/>
  </r>
  <r>
    <s v="SHP00137"/>
    <s v="BK50137"/>
    <d v="2025-03-10T00:00:00"/>
    <d v="2025-03-12T00:00:00"/>
    <d v="2025-04-03T00:00:00"/>
    <s v="Unilever"/>
    <s v="FMCG"/>
    <s v="UK"/>
    <s v="Singapore"/>
    <s v="Rotterdam"/>
    <x v="1"/>
    <s v="CMA CGM Jacques Saadé"/>
    <s v="20FT"/>
    <n v="4"/>
    <s v="Furniture"/>
    <n v="105671.76"/>
    <n v="21498.9"/>
    <n v="8301.26"/>
    <n v="3091.31"/>
    <n v="1056.72"/>
    <n v="123.56"/>
    <n v="2183.75"/>
    <n v="69416.259999999995"/>
    <n v="36"/>
    <s v="Labor Strike"/>
    <n v="179.16"/>
    <s v="Delayed"/>
    <s v="Pending"/>
    <s v="Standard"/>
    <s v="M. Ahmed"/>
    <s v="North America"/>
    <d v="2025-03-01T00:00:00"/>
  </r>
  <r>
    <s v="SHP00727"/>
    <s v="BK50727"/>
    <d v="2025-02-18T00:00:00"/>
    <d v="2025-02-21T00:00:00"/>
    <d v="2025-03-19T00:00:00"/>
    <s v="Toyota"/>
    <s v="Automotive"/>
    <s v="Japan"/>
    <s v="Shanghai"/>
    <s v="Rotterdam"/>
    <x v="1"/>
    <s v="CMA CGM Jacques Saadé"/>
    <s v="20FT"/>
    <n v="4"/>
    <s v="Food"/>
    <n v="105787.9"/>
    <n v="17737.46"/>
    <n v="5822.04"/>
    <n v="1193.9100000000001"/>
    <n v="1057.8800000000001"/>
    <n v="599.16"/>
    <n v="686.06"/>
    <n v="78691.39"/>
    <n v="0"/>
    <s v="None"/>
    <n v="147.81"/>
    <s v="Completed"/>
    <s v="Paid"/>
    <s v="Critical"/>
    <s v="J. Smith"/>
    <s v="North America"/>
    <d v="2025-02-01T00:00:00"/>
  </r>
  <r>
    <s v="SHP00139"/>
    <s v="BK50139"/>
    <d v="2025-10-17T00:00:00"/>
    <d v="2025-10-21T00:00:00"/>
    <d v="2025-11-15T00:00:00"/>
    <s v="Nestlé"/>
    <s v="Food"/>
    <s v="Switzerland"/>
    <s v="Busan"/>
    <s v="Los Angeles"/>
    <x v="3"/>
    <s v="Mary Maersk"/>
    <s v="High Cube"/>
    <n v="4"/>
    <s v="Electronics"/>
    <n v="106294.72"/>
    <n v="26561.79"/>
    <n v="5927.72"/>
    <n v="2041.26"/>
    <n v="1062.95"/>
    <n v="626.04999999999995"/>
    <n v="1933.04"/>
    <n v="68141.91"/>
    <n v="48"/>
    <s v="Labor Strike"/>
    <n v="221.35"/>
    <s v="Delayed"/>
    <s v="Pending"/>
    <s v="High"/>
    <s v="R. Mehta"/>
    <s v="Middle East"/>
    <d v="2025-10-01T00:00:00"/>
  </r>
  <r>
    <s v="SHP00345"/>
    <s v="BK50345"/>
    <d v="2025-06-19T00:00:00"/>
    <d v="2025-06-23T00:00:00"/>
    <d v="2025-07-21T00:00:00"/>
    <s v="Amazon"/>
    <s v="E-commerce"/>
    <s v="USA"/>
    <s v="Colombo"/>
    <s v="Singapore"/>
    <x v="4"/>
    <s v="Madrid Maersk"/>
    <s v="40FT"/>
    <n v="4"/>
    <s v="Food"/>
    <n v="106978.89"/>
    <n v="30454.83"/>
    <n v="8214.92"/>
    <n v="1927.74"/>
    <n v="1069.79"/>
    <n v="592.91999999999996"/>
    <n v="2343.71"/>
    <n v="62374.98"/>
    <n v="4"/>
    <s v="Customs"/>
    <n v="253.79"/>
    <s v="Delayed"/>
    <s v="Pending"/>
    <s v="Standard"/>
    <s v="R. Mehta"/>
    <s v="Asia"/>
    <d v="2025-06-01T00:00:00"/>
  </r>
  <r>
    <s v="SHP00869"/>
    <s v="BK50869"/>
    <d v="2025-11-27T00:00:00"/>
    <d v="2025-11-28T00:00:00"/>
    <d v="2025-12-18T00:00:00"/>
    <s v="Pfizer"/>
    <s v="Pharma"/>
    <s v="USA"/>
    <s v="Busan"/>
    <s v="Nhava Sheva"/>
    <x v="2"/>
    <s v="MSC Gülsün"/>
    <s v="High Cube"/>
    <n v="4"/>
    <s v="Food"/>
    <n v="107409.92"/>
    <n v="27267.97"/>
    <n v="7043.26"/>
    <n v="1338.49"/>
    <n v="1074.0999999999999"/>
    <n v="579.78"/>
    <n v="2415.75"/>
    <n v="67690.570000000007"/>
    <n v="4"/>
    <s v="Mechanical"/>
    <n v="227.23"/>
    <s v="Delayed"/>
    <s v="Pending"/>
    <s v="Standard"/>
    <s v="J. Smith"/>
    <s v="Asia"/>
    <d v="2025-11-01T00:00:00"/>
  </r>
  <r>
    <s v="SHP00176"/>
    <s v="BK50176"/>
    <d v="2025-10-21T00:00:00"/>
    <d v="2025-10-22T00:00:00"/>
    <d v="2025-11-09T00:00:00"/>
    <s v="Amazon"/>
    <s v="E-commerce"/>
    <s v="USA"/>
    <s v="Nhava Sheva"/>
    <s v="Hamburg"/>
    <x v="2"/>
    <s v="Ever Ace"/>
    <s v="20FT"/>
    <n v="4"/>
    <s v="Textiles"/>
    <n v="108148.89"/>
    <n v="18681.12"/>
    <n v="5926.82"/>
    <n v="1234.99"/>
    <n v="1081.49"/>
    <n v="645.23"/>
    <n v="1336.74"/>
    <n v="79242.5"/>
    <n v="0"/>
    <s v="None"/>
    <n v="155.68"/>
    <s v="Completed"/>
    <s v="Pending"/>
    <s v="Critical"/>
    <s v="L. Chen"/>
    <s v="Middle East"/>
    <d v="2025-10-01T00:00:00"/>
  </r>
  <r>
    <s v="SHP00073"/>
    <s v="BK50073"/>
    <d v="2025-05-16T00:00:00"/>
    <d v="2025-05-17T00:00:00"/>
    <d v="2025-06-12T00:00:00"/>
    <s v="Unilever"/>
    <s v="FMCG"/>
    <s v="UK"/>
    <s v="Singapore"/>
    <s v="Rotterdam"/>
    <x v="1"/>
    <s v="MSC Gülsün"/>
    <s v="20FT"/>
    <n v="4"/>
    <s v="Auto Parts"/>
    <n v="108258.86"/>
    <n v="20667.05"/>
    <n v="5793.96"/>
    <n v="2548.6"/>
    <n v="1082.5899999999999"/>
    <n v="785.06"/>
    <n v="1138.8499999999999"/>
    <n v="76242.75"/>
    <n v="0"/>
    <s v="None"/>
    <n v="172.23"/>
    <s v="Completed"/>
    <s v="Pending"/>
    <s v="Standard"/>
    <s v="A. Tan"/>
    <s v="Asia"/>
    <d v="2025-05-01T00:00:00"/>
  </r>
  <r>
    <s v="SHP00435"/>
    <s v="BK50435"/>
    <d v="2025-03-17T00:00:00"/>
    <d v="2025-03-19T00:00:00"/>
    <d v="2025-04-14T00:00:00"/>
    <s v="Amazon"/>
    <s v="E-commerce"/>
    <s v="USA"/>
    <s v="Nhava Sheva"/>
    <s v="Shanghai"/>
    <x v="2"/>
    <s v="Ever Ace"/>
    <s v="Reefer"/>
    <n v="4"/>
    <s v="Electronics"/>
    <n v="108521.98"/>
    <n v="23329.9"/>
    <n v="8545.7199999999993"/>
    <n v="2075.5700000000002"/>
    <n v="1085.22"/>
    <n v="633.44000000000005"/>
    <n v="1857.02"/>
    <n v="70995.11"/>
    <n v="12"/>
    <s v="Labor Strike"/>
    <n v="194.42"/>
    <s v="Delayed"/>
    <s v="Paid"/>
    <s v="Standard"/>
    <s v="M. Ahmed"/>
    <s v="Middle East"/>
    <d v="2025-03-01T00:00:00"/>
  </r>
  <r>
    <s v="SHP00015"/>
    <s v="BK50015"/>
    <d v="2025-11-30T00:00:00"/>
    <d v="2025-12-04T00:00:00"/>
    <d v="2025-12-30T00:00:00"/>
    <s v="IKEA"/>
    <s v="Retail"/>
    <s v="Sweden"/>
    <s v="Singapore"/>
    <s v="Rotterdam"/>
    <x v="1"/>
    <s v="Ever Ace"/>
    <s v="Reefer"/>
    <n v="4"/>
    <s v="Electronics"/>
    <n v="108755.74"/>
    <n v="26463.16"/>
    <n v="7055.89"/>
    <n v="3000.93"/>
    <n v="1087.56"/>
    <n v="748.16"/>
    <n v="1232.29"/>
    <n v="69167.75"/>
    <n v="12"/>
    <s v="Labor Strike"/>
    <n v="220.53"/>
    <s v="Delayed"/>
    <s v="Pending"/>
    <s v="Critical"/>
    <s v="L. Chen"/>
    <s v="Europe"/>
    <d v="2025-11-01T00:00:00"/>
  </r>
  <r>
    <s v="SHP00998"/>
    <s v="BK50998"/>
    <d v="2025-09-11T00:00:00"/>
    <d v="2025-09-14T00:00:00"/>
    <d v="2025-10-12T00:00:00"/>
    <s v="IKEA"/>
    <s v="Retail"/>
    <s v="Sweden"/>
    <s v="Busan"/>
    <s v="Los Angeles"/>
    <x v="3"/>
    <s v="Mumbai Maersk"/>
    <s v="20FT"/>
    <n v="4"/>
    <s v="Electronics"/>
    <n v="108758.49"/>
    <n v="19461.97"/>
    <n v="6237.12"/>
    <n v="1957.04"/>
    <n v="1087.58"/>
    <n v="193.58"/>
    <n v="1839.95"/>
    <n v="77981.25"/>
    <n v="12"/>
    <s v="Customs"/>
    <n v="162.18"/>
    <s v="Delayed"/>
    <s v="Pending"/>
    <s v="High"/>
    <s v="R. Mehta"/>
    <s v="Europe"/>
    <d v="2025-09-01T00:00:00"/>
  </r>
  <r>
    <s v="SHP00716"/>
    <s v="BK50716"/>
    <d v="2025-10-10T00:00:00"/>
    <d v="2025-10-12T00:00:00"/>
    <d v="2025-11-06T00:00:00"/>
    <s v="IKEA"/>
    <s v="Retail"/>
    <s v="Sweden"/>
    <s v="Busan"/>
    <s v="Los Angeles"/>
    <x v="3"/>
    <s v="Madrid Maersk"/>
    <s v="Reefer"/>
    <n v="4"/>
    <s v="Food"/>
    <n v="110331.43"/>
    <n v="24936.1"/>
    <n v="6740.35"/>
    <n v="3058.67"/>
    <n v="1103.31"/>
    <n v="883.61"/>
    <n v="2101.98"/>
    <n v="71507.41"/>
    <n v="0"/>
    <s v="None"/>
    <n v="207.8"/>
    <s v="Completed"/>
    <s v="Pending"/>
    <s v="High"/>
    <s v="A. Tan"/>
    <s v="Asia"/>
    <d v="2025-10-01T00:00:00"/>
  </r>
  <r>
    <s v="SHP00418"/>
    <s v="BK50418"/>
    <d v="2025-08-16T00:00:00"/>
    <d v="2025-08-19T00:00:00"/>
    <d v="2025-09-13T00:00:00"/>
    <s v="Nestlé"/>
    <s v="Food"/>
    <s v="Switzerland"/>
    <s v="New York"/>
    <s v="Jebel Ali"/>
    <x v="2"/>
    <s v="Monaco Maersk"/>
    <s v="Reefer"/>
    <n v="4"/>
    <s v="Auto Parts"/>
    <n v="110894.71"/>
    <n v="30363.82"/>
    <n v="6753.58"/>
    <n v="1537.6"/>
    <n v="1108.95"/>
    <n v="665.94"/>
    <n v="1308.7"/>
    <n v="69156.12"/>
    <n v="8"/>
    <s v="Weather"/>
    <n v="253.03"/>
    <s v="Delayed"/>
    <s v="Pending"/>
    <s v="Critical"/>
    <s v="R. Mehta"/>
    <s v="Europe"/>
    <d v="2025-08-01T00:00:00"/>
  </r>
  <r>
    <s v="SHP00654"/>
    <s v="BK50654"/>
    <d v="2025-01-06T00:00:00"/>
    <d v="2025-01-10T00:00:00"/>
    <d v="2025-01-22T00:00:00"/>
    <s v="IKEA"/>
    <s v="Retail"/>
    <s v="Sweden"/>
    <s v="Jebel Ali"/>
    <s v="Nhava Sheva"/>
    <x v="0"/>
    <s v="MSC Gülsün"/>
    <s v="Reefer"/>
    <n v="4"/>
    <s v="Furniture"/>
    <n v="111938.22"/>
    <n v="19698.12"/>
    <n v="7838.66"/>
    <n v="1535.53"/>
    <n v="1119.3800000000001"/>
    <n v="770.32"/>
    <n v="2092.4499999999998"/>
    <n v="78883.759999999995"/>
    <n v="12"/>
    <s v="Port Congestion"/>
    <n v="164.15"/>
    <s v="Delayed"/>
    <s v="Paid"/>
    <s v="High"/>
    <s v="M. Ahmed"/>
    <s v="Middle East"/>
    <d v="2025-01-01T00:00:00"/>
  </r>
  <r>
    <s v="SHP00434"/>
    <s v="BK50434"/>
    <d v="2025-03-30T00:00:00"/>
    <d v="2025-04-02T00:00:00"/>
    <d v="2025-04-20T00:00:00"/>
    <s v="LG"/>
    <s v="Electronics"/>
    <s v="South Korea"/>
    <s v="Hamburg"/>
    <s v="New York"/>
    <x v="2"/>
    <s v="OOCL Hong Kong"/>
    <s v="High Cube"/>
    <n v="4"/>
    <s v="Auto Parts"/>
    <n v="111998.55"/>
    <n v="33270.339999999997"/>
    <n v="8210.32"/>
    <n v="2314.3200000000002"/>
    <n v="1119.99"/>
    <n v="801.44"/>
    <n v="1292.54"/>
    <n v="64989.599999999999"/>
    <n v="0"/>
    <s v="None"/>
    <n v="277.25"/>
    <s v="Completed"/>
    <s v="Pending"/>
    <s v="High"/>
    <s v="J. Smith"/>
    <s v="North America"/>
    <d v="2025-03-01T00:00:00"/>
  </r>
  <r>
    <s v="SHP00667"/>
    <s v="BK50667"/>
    <d v="2025-11-19T00:00:00"/>
    <d v="2025-11-23T00:00:00"/>
    <d v="2025-12-04T00:00:00"/>
    <s v="Bosch"/>
    <s v="Manufacturing"/>
    <s v="Germany"/>
    <s v="Busan"/>
    <s v="Los Angeles"/>
    <x v="3"/>
    <s v="OOCL Hong Kong"/>
    <s v="40FT"/>
    <n v="4"/>
    <s v="Electronics"/>
    <n v="112707.96"/>
    <n v="21981.16"/>
    <n v="5956.28"/>
    <n v="3244.14"/>
    <n v="1127.08"/>
    <n v="700.06"/>
    <n v="2231.37"/>
    <n v="77467.87"/>
    <n v="0"/>
    <s v="None"/>
    <n v="183.18"/>
    <s v="Completed"/>
    <s v="Paid"/>
    <s v="High"/>
    <s v="M. Ahmed"/>
    <s v="Middle East"/>
    <d v="2025-11-01T00:00:00"/>
  </r>
  <r>
    <s v="SHP00608"/>
    <s v="BK50608"/>
    <d v="2025-05-24T00:00:00"/>
    <d v="2025-05-26T00:00:00"/>
    <d v="2025-06-13T00:00:00"/>
    <s v="Toyota"/>
    <s v="Automotive"/>
    <s v="Japan"/>
    <s v="Singapore"/>
    <s v="Rotterdam"/>
    <x v="1"/>
    <s v="Monaco Maersk"/>
    <s v="Reefer"/>
    <n v="4"/>
    <s v="Furniture"/>
    <n v="112811.39"/>
    <n v="24823.3"/>
    <n v="7159.2"/>
    <n v="2483.3200000000002"/>
    <n v="1128.1099999999999"/>
    <n v="217.34"/>
    <n v="1924.46"/>
    <n v="75075.66"/>
    <n v="48"/>
    <s v="Weather"/>
    <n v="206.86"/>
    <s v="Delayed"/>
    <s v="Pending"/>
    <s v="Critical"/>
    <s v="J. Smith"/>
    <s v="Middle East"/>
    <d v="2025-05-01T00:00:00"/>
  </r>
  <r>
    <s v="SHP00551"/>
    <s v="BK50551"/>
    <d v="2025-10-25T00:00:00"/>
    <d v="2025-10-29T00:00:00"/>
    <d v="2025-11-23T00:00:00"/>
    <s v="Adidas"/>
    <s v="Retail"/>
    <s v="Germany"/>
    <s v="Shanghai"/>
    <s v="Rotterdam"/>
    <x v="1"/>
    <s v="Mary Maersk"/>
    <s v="40FT"/>
    <n v="4"/>
    <s v="Machinery"/>
    <n v="113157.9"/>
    <n v="29142.35"/>
    <n v="5035.18"/>
    <n v="3048.41"/>
    <n v="1131.58"/>
    <n v="451.72"/>
    <n v="2115.1999999999998"/>
    <n v="72233.460000000006"/>
    <n v="0"/>
    <s v="None"/>
    <n v="242.85"/>
    <s v="Completed"/>
    <s v="Paid"/>
    <s v="Critical"/>
    <s v="J. Smith"/>
    <s v="Asia"/>
    <d v="2025-10-01T00:00:00"/>
  </r>
  <r>
    <s v="SHP00507"/>
    <s v="BK50507"/>
    <d v="2025-02-15T00:00:00"/>
    <d v="2025-02-16T00:00:00"/>
    <d v="2025-02-27T00:00:00"/>
    <s v="LG"/>
    <s v="Electronics"/>
    <s v="South Korea"/>
    <s v="Colombo"/>
    <s v="Singapore"/>
    <x v="4"/>
    <s v="Mumbai Maersk"/>
    <s v="Reefer"/>
    <n v="4"/>
    <s v="Food"/>
    <n v="113678.73"/>
    <n v="28681.06"/>
    <n v="6771.26"/>
    <n v="2026.86"/>
    <n v="1136.79"/>
    <n v="271.17"/>
    <n v="693.26"/>
    <n v="74098.33"/>
    <n v="24"/>
    <s v="Weather"/>
    <n v="239.01"/>
    <s v="Delayed"/>
    <s v="Paid"/>
    <s v="Critical"/>
    <s v="J. Smith"/>
    <s v="Middle East"/>
    <d v="2025-02-01T00:00:00"/>
  </r>
  <r>
    <s v="SHP00026"/>
    <s v="BK50026"/>
    <d v="2025-05-31T00:00:00"/>
    <d v="2025-06-04T00:00:00"/>
    <d v="2025-06-15T00:00:00"/>
    <s v="Amazon"/>
    <s v="E-commerce"/>
    <s v="USA"/>
    <s v="Colombo"/>
    <s v="Singapore"/>
    <x v="4"/>
    <s v="Madrid Maersk"/>
    <s v="20FT"/>
    <n v="4"/>
    <s v="Furniture"/>
    <n v="113699.48"/>
    <n v="27291.19"/>
    <n v="6083.06"/>
    <n v="1925.25"/>
    <n v="1136.99"/>
    <n v="353.02"/>
    <n v="2496.67"/>
    <n v="74413.3"/>
    <n v="8"/>
    <s v="Port Congestion"/>
    <n v="227.43"/>
    <s v="Delayed"/>
    <s v="Paid"/>
    <s v="Critical"/>
    <s v="L. Chen"/>
    <s v="Middle East"/>
    <d v="2025-05-01T00:00:00"/>
  </r>
  <r>
    <s v="SHP00734"/>
    <s v="BK50734"/>
    <d v="2025-03-25T00:00:00"/>
    <d v="2025-03-29T00:00:00"/>
    <d v="2025-04-23T00:00:00"/>
    <s v="Siemens"/>
    <s v="Engineering"/>
    <s v="Germany"/>
    <s v="Nhava Sheva"/>
    <s v="Nhava Sheva"/>
    <x v="2"/>
    <s v="Madrid Maersk"/>
    <s v="20FT"/>
    <n v="4"/>
    <s v="Machinery"/>
    <n v="114825.85"/>
    <n v="34160.49"/>
    <n v="7477.02"/>
    <n v="3113.35"/>
    <n v="1148.26"/>
    <n v="245.1"/>
    <n v="2130.9499999999998"/>
    <n v="66550.679999999993"/>
    <n v="4"/>
    <s v="Port Congestion"/>
    <n v="284.67"/>
    <s v="Delayed"/>
    <s v="Pending"/>
    <s v="Critical"/>
    <s v="L. Chen"/>
    <s v="North America"/>
    <d v="2025-03-01T00:00:00"/>
  </r>
  <r>
    <s v="SHP00393"/>
    <s v="BK50393"/>
    <d v="2025-02-01T00:00:00"/>
    <d v="2025-02-05T00:00:00"/>
    <d v="2025-02-22T00:00:00"/>
    <s v="Adidas"/>
    <s v="Retail"/>
    <s v="Germany"/>
    <s v="Jebel Ali"/>
    <s v="Nhava Sheva"/>
    <x v="0"/>
    <s v="Mumbai Maersk"/>
    <s v="20FT"/>
    <n v="4"/>
    <s v="Textiles"/>
    <n v="115409.44"/>
    <n v="26886"/>
    <n v="5729.19"/>
    <n v="1977.12"/>
    <n v="1154.0899999999999"/>
    <n v="307.77999999999997"/>
    <n v="1631.17"/>
    <n v="77724.09"/>
    <n v="24"/>
    <s v="Mechanical"/>
    <n v="224.05"/>
    <s v="Delayed"/>
    <s v="Pending"/>
    <s v="Critical"/>
    <s v="A. Tan"/>
    <s v="Middle East"/>
    <d v="2025-02-01T00:00:00"/>
  </r>
  <r>
    <s v="SHP00846"/>
    <s v="BK50846"/>
    <d v="2025-08-16T00:00:00"/>
    <d v="2025-08-19T00:00:00"/>
    <d v="2025-08-30T00:00:00"/>
    <s v="Reliance"/>
    <s v="Retail"/>
    <s v="India"/>
    <s v="Colombo"/>
    <s v="Singapore"/>
    <x v="4"/>
    <s v="Mumbai Maersk"/>
    <s v="Reefer"/>
    <n v="4"/>
    <s v="Food"/>
    <n v="115448.29"/>
    <n v="31610.99"/>
    <n v="5786.18"/>
    <n v="2993.9"/>
    <n v="1154.48"/>
    <n v="522.13"/>
    <n v="1217.0899999999999"/>
    <n v="72163.520000000004"/>
    <n v="0"/>
    <s v="None"/>
    <n v="263.42"/>
    <s v="Completed"/>
    <s v="Pending"/>
    <s v="Standard"/>
    <s v="R. Mehta"/>
    <s v="Europe"/>
    <d v="2025-08-01T00:00:00"/>
  </r>
  <r>
    <s v="SHP00647"/>
    <s v="BK50647"/>
    <d v="2025-04-23T00:00:00"/>
    <d v="2025-04-27T00:00:00"/>
    <d v="2025-05-12T00:00:00"/>
    <s v="Adidas"/>
    <s v="Retail"/>
    <s v="Germany"/>
    <s v="Jebel Ali"/>
    <s v="Nhava Sheva"/>
    <x v="0"/>
    <s v="Monaco Maersk"/>
    <s v="Reefer"/>
    <n v="4"/>
    <s v="Electronics"/>
    <n v="115489.1"/>
    <n v="28503.34"/>
    <n v="5367.86"/>
    <n v="1519.93"/>
    <n v="1154.8900000000001"/>
    <n v="828.73"/>
    <n v="407.53"/>
    <n v="77706.820000000007"/>
    <n v="48"/>
    <s v="Labor Strike"/>
    <n v="237.53"/>
    <s v="Delayed"/>
    <s v="Paid"/>
    <s v="High"/>
    <s v="J. Smith"/>
    <s v="Europe"/>
    <d v="2025-04-01T00:00:00"/>
  </r>
  <r>
    <s v="SHP00837"/>
    <s v="BK50837"/>
    <d v="2025-11-04T00:00:00"/>
    <d v="2025-11-07T00:00:00"/>
    <d v="2025-11-18T00:00:00"/>
    <s v="Siemens"/>
    <s v="Engineering"/>
    <s v="Germany"/>
    <s v="Colombo"/>
    <s v="Singapore"/>
    <x v="4"/>
    <s v="Madrid Maersk"/>
    <s v="40FT"/>
    <n v="4"/>
    <s v="Chemicals"/>
    <n v="115671.54"/>
    <n v="20466.560000000001"/>
    <n v="6949.21"/>
    <n v="1298.6300000000001"/>
    <n v="1156.72"/>
    <n v="291.74"/>
    <n v="1757.43"/>
    <n v="83751.25"/>
    <n v="36"/>
    <s v="Port Congestion"/>
    <n v="170.55"/>
    <s v="Delayed"/>
    <s v="Paid"/>
    <s v="High"/>
    <s v="J. Smith"/>
    <s v="Europe"/>
    <d v="2025-11-01T00:00:00"/>
  </r>
  <r>
    <s v="SHP00065"/>
    <s v="BK50065"/>
    <d v="2025-06-30T00:00:00"/>
    <d v="2025-07-01T00:00:00"/>
    <d v="2025-07-13T00:00:00"/>
    <s v="Samsung"/>
    <s v="Electronics"/>
    <s v="South Korea"/>
    <s v="Busan"/>
    <s v="Los Angeles"/>
    <x v="3"/>
    <s v="MSC Gülsün"/>
    <s v="High Cube"/>
    <n v="4"/>
    <s v="Electronics"/>
    <n v="115687.94"/>
    <n v="25465.439999999999"/>
    <n v="6731.54"/>
    <n v="2323.2800000000002"/>
    <n v="1156.8800000000001"/>
    <n v="648.16"/>
    <n v="1755.22"/>
    <n v="77607.42"/>
    <n v="0"/>
    <s v="None"/>
    <n v="212.21"/>
    <s v="Completed"/>
    <s v="Paid"/>
    <s v="High"/>
    <s v="L. Chen"/>
    <s v="Asia"/>
    <d v="2025-06-01T00:00:00"/>
  </r>
  <r>
    <s v="SHP00254"/>
    <s v="BK50254"/>
    <d v="2025-07-25T00:00:00"/>
    <d v="2025-07-28T00:00:00"/>
    <d v="2025-08-16T00:00:00"/>
    <s v="Unilever"/>
    <s v="FMCG"/>
    <s v="UK"/>
    <s v="Jebel Ali"/>
    <s v="Nhava Sheva"/>
    <x v="0"/>
    <s v="Ever Ace"/>
    <s v="20FT"/>
    <n v="4"/>
    <s v="Chemicals"/>
    <n v="116412.07"/>
    <n v="24315.62"/>
    <n v="4992.0600000000004"/>
    <n v="2302.38"/>
    <n v="1164.1199999999999"/>
    <n v="398.58"/>
    <n v="1091.58"/>
    <n v="82147.73"/>
    <n v="36"/>
    <s v="Port Congestion"/>
    <n v="202.63"/>
    <s v="Delayed"/>
    <s v="Paid"/>
    <s v="Critical"/>
    <s v="R. Mehta"/>
    <s v="Europe"/>
    <d v="2025-07-01T00:00:00"/>
  </r>
  <r>
    <s v="SHP00281"/>
    <s v="BK50281"/>
    <d v="2025-09-05T00:00:00"/>
    <d v="2025-09-07T00:00:00"/>
    <d v="2025-09-18T00:00:00"/>
    <s v="Siemens"/>
    <s v="Engineering"/>
    <s v="Germany"/>
    <s v="Shanghai"/>
    <s v="Rotterdam"/>
    <x v="1"/>
    <s v="Madrid Maersk"/>
    <s v="20FT"/>
    <n v="4"/>
    <s v="Textiles"/>
    <n v="116630.06"/>
    <n v="21611.02"/>
    <n v="8418.2800000000007"/>
    <n v="2225.12"/>
    <n v="1166.3"/>
    <n v="127.93"/>
    <n v="1031.17"/>
    <n v="82050.240000000005"/>
    <n v="0"/>
    <s v="None"/>
    <n v="180.09"/>
    <s v="Completed"/>
    <s v="Pending"/>
    <s v="Standard"/>
    <s v="L. Chen"/>
    <s v="Europe"/>
    <d v="2025-09-01T00:00:00"/>
  </r>
  <r>
    <s v="SHP00938"/>
    <s v="BK50938"/>
    <d v="2025-10-08T00:00:00"/>
    <d v="2025-10-10T00:00:00"/>
    <d v="2025-10-24T00:00:00"/>
    <s v="Amazon"/>
    <s v="E-commerce"/>
    <s v="USA"/>
    <s v="Colombo"/>
    <s v="Hamburg"/>
    <x v="2"/>
    <s v="Ever Ace"/>
    <s v="20FT"/>
    <n v="4"/>
    <s v="Food"/>
    <n v="117006.35"/>
    <n v="22437.13"/>
    <n v="4780.9799999999996"/>
    <n v="1241.1400000000001"/>
    <n v="1170.06"/>
    <n v="158.69"/>
    <n v="934.09"/>
    <n v="86284.26"/>
    <n v="4"/>
    <s v="Port Congestion"/>
    <n v="186.98"/>
    <s v="Delayed"/>
    <s v="Paid"/>
    <s v="Critical"/>
    <s v="A. Tan"/>
    <s v="Asia"/>
    <d v="2025-10-01T00:00:00"/>
  </r>
  <r>
    <s v="SHP00304"/>
    <s v="BK50304"/>
    <d v="2025-12-14T00:00:00"/>
    <d v="2025-12-16T00:00:00"/>
    <d v="2026-01-11T00:00:00"/>
    <s v="Siemens"/>
    <s v="Engineering"/>
    <s v="Germany"/>
    <s v="Busan"/>
    <s v="Jebel Ali"/>
    <x v="2"/>
    <s v="Ever Ace"/>
    <s v="Reefer"/>
    <n v="4"/>
    <s v="Textiles"/>
    <n v="119181.84"/>
    <n v="30533.19"/>
    <n v="4900.05"/>
    <n v="1214.24"/>
    <n v="1191.82"/>
    <n v="586.70000000000005"/>
    <n v="633.30999999999995"/>
    <n v="80122.53"/>
    <n v="8"/>
    <s v="Mechanical"/>
    <n v="254.44"/>
    <s v="Delayed"/>
    <s v="Paid"/>
    <s v="Standard"/>
    <s v="J. Smith"/>
    <s v="North America"/>
    <d v="2025-12-01T00:00:00"/>
  </r>
  <r>
    <s v="SHP00580"/>
    <s v="BK50580"/>
    <d v="2025-08-08T00:00:00"/>
    <d v="2025-08-12T00:00:00"/>
    <d v="2025-08-25T00:00:00"/>
    <s v="Amazon"/>
    <s v="E-commerce"/>
    <s v="USA"/>
    <s v="Colombo"/>
    <s v="Singapore"/>
    <x v="4"/>
    <s v="Ever Ace"/>
    <s v="High Cube"/>
    <n v="4"/>
    <s v="Auto Parts"/>
    <n v="119517.65"/>
    <n v="30654.74"/>
    <n v="9128.15"/>
    <n v="1711.51"/>
    <n v="1195.18"/>
    <n v="213.58"/>
    <n v="1766.18"/>
    <n v="74848.31"/>
    <n v="0"/>
    <s v="None"/>
    <n v="255.46"/>
    <s v="Completed"/>
    <s v="Pending"/>
    <s v="High"/>
    <s v="J. Smith"/>
    <s v="North America"/>
    <d v="2025-08-01T00:00:00"/>
  </r>
  <r>
    <s v="SHP00767"/>
    <s v="BK50767"/>
    <d v="2025-11-02T00:00:00"/>
    <d v="2025-11-04T00:00:00"/>
    <d v="2025-11-15T00:00:00"/>
    <s v="Bosch"/>
    <s v="Manufacturing"/>
    <s v="Germany"/>
    <s v="Shanghai"/>
    <s v="Rotterdam"/>
    <x v="1"/>
    <s v="OOCL Hong Kong"/>
    <s v="20FT"/>
    <n v="4"/>
    <s v="Chemicals"/>
    <n v="119600.62"/>
    <n v="33341.269999999997"/>
    <n v="9142.11"/>
    <n v="1976.59"/>
    <n v="1196.01"/>
    <n v="271.95"/>
    <n v="1843.91"/>
    <n v="71828.78"/>
    <n v="36"/>
    <s v="Customs"/>
    <n v="277.83999999999997"/>
    <s v="Delayed"/>
    <s v="Pending"/>
    <s v="Critical"/>
    <s v="L. Chen"/>
    <s v="Europe"/>
    <d v="2025-11-01T00:00:00"/>
  </r>
  <r>
    <s v="SHP00394"/>
    <s v="BK50394"/>
    <d v="2025-07-21T00:00:00"/>
    <d v="2025-07-24T00:00:00"/>
    <d v="2025-08-16T00:00:00"/>
    <s v="IKEA"/>
    <s v="Retail"/>
    <s v="Sweden"/>
    <s v="Colombo"/>
    <s v="Colombo"/>
    <x v="2"/>
    <s v="Mumbai Maersk"/>
    <s v="Reefer"/>
    <n v="4"/>
    <s v="Textiles"/>
    <n v="119679.91"/>
    <n v="25789.79"/>
    <n v="7307.91"/>
    <n v="3369.37"/>
    <n v="1196.8"/>
    <n v="470.21"/>
    <n v="1308.6600000000001"/>
    <n v="80237.17"/>
    <n v="0"/>
    <s v="None"/>
    <n v="214.91"/>
    <s v="Completed"/>
    <s v="Paid"/>
    <s v="Standard"/>
    <s v="R. Mehta"/>
    <s v="Middle East"/>
    <d v="2025-07-01T00:00:00"/>
  </r>
  <r>
    <s v="SHP00235"/>
    <s v="BK50235"/>
    <d v="2025-02-14T00:00:00"/>
    <d v="2025-02-15T00:00:00"/>
    <d v="2025-03-02T00:00:00"/>
    <s v="IKEA"/>
    <s v="Retail"/>
    <s v="Sweden"/>
    <s v="Busan"/>
    <s v="Los Angeles"/>
    <x v="3"/>
    <s v="OOCL Hong Kong"/>
    <s v="High Cube"/>
    <n v="4"/>
    <s v="Chemicals"/>
    <n v="120501.48"/>
    <n v="28194.86"/>
    <n v="8413"/>
    <n v="1996.77"/>
    <n v="1205.01"/>
    <n v="512.83000000000004"/>
    <n v="2480.4499999999998"/>
    <n v="77698.559999999998"/>
    <n v="4"/>
    <s v="Labor Strike"/>
    <n v="234.96"/>
    <s v="Delayed"/>
    <s v="Pending"/>
    <s v="High"/>
    <s v="M. Ahmed"/>
    <s v="Middle East"/>
    <d v="2025-02-01T00:00:00"/>
  </r>
  <r>
    <s v="SHP00013"/>
    <s v="BK50013"/>
    <d v="2025-09-09T00:00:00"/>
    <d v="2025-09-13T00:00:00"/>
    <d v="2025-10-02T00:00:00"/>
    <s v="LG"/>
    <s v="Electronics"/>
    <s v="South Korea"/>
    <s v="Colombo"/>
    <s v="Singapore"/>
    <x v="4"/>
    <s v="CMA CGM Jacques Saadé"/>
    <s v="High Cube"/>
    <n v="4"/>
    <s v="Auto Parts"/>
    <n v="123186.5"/>
    <n v="19787.849999999999"/>
    <n v="8608.84"/>
    <n v="3355.19"/>
    <n v="1231.8699999999999"/>
    <n v="243.57"/>
    <n v="1155.6199999999999"/>
    <n v="88803.56"/>
    <n v="0"/>
    <s v="None"/>
    <n v="164.9"/>
    <s v="Completed"/>
    <s v="Pending"/>
    <s v="Standard"/>
    <s v="A. Tan"/>
    <s v="North America"/>
    <d v="2025-09-01T00:00:00"/>
  </r>
  <r>
    <s v="SHP00320"/>
    <s v="BK50320"/>
    <d v="2025-11-13T00:00:00"/>
    <d v="2025-11-14T00:00:00"/>
    <d v="2025-12-08T00:00:00"/>
    <s v="Pfizer"/>
    <s v="Pharma"/>
    <s v="USA"/>
    <s v="Colombo"/>
    <s v="Singapore"/>
    <x v="4"/>
    <s v="CMA CGM Jacques Saadé"/>
    <s v="40FT"/>
    <n v="4"/>
    <s v="Machinery"/>
    <n v="124440.78"/>
    <n v="23872.69"/>
    <n v="7425.23"/>
    <n v="2474.73"/>
    <n v="1244.4100000000001"/>
    <n v="160.69"/>
    <n v="760.78"/>
    <n v="88502.25"/>
    <n v="48"/>
    <s v="Port Congestion"/>
    <n v="198.94"/>
    <s v="Delayed"/>
    <s v="Pending"/>
    <s v="Critical"/>
    <s v="A. Tan"/>
    <s v="Europe"/>
    <d v="2025-11-01T00:00:00"/>
  </r>
  <r>
    <s v="SHP00341"/>
    <s v="BK50341"/>
    <d v="2025-08-25T00:00:00"/>
    <d v="2025-08-26T00:00:00"/>
    <d v="2025-09-17T00:00:00"/>
    <s v="IKEA"/>
    <s v="Retail"/>
    <s v="Sweden"/>
    <s v="Busan"/>
    <s v="Singapore"/>
    <x v="2"/>
    <s v="OOCL Hong Kong"/>
    <s v="40FT"/>
    <n v="4"/>
    <s v="Auto Parts"/>
    <n v="124720.57"/>
    <n v="19998.34"/>
    <n v="7632.16"/>
    <n v="2054.92"/>
    <n v="1247.21"/>
    <n v="173.29"/>
    <n v="1624.61"/>
    <n v="91990.04"/>
    <n v="0"/>
    <s v="None"/>
    <n v="166.65"/>
    <s v="Completed"/>
    <s v="Paid"/>
    <s v="Standard"/>
    <s v="R. Mehta"/>
    <s v="Middle East"/>
    <d v="2025-08-01T00:00:00"/>
  </r>
  <r>
    <s v="SHP00691"/>
    <s v="BK50691"/>
    <d v="2025-08-06T00:00:00"/>
    <d v="2025-08-08T00:00:00"/>
    <d v="2025-09-06T00:00:00"/>
    <s v="Siemens"/>
    <s v="Engineering"/>
    <s v="Germany"/>
    <s v="Busan"/>
    <s v="Los Angeles"/>
    <x v="3"/>
    <s v="Ever Ace"/>
    <s v="20FT"/>
    <n v="4"/>
    <s v="Furniture"/>
    <n v="125102.5"/>
    <n v="35570.53"/>
    <n v="9592.48"/>
    <n v="1781.83"/>
    <n v="1251.03"/>
    <n v="473.72"/>
    <n v="547.03"/>
    <n v="75885.88"/>
    <n v="48"/>
    <s v="Customs"/>
    <n v="296.42"/>
    <s v="Delayed"/>
    <s v="Paid"/>
    <s v="High"/>
    <s v="M. Ahmed"/>
    <s v="Middle East"/>
    <d v="2025-08-01T00:00:00"/>
  </r>
  <r>
    <s v="SHP00635"/>
    <s v="BK50635"/>
    <d v="2025-10-16T00:00:00"/>
    <d v="2025-10-20T00:00:00"/>
    <d v="2025-11-01T00:00:00"/>
    <s v="LG"/>
    <s v="Electronics"/>
    <s v="South Korea"/>
    <s v="Busan"/>
    <s v="Los Angeles"/>
    <x v="3"/>
    <s v="MSC Gülsün"/>
    <s v="High Cube"/>
    <n v="4"/>
    <s v="Electronics"/>
    <n v="125279.39"/>
    <n v="21055.21"/>
    <n v="6620.38"/>
    <n v="1597.53"/>
    <n v="1252.79"/>
    <n v="418.01"/>
    <n v="1171.52"/>
    <n v="93163.95"/>
    <n v="12"/>
    <s v="Port Congestion"/>
    <n v="175.46"/>
    <s v="Delayed"/>
    <s v="Pending"/>
    <s v="Critical"/>
    <s v="L. Chen"/>
    <s v="Middle East"/>
    <d v="2025-10-01T00:00:00"/>
  </r>
  <r>
    <s v="SHP00842"/>
    <s v="BK50842"/>
    <d v="2025-08-12T00:00:00"/>
    <d v="2025-08-13T00:00:00"/>
    <d v="2025-09-09T00:00:00"/>
    <s v="IKEA"/>
    <s v="Retail"/>
    <s v="Sweden"/>
    <s v="Jebel Ali"/>
    <s v="Nhava Sheva"/>
    <x v="0"/>
    <s v="OOCL Hong Kong"/>
    <s v="Reefer"/>
    <n v="4"/>
    <s v="Chemicals"/>
    <n v="126240.95"/>
    <n v="26738.93"/>
    <n v="5801.94"/>
    <n v="1405.76"/>
    <n v="1262.4100000000001"/>
    <n v="378.13"/>
    <n v="2469.0700000000002"/>
    <n v="88184.71"/>
    <n v="48"/>
    <s v="Port Congestion"/>
    <n v="222.82"/>
    <s v="Delayed"/>
    <s v="Paid"/>
    <s v="High"/>
    <s v="J. Smith"/>
    <s v="Middle East"/>
    <d v="2025-08-01T00:00:00"/>
  </r>
  <r>
    <s v="SHP00759"/>
    <s v="BK50759"/>
    <d v="2025-12-26T00:00:00"/>
    <d v="2025-12-27T00:00:00"/>
    <d v="2026-01-23T00:00:00"/>
    <s v="Pfizer"/>
    <s v="Pharma"/>
    <s v="USA"/>
    <s v="Shanghai"/>
    <s v="Rotterdam"/>
    <x v="1"/>
    <s v="Monaco Maersk"/>
    <s v="20FT"/>
    <n v="4"/>
    <s v="Textiles"/>
    <n v="126472.71"/>
    <n v="33300.370000000003"/>
    <n v="6893.1"/>
    <n v="1962.43"/>
    <n v="1264.73"/>
    <n v="695"/>
    <n v="606.44000000000005"/>
    <n v="81750.64"/>
    <n v="12"/>
    <s v="Mechanical"/>
    <n v="277.5"/>
    <s v="Delayed"/>
    <s v="Pending"/>
    <s v="High"/>
    <s v="R. Mehta"/>
    <s v="Europe"/>
    <d v="2025-12-01T00:00:00"/>
  </r>
  <r>
    <s v="SHP00370"/>
    <s v="BK50370"/>
    <d v="2025-09-20T00:00:00"/>
    <d v="2025-09-22T00:00:00"/>
    <d v="2025-10-05T00:00:00"/>
    <s v="LG"/>
    <s v="Electronics"/>
    <s v="South Korea"/>
    <s v="Colombo"/>
    <s v="Singapore"/>
    <x v="4"/>
    <s v="Mary Maersk"/>
    <s v="20FT"/>
    <n v="4"/>
    <s v="Chemicals"/>
    <n v="126985.45"/>
    <n v="37995.65"/>
    <n v="6877.43"/>
    <n v="2909.26"/>
    <n v="1269.8499999999999"/>
    <n v="589.91"/>
    <n v="332.65"/>
    <n v="77010.7"/>
    <n v="0"/>
    <s v="None"/>
    <n v="316.63"/>
    <s v="Completed"/>
    <s v="Pending"/>
    <s v="Standard"/>
    <s v="L. Chen"/>
    <s v="Asia"/>
    <d v="2025-09-01T00:00:00"/>
  </r>
  <r>
    <s v="SHP00456"/>
    <s v="BK50456"/>
    <d v="2025-02-06T00:00:00"/>
    <d v="2025-02-08T00:00:00"/>
    <d v="2025-02-18T00:00:00"/>
    <s v="Bosch"/>
    <s v="Manufacturing"/>
    <s v="Germany"/>
    <s v="Colombo"/>
    <s v="New York"/>
    <x v="2"/>
    <s v="MSC Gülsün"/>
    <s v="40FT"/>
    <n v="4"/>
    <s v="Machinery"/>
    <n v="127201.79"/>
    <n v="27969.279999999999"/>
    <n v="8650.66"/>
    <n v="2987.94"/>
    <n v="1272.02"/>
    <n v="374.86"/>
    <n v="1107.1199999999999"/>
    <n v="84839.91"/>
    <n v="0"/>
    <s v="None"/>
    <n v="233.08"/>
    <s v="Completed"/>
    <s v="Pending"/>
    <s v="Standard"/>
    <s v="M. Ahmed"/>
    <s v="North America"/>
    <d v="2025-02-01T00:00:00"/>
  </r>
  <r>
    <s v="SHP00293"/>
    <s v="BK50293"/>
    <d v="2025-07-21T00:00:00"/>
    <d v="2025-07-25T00:00:00"/>
    <d v="2025-08-23T00:00:00"/>
    <s v="Toyota"/>
    <s v="Automotive"/>
    <s v="Japan"/>
    <s v="Shanghai"/>
    <s v="Rotterdam"/>
    <x v="1"/>
    <s v="MSC Gülsün"/>
    <s v="40FT"/>
    <n v="4"/>
    <s v="Auto Parts"/>
    <n v="128672.64"/>
    <n v="23785.88"/>
    <n v="8593.7199999999993"/>
    <n v="2817.6"/>
    <n v="1286.73"/>
    <n v="246.36"/>
    <n v="2267.6999999999998"/>
    <n v="89674.65"/>
    <n v="24"/>
    <s v="Port Congestion"/>
    <n v="198.22"/>
    <s v="Delayed"/>
    <s v="Paid"/>
    <s v="Standard"/>
    <s v="M. Ahmed"/>
    <s v="Europe"/>
    <d v="2025-07-01T00:00:00"/>
  </r>
  <r>
    <s v="SHP00817"/>
    <s v="BK50817"/>
    <d v="2025-09-15T00:00:00"/>
    <d v="2025-09-16T00:00:00"/>
    <d v="2025-10-03T00:00:00"/>
    <s v="Samsung"/>
    <s v="Electronics"/>
    <s v="South Korea"/>
    <s v="Busan"/>
    <s v="Los Angeles"/>
    <x v="3"/>
    <s v="CMA CGM Jacques Saadé"/>
    <s v="20FT"/>
    <n v="4"/>
    <s v="Food"/>
    <n v="128886.17"/>
    <n v="25069.47"/>
    <n v="6743.18"/>
    <n v="2721.63"/>
    <n v="1288.8599999999999"/>
    <n v="884.8"/>
    <n v="2196.33"/>
    <n v="89981.9"/>
    <n v="0"/>
    <s v="None"/>
    <n v="208.91"/>
    <s v="Completed"/>
    <s v="Paid"/>
    <s v="Critical"/>
    <s v="M. Ahmed"/>
    <s v="North America"/>
    <d v="2025-09-01T00:00:00"/>
  </r>
  <r>
    <s v="SHP00614"/>
    <s v="BK50614"/>
    <d v="2025-04-13T00:00:00"/>
    <d v="2025-04-17T00:00:00"/>
    <d v="2025-05-12T00:00:00"/>
    <s v="Samsung"/>
    <s v="Electronics"/>
    <s v="South Korea"/>
    <s v="Busan"/>
    <s v="Los Angeles"/>
    <x v="3"/>
    <s v="OOCL Hong Kong"/>
    <s v="20FT"/>
    <n v="4"/>
    <s v="Furniture"/>
    <n v="129009.55"/>
    <n v="30918.37"/>
    <n v="8288.0400000000009"/>
    <n v="1925.46"/>
    <n v="1290.0999999999999"/>
    <n v="272.33"/>
    <n v="311.58"/>
    <n v="86003.67"/>
    <n v="48"/>
    <s v="Port Congestion"/>
    <n v="257.64999999999998"/>
    <s v="Delayed"/>
    <s v="Paid"/>
    <s v="Critical"/>
    <s v="R. Mehta"/>
    <s v="Middle East"/>
    <d v="2025-04-01T00:00:00"/>
  </r>
  <r>
    <s v="SHP00586"/>
    <s v="BK50586"/>
    <d v="2025-07-31T00:00:00"/>
    <d v="2025-08-01T00:00:00"/>
    <d v="2025-08-29T00:00:00"/>
    <s v="Adidas"/>
    <s v="Retail"/>
    <s v="Germany"/>
    <s v="Colombo"/>
    <s v="Singapore"/>
    <x v="4"/>
    <s v="Ever Ace"/>
    <s v="40FT"/>
    <n v="4"/>
    <s v="Machinery"/>
    <n v="129463.11"/>
    <n v="25512.77"/>
    <n v="5471.08"/>
    <n v="1867.93"/>
    <n v="1294.6300000000001"/>
    <n v="614.91"/>
    <n v="678.72"/>
    <n v="94023.07"/>
    <n v="0"/>
    <s v="None"/>
    <n v="212.61"/>
    <s v="Completed"/>
    <s v="Pending"/>
    <s v="Critical"/>
    <s v="R. Mehta"/>
    <s v="Middle East"/>
    <d v="2025-07-01T00:00:00"/>
  </r>
  <r>
    <s v="SHP00014"/>
    <s v="BK50014"/>
    <d v="2025-10-18T00:00:00"/>
    <d v="2025-10-20T00:00:00"/>
    <d v="2025-11-14T00:00:00"/>
    <s v="Siemens"/>
    <s v="Engineering"/>
    <s v="Germany"/>
    <s v="New York"/>
    <s v="Singapore"/>
    <x v="2"/>
    <s v="MSC Gülsün"/>
    <s v="40FT"/>
    <n v="4"/>
    <s v="Textiles"/>
    <n v="129574.56"/>
    <n v="31923.19"/>
    <n v="5480.87"/>
    <n v="2551.4299999999998"/>
    <n v="1295.75"/>
    <n v="111.99"/>
    <n v="2227.2199999999998"/>
    <n v="85984.11"/>
    <n v="8"/>
    <s v="Customs"/>
    <n v="266.02999999999997"/>
    <s v="Delayed"/>
    <s v="Pending"/>
    <s v="Standard"/>
    <s v="L. Chen"/>
    <s v="Europe"/>
    <d v="2025-10-01T00:00:00"/>
  </r>
  <r>
    <s v="SHP00356"/>
    <s v="BK50356"/>
    <d v="2025-09-24T00:00:00"/>
    <d v="2025-09-27T00:00:00"/>
    <d v="2025-10-23T00:00:00"/>
    <s v="Pfizer"/>
    <s v="Pharma"/>
    <s v="USA"/>
    <s v="Singapore"/>
    <s v="Rotterdam"/>
    <x v="1"/>
    <s v="Mary Maersk"/>
    <s v="High Cube"/>
    <n v="4"/>
    <s v="Electronics"/>
    <n v="130965.94"/>
    <n v="25344.62"/>
    <n v="10069.08"/>
    <n v="3839.22"/>
    <n v="1309.6600000000001"/>
    <n v="663.07"/>
    <n v="328.73"/>
    <n v="89411.56"/>
    <n v="0"/>
    <s v="None"/>
    <n v="211.21"/>
    <s v="Completed"/>
    <s v="Pending"/>
    <s v="High"/>
    <s v="L. Chen"/>
    <s v="Asia"/>
    <d v="2025-09-01T00:00:00"/>
  </r>
  <r>
    <s v="SHP00237"/>
    <s v="BK50237"/>
    <d v="2025-09-13T00:00:00"/>
    <d v="2025-09-17T00:00:00"/>
    <d v="2025-10-16T00:00:00"/>
    <s v="Adidas"/>
    <s v="Retail"/>
    <s v="Germany"/>
    <s v="Colombo"/>
    <s v="Singapore"/>
    <x v="4"/>
    <s v="Mumbai Maersk"/>
    <s v="Reefer"/>
    <n v="4"/>
    <s v="Electronics"/>
    <n v="131518.82999999999"/>
    <n v="39039.760000000002"/>
    <n v="7082.47"/>
    <n v="1591.36"/>
    <n v="1315.19"/>
    <n v="820.79"/>
    <n v="2332.63"/>
    <n v="79336.63"/>
    <n v="48"/>
    <s v="Mechanical"/>
    <n v="325.33"/>
    <s v="Delayed"/>
    <s v="Pending"/>
    <s v="Standard"/>
    <s v="J. Smith"/>
    <s v="Europe"/>
    <d v="2025-09-01T00:00:00"/>
  </r>
  <r>
    <s v="SHP00221"/>
    <s v="BK50221"/>
    <d v="2025-06-24T00:00:00"/>
    <d v="2025-06-26T00:00:00"/>
    <d v="2025-07-26T00:00:00"/>
    <s v="IKEA"/>
    <s v="Retail"/>
    <s v="Sweden"/>
    <s v="Singapore"/>
    <s v="Rotterdam"/>
    <x v="1"/>
    <s v="OOCL Hong Kong"/>
    <s v="40FT"/>
    <n v="4"/>
    <s v="Furniture"/>
    <n v="131599.01"/>
    <n v="35203.89"/>
    <n v="8391.2800000000007"/>
    <n v="2203.37"/>
    <n v="1315.99"/>
    <n v="165.66"/>
    <n v="2203.17"/>
    <n v="82115.649999999994"/>
    <n v="48"/>
    <s v="Mechanical"/>
    <n v="293.37"/>
    <s v="Delayed"/>
    <s v="Pending"/>
    <s v="Critical"/>
    <s v="M. Ahmed"/>
    <s v="Middle East"/>
    <d v="2025-06-01T00:00:00"/>
  </r>
  <r>
    <s v="SHP00184"/>
    <s v="BK50184"/>
    <d v="2025-09-20T00:00:00"/>
    <d v="2025-09-23T00:00:00"/>
    <d v="2025-10-04T00:00:00"/>
    <s v="Amazon"/>
    <s v="E-commerce"/>
    <s v="USA"/>
    <s v="Jebel Ali"/>
    <s v="Nhava Sheva"/>
    <x v="0"/>
    <s v="Ever Ace"/>
    <s v="40FT"/>
    <n v="4"/>
    <s v="Textiles"/>
    <n v="131839.63"/>
    <n v="25817.81"/>
    <n v="5782"/>
    <n v="3332.91"/>
    <n v="1318.4"/>
    <n v="860.6"/>
    <n v="1291.27"/>
    <n v="93436.64"/>
    <n v="0"/>
    <s v="None"/>
    <n v="215.15"/>
    <s v="Completed"/>
    <s v="Pending"/>
    <s v="Critical"/>
    <s v="M. Ahmed"/>
    <s v="Europe"/>
    <d v="2025-09-01T00:00:00"/>
  </r>
  <r>
    <s v="SHP00272"/>
    <s v="BK50272"/>
    <d v="2025-07-01T00:00:00"/>
    <d v="2025-07-03T00:00:00"/>
    <d v="2025-07-17T00:00:00"/>
    <s v="IKEA"/>
    <s v="Retail"/>
    <s v="Sweden"/>
    <s v="Singapore"/>
    <s v="Rotterdam"/>
    <x v="1"/>
    <s v="Mumbai Maersk"/>
    <s v="Reefer"/>
    <n v="4"/>
    <s v="Chemicals"/>
    <n v="132104.28"/>
    <n v="39349.449999999997"/>
    <n v="7188.1"/>
    <n v="3389.73"/>
    <n v="1321.04"/>
    <n v="201.69"/>
    <n v="1080.69"/>
    <n v="79573.58"/>
    <n v="0"/>
    <s v="None"/>
    <n v="327.91"/>
    <s v="Completed"/>
    <s v="Pending"/>
    <s v="Standard"/>
    <s v="L. Chen"/>
    <s v="Middle East"/>
    <d v="2025-07-01T00:00:00"/>
  </r>
  <r>
    <s v="SHP00266"/>
    <s v="BK50266"/>
    <d v="2025-05-28T00:00:00"/>
    <d v="2025-06-01T00:00:00"/>
    <d v="2025-06-19T00:00:00"/>
    <s v="LG"/>
    <s v="Electronics"/>
    <s v="South Korea"/>
    <s v="Singapore"/>
    <s v="Busan"/>
    <x v="2"/>
    <s v="MSC Gülsün"/>
    <s v="40FT"/>
    <n v="4"/>
    <s v="Textiles"/>
    <n v="132295.76999999999"/>
    <n v="28605.11"/>
    <n v="6655.42"/>
    <n v="1972.62"/>
    <n v="1322.96"/>
    <n v="526.58000000000004"/>
    <n v="1990.51"/>
    <n v="91222.57"/>
    <n v="0"/>
    <s v="None"/>
    <n v="238.38"/>
    <s v="Completed"/>
    <s v="Pending"/>
    <s v="Standard"/>
    <s v="L. Chen"/>
    <s v="Middle East"/>
    <d v="2025-05-01T00:00:00"/>
  </r>
  <r>
    <s v="SHP00613"/>
    <s v="BK50613"/>
    <d v="2025-04-22T00:00:00"/>
    <d v="2025-04-25T00:00:00"/>
    <d v="2025-05-06T00:00:00"/>
    <s v="Siemens"/>
    <s v="Engineering"/>
    <s v="Germany"/>
    <s v="Colombo"/>
    <s v="Singapore"/>
    <x v="4"/>
    <s v="CMA CGM Jacques Saadé"/>
    <s v="20FT"/>
    <n v="4"/>
    <s v="Electronics"/>
    <n v="132421.69"/>
    <n v="29621.07"/>
    <n v="10401.69"/>
    <n v="2411.5100000000002"/>
    <n v="1324.22"/>
    <n v="686.08"/>
    <n v="384.86"/>
    <n v="87592.26"/>
    <n v="0"/>
    <s v="None"/>
    <n v="246.84"/>
    <s v="Completed"/>
    <s v="Pending"/>
    <s v="High"/>
    <s v="J. Smith"/>
    <s v="Asia"/>
    <d v="2025-04-01T00:00:00"/>
  </r>
  <r>
    <s v="SHP00264"/>
    <s v="BK50264"/>
    <d v="2025-04-10T00:00:00"/>
    <d v="2025-04-12T00:00:00"/>
    <d v="2025-04-22T00:00:00"/>
    <s v="Pfizer"/>
    <s v="Pharma"/>
    <s v="USA"/>
    <s v="Busan"/>
    <s v="Los Angeles"/>
    <x v="3"/>
    <s v="Ever Ace"/>
    <s v="Reefer"/>
    <n v="4"/>
    <s v="Electronics"/>
    <n v="132497.35"/>
    <n v="36151.370000000003"/>
    <n v="8863.48"/>
    <n v="1353.68"/>
    <n v="1324.97"/>
    <n v="466.6"/>
    <n v="2481.7600000000002"/>
    <n v="81855.490000000005"/>
    <n v="12"/>
    <s v="Weather"/>
    <n v="301.26"/>
    <s v="Delayed"/>
    <s v="Pending"/>
    <s v="Standard"/>
    <s v="M. Ahmed"/>
    <s v="Middle East"/>
    <d v="2025-04-01T00:00:00"/>
  </r>
  <r>
    <s v="SHP00008"/>
    <s v="BK50008"/>
    <d v="2025-06-20T00:00:00"/>
    <d v="2025-06-24T00:00:00"/>
    <d v="2025-07-06T00:00:00"/>
    <s v="Unilever"/>
    <s v="FMCG"/>
    <s v="UK"/>
    <s v="Shanghai"/>
    <s v="Rotterdam"/>
    <x v="1"/>
    <s v="Mary Maersk"/>
    <s v="High Cube"/>
    <n v="4"/>
    <s v="Food"/>
    <n v="132552.51999999999"/>
    <n v="36370.82"/>
    <n v="9792.27"/>
    <n v="2529.41"/>
    <n v="1325.53"/>
    <n v="860.96"/>
    <n v="2493"/>
    <n v="79180.53"/>
    <n v="0"/>
    <s v="None"/>
    <n v="303.08999999999997"/>
    <s v="Completed"/>
    <s v="Paid"/>
    <s v="Standard"/>
    <s v="J. Smith"/>
    <s v="North America"/>
    <d v="2025-06-01T00:00:00"/>
  </r>
  <r>
    <s v="SHP00110"/>
    <s v="BK50110"/>
    <d v="2025-01-09T00:00:00"/>
    <d v="2025-01-10T00:00:00"/>
    <d v="2025-02-03T00:00:00"/>
    <s v="LG"/>
    <s v="Electronics"/>
    <s v="South Korea"/>
    <s v="Busan"/>
    <s v="Los Angeles"/>
    <x v="3"/>
    <s v="OOCL Hong Kong"/>
    <s v="20FT"/>
    <n v="4"/>
    <s v="Textiles"/>
    <n v="133156.73000000001"/>
    <n v="21821.82"/>
    <n v="9515.2999999999993"/>
    <n v="1673.12"/>
    <n v="1331.57"/>
    <n v="222.6"/>
    <n v="2430.75"/>
    <n v="96161.57"/>
    <n v="0"/>
    <s v="None"/>
    <n v="181.85"/>
    <s v="Completed"/>
    <s v="Pending"/>
    <s v="Critical"/>
    <s v="R. Mehta"/>
    <s v="Europe"/>
    <d v="2025-01-01T00:00:00"/>
  </r>
  <r>
    <s v="SHP00484"/>
    <s v="BK50484"/>
    <d v="2025-11-21T00:00:00"/>
    <d v="2025-11-22T00:00:00"/>
    <d v="2025-12-06T00:00:00"/>
    <s v="Pfizer"/>
    <s v="Pharma"/>
    <s v="USA"/>
    <s v="Shanghai"/>
    <s v="Rotterdam"/>
    <x v="1"/>
    <s v="MSC Gülsün"/>
    <s v="Reefer"/>
    <n v="4"/>
    <s v="Furniture"/>
    <n v="133873.76"/>
    <n v="35511.58"/>
    <n v="8150.09"/>
    <n v="3413.74"/>
    <n v="1338.74"/>
    <n v="635.30999999999995"/>
    <n v="1562.2"/>
    <n v="83262.100000000006"/>
    <n v="36"/>
    <s v="Labor Strike"/>
    <n v="295.93"/>
    <s v="Delayed"/>
    <s v="Pending"/>
    <s v="High"/>
    <s v="L. Chen"/>
    <s v="Middle East"/>
    <d v="2025-11-01T00:00:00"/>
  </r>
  <r>
    <s v="SHP00784"/>
    <s v="BK50784"/>
    <d v="2025-07-22T00:00:00"/>
    <d v="2025-07-26T00:00:00"/>
    <d v="2025-08-14T00:00:00"/>
    <s v="Nestlé"/>
    <s v="Food"/>
    <s v="Switzerland"/>
    <s v="Rotterdam"/>
    <s v="Shanghai"/>
    <x v="2"/>
    <s v="OOCL Hong Kong"/>
    <s v="Reefer"/>
    <n v="4"/>
    <s v="Chemicals"/>
    <n v="134158.44"/>
    <n v="22934.44"/>
    <n v="5926.52"/>
    <n v="3845.71"/>
    <n v="1341.58"/>
    <n v="689.11"/>
    <n v="1756.34"/>
    <n v="97664.74"/>
    <n v="0"/>
    <s v="None"/>
    <n v="191.12"/>
    <s v="Completed"/>
    <s v="Pending"/>
    <s v="High"/>
    <s v="R. Mehta"/>
    <s v="Middle East"/>
    <d v="2025-07-01T00:00:00"/>
  </r>
  <r>
    <s v="SHP00019"/>
    <s v="BK50019"/>
    <d v="2025-05-11T00:00:00"/>
    <d v="2025-05-12T00:00:00"/>
    <d v="2025-05-27T00:00:00"/>
    <s v="Unilever"/>
    <s v="FMCG"/>
    <s v="UK"/>
    <s v="Colombo"/>
    <s v="Singapore"/>
    <x v="4"/>
    <s v="CMA CGM Jacques Saadé"/>
    <s v="40FT"/>
    <n v="4"/>
    <s v="Furniture"/>
    <n v="134395.82999999999"/>
    <n v="27651.87"/>
    <n v="6252.97"/>
    <n v="1987.69"/>
    <n v="1343.96"/>
    <n v="220.24"/>
    <n v="1996.44"/>
    <n v="94942.66"/>
    <n v="4"/>
    <s v="Labor Strike"/>
    <n v="230.43"/>
    <s v="Delayed"/>
    <s v="Pending"/>
    <s v="High"/>
    <s v="J. Smith"/>
    <s v="Europe"/>
    <d v="2025-05-01T00:00:00"/>
  </r>
  <r>
    <s v="SHP00361"/>
    <s v="BK50361"/>
    <d v="2025-08-25T00:00:00"/>
    <d v="2025-08-26T00:00:00"/>
    <d v="2025-09-07T00:00:00"/>
    <s v="Amazon"/>
    <s v="E-commerce"/>
    <s v="USA"/>
    <s v="Singapore"/>
    <s v="Rotterdam"/>
    <x v="1"/>
    <s v="Mumbai Maersk"/>
    <s v="20FT"/>
    <n v="4"/>
    <s v="Machinery"/>
    <n v="134522.35"/>
    <n v="29533.24"/>
    <n v="7656.27"/>
    <n v="2518.65"/>
    <n v="1345.22"/>
    <n v="811.4"/>
    <n v="1657.6"/>
    <n v="90999.97"/>
    <n v="8"/>
    <s v="Mechanical"/>
    <n v="246.11"/>
    <s v="Delayed"/>
    <s v="Pending"/>
    <s v="Critical"/>
    <s v="R. Mehta"/>
    <s v="Middle East"/>
    <d v="2025-08-01T00:00:00"/>
  </r>
  <r>
    <s v="SHP00100"/>
    <s v="BK50100"/>
    <d v="2025-04-05T00:00:00"/>
    <d v="2025-04-07T00:00:00"/>
    <d v="2025-05-03T00:00:00"/>
    <s v="Samsung"/>
    <s v="Electronics"/>
    <s v="South Korea"/>
    <s v="Busan"/>
    <s v="Los Angeles"/>
    <x v="3"/>
    <s v="CMA CGM Jacques Saadé"/>
    <s v="High Cube"/>
    <n v="4"/>
    <s v="Auto Parts"/>
    <n v="134562.76"/>
    <n v="32798.730000000003"/>
    <n v="7585.9"/>
    <n v="2424.13"/>
    <n v="1345.63"/>
    <n v="781.79"/>
    <n v="359.86"/>
    <n v="89266.72"/>
    <n v="4"/>
    <s v="Labor Strike"/>
    <n v="273.32"/>
    <s v="Delayed"/>
    <s v="Pending"/>
    <s v="High"/>
    <s v="R. Mehta"/>
    <s v="Europe"/>
    <d v="2025-04-01T00:00:00"/>
  </r>
  <r>
    <s v="SHP00831"/>
    <s v="BK50831"/>
    <d v="2025-11-20T00:00:00"/>
    <d v="2025-11-21T00:00:00"/>
    <d v="2025-12-04T00:00:00"/>
    <s v="Nestlé"/>
    <s v="Food"/>
    <s v="Switzerland"/>
    <s v="Singapore"/>
    <s v="Rotterdam"/>
    <x v="1"/>
    <s v="OOCL Hong Kong"/>
    <s v="40FT"/>
    <n v="4"/>
    <s v="Food"/>
    <n v="134812.65"/>
    <n v="27135.41"/>
    <n v="10666.82"/>
    <n v="3899.88"/>
    <n v="1348.13"/>
    <n v="662.06"/>
    <n v="1725.28"/>
    <n v="89375.07"/>
    <n v="24"/>
    <s v="Weather"/>
    <n v="226.13"/>
    <s v="Delayed"/>
    <s v="Pending"/>
    <s v="High"/>
    <s v="L. Chen"/>
    <s v="Asia"/>
    <d v="2025-11-01T00:00:00"/>
  </r>
  <r>
    <s v="SHP00204"/>
    <s v="BK50204"/>
    <d v="2025-06-16T00:00:00"/>
    <d v="2025-06-18T00:00:00"/>
    <d v="2025-06-30T00:00:00"/>
    <s v="IKEA"/>
    <s v="Retail"/>
    <s v="Sweden"/>
    <s v="Jebel Ali"/>
    <s v="New York"/>
    <x v="2"/>
    <s v="CMA CGM Jacques Saadé"/>
    <s v="High Cube"/>
    <n v="4"/>
    <s v="Electronics"/>
    <n v="136076.18"/>
    <n v="28343.57"/>
    <n v="10762.09"/>
    <n v="1516.11"/>
    <n v="1360.76"/>
    <n v="255.68"/>
    <n v="1915.3"/>
    <n v="91922.67"/>
    <n v="4"/>
    <s v="Weather"/>
    <n v="236.2"/>
    <s v="Delayed"/>
    <s v="Pending"/>
    <s v="Standard"/>
    <s v="J. Smith"/>
    <s v="Asia"/>
    <d v="2025-06-01T00:00:00"/>
  </r>
  <r>
    <s v="SHP00103"/>
    <s v="BK50103"/>
    <d v="2025-06-28T00:00:00"/>
    <d v="2025-07-01T00:00:00"/>
    <d v="2025-07-23T00:00:00"/>
    <s v="Toyota"/>
    <s v="Automotive"/>
    <s v="Japan"/>
    <s v="Colombo"/>
    <s v="Singapore"/>
    <x v="4"/>
    <s v="Monaco Maersk"/>
    <s v="Reefer"/>
    <n v="4"/>
    <s v="Textiles"/>
    <n v="136104.17000000001"/>
    <n v="39083.82"/>
    <n v="9060.27"/>
    <n v="1536.3"/>
    <n v="1361.04"/>
    <n v="204.32"/>
    <n v="1173.82"/>
    <n v="83684.600000000006"/>
    <n v="4"/>
    <s v="Customs"/>
    <n v="325.7"/>
    <s v="Delayed"/>
    <s v="Pending"/>
    <s v="Critical"/>
    <s v="L. Chen"/>
    <s v="North America"/>
    <d v="2025-06-01T00:00:00"/>
  </r>
  <r>
    <s v="SHP00682"/>
    <s v="BK50682"/>
    <d v="2025-09-13T00:00:00"/>
    <d v="2025-09-15T00:00:00"/>
    <d v="2025-09-30T00:00:00"/>
    <s v="Amazon"/>
    <s v="E-commerce"/>
    <s v="USA"/>
    <s v="Shanghai"/>
    <s v="Rotterdam"/>
    <x v="1"/>
    <s v="Mary Maersk"/>
    <s v="Reefer"/>
    <n v="4"/>
    <s v="Furniture"/>
    <n v="136203.5"/>
    <n v="38296.14"/>
    <n v="7806.76"/>
    <n v="2256.3200000000002"/>
    <n v="1362.04"/>
    <n v="240.51"/>
    <n v="442.97"/>
    <n v="85798.76"/>
    <n v="0"/>
    <s v="None"/>
    <n v="319.13"/>
    <s v="Completed"/>
    <s v="Paid"/>
    <s v="High"/>
    <s v="L. Chen"/>
    <s v="North America"/>
    <d v="2025-09-01T00:00:00"/>
  </r>
  <r>
    <s v="SHP00499"/>
    <s v="BK50499"/>
    <d v="2025-08-14T00:00:00"/>
    <d v="2025-08-17T00:00:00"/>
    <d v="2025-09-03T00:00:00"/>
    <s v="Samsung"/>
    <s v="Electronics"/>
    <s v="South Korea"/>
    <s v="Jebel Ali"/>
    <s v="Nhava Sheva"/>
    <x v="0"/>
    <s v="Mary Maersk"/>
    <s v="20FT"/>
    <n v="4"/>
    <s v="Electronics"/>
    <n v="137037.07999999999"/>
    <n v="27092.2"/>
    <n v="9066.43"/>
    <n v="1656.16"/>
    <n v="1370.37"/>
    <n v="558.13"/>
    <n v="2441.62"/>
    <n v="94852.17"/>
    <n v="36"/>
    <s v="Customs"/>
    <n v="225.77"/>
    <s v="Delayed"/>
    <s v="Pending"/>
    <s v="Standard"/>
    <s v="L. Chen"/>
    <s v="Asia"/>
    <d v="2025-08-01T00:00:00"/>
  </r>
  <r>
    <s v="SHP00411"/>
    <s v="BK50411"/>
    <d v="2025-09-12T00:00:00"/>
    <d v="2025-09-14T00:00:00"/>
    <d v="2025-10-01T00:00:00"/>
    <s v="Toyota"/>
    <s v="Automotive"/>
    <s v="Japan"/>
    <s v="Busan"/>
    <s v="Los Angeles"/>
    <x v="2"/>
    <s v="Ever Ace"/>
    <s v="20FT"/>
    <n v="4"/>
    <s v="Chemicals"/>
    <n v="137707.20000000001"/>
    <n v="38668.44"/>
    <n v="10022.07"/>
    <n v="2512.39"/>
    <n v="1377.07"/>
    <n v="406.17"/>
    <n v="402.75"/>
    <n v="84318.31"/>
    <n v="4"/>
    <s v="Mechanical"/>
    <n v="322.24"/>
    <s v="Delayed"/>
    <s v="Paid"/>
    <s v="Standard"/>
    <s v="L. Chen"/>
    <s v="Middle East"/>
    <d v="2025-09-01T00:00:00"/>
  </r>
  <r>
    <s v="SHP00428"/>
    <s v="BK50428"/>
    <d v="2025-10-25T00:00:00"/>
    <d v="2025-10-28T00:00:00"/>
    <d v="2025-11-25T00:00:00"/>
    <s v="Nestlé"/>
    <s v="Food"/>
    <s v="Switzerland"/>
    <s v="Colombo"/>
    <s v="Singapore"/>
    <x v="4"/>
    <s v="Mary Maersk"/>
    <s v="Reefer"/>
    <n v="4"/>
    <s v="Chemicals"/>
    <n v="137729.25"/>
    <n v="34113.919999999998"/>
    <n v="7254.46"/>
    <n v="4124.47"/>
    <n v="1377.29"/>
    <n v="637.78"/>
    <n v="389.62"/>
    <n v="89831.71"/>
    <n v="8"/>
    <s v="Labor Strike"/>
    <n v="284.27999999999997"/>
    <s v="Delayed"/>
    <s v="Paid"/>
    <s v="Critical"/>
    <s v="L. Chen"/>
    <s v="Asia"/>
    <d v="2025-10-01T00:00:00"/>
  </r>
  <r>
    <s v="SHP00850"/>
    <s v="BK50850"/>
    <d v="2025-07-26T00:00:00"/>
    <d v="2025-07-28T00:00:00"/>
    <d v="2025-08-11T00:00:00"/>
    <s v="Bosch"/>
    <s v="Manufacturing"/>
    <s v="Germany"/>
    <s v="Jebel Ali"/>
    <s v="Nhava Sheva"/>
    <x v="0"/>
    <s v="CMA CGM Jacques Saadé"/>
    <s v="20FT"/>
    <n v="4"/>
    <s v="Chemicals"/>
    <n v="138408.6"/>
    <n v="24866.26"/>
    <n v="9841.6"/>
    <n v="3169.41"/>
    <n v="1384.09"/>
    <n v="534.97"/>
    <n v="2431.23"/>
    <n v="96181.04"/>
    <n v="0"/>
    <s v="None"/>
    <n v="207.22"/>
    <s v="Completed"/>
    <s v="Pending"/>
    <s v="Critical"/>
    <s v="A. Tan"/>
    <s v="Asia"/>
    <d v="2025-07-01T00:00:00"/>
  </r>
  <r>
    <s v="SHP00173"/>
    <s v="BK50173"/>
    <d v="2025-06-22T00:00:00"/>
    <d v="2025-06-23T00:00:00"/>
    <d v="2025-07-08T00:00:00"/>
    <s v="LG"/>
    <s v="Electronics"/>
    <s v="South Korea"/>
    <s v="Busan"/>
    <s v="Los Angeles"/>
    <x v="3"/>
    <s v="Madrid Maersk"/>
    <s v="20FT"/>
    <n v="4"/>
    <s v="Furniture"/>
    <n v="139093.65"/>
    <n v="35495.620000000003"/>
    <n v="9634.61"/>
    <n v="1623.34"/>
    <n v="1390.94"/>
    <n v="267.06"/>
    <n v="1153.8599999999999"/>
    <n v="89528.22"/>
    <n v="36"/>
    <s v="Customs"/>
    <n v="295.8"/>
    <s v="Delayed"/>
    <s v="Paid"/>
    <s v="High"/>
    <s v="R. Mehta"/>
    <s v="Europe"/>
    <d v="2025-06-01T00:00:00"/>
  </r>
  <r>
    <s v="SHP00054"/>
    <s v="BK50054"/>
    <d v="2025-05-03T00:00:00"/>
    <d v="2025-05-07T00:00:00"/>
    <d v="2025-05-18T00:00:00"/>
    <s v="Reliance"/>
    <s v="Retail"/>
    <s v="India"/>
    <s v="Jebel Ali"/>
    <s v="Nhava Sheva"/>
    <x v="0"/>
    <s v="Mumbai Maersk"/>
    <s v="Reefer"/>
    <n v="4"/>
    <s v="Auto Parts"/>
    <n v="139286.81"/>
    <n v="33522.589999999997"/>
    <n v="10258.620000000001"/>
    <n v="1555.8"/>
    <n v="1392.87"/>
    <n v="880.03"/>
    <n v="2016.39"/>
    <n v="89660.51"/>
    <n v="0"/>
    <s v="None"/>
    <n v="279.35000000000002"/>
    <s v="Completed"/>
    <s v="Pending"/>
    <s v="Standard"/>
    <s v="A. Tan"/>
    <s v="Middle East"/>
    <d v="2025-05-01T00:00:00"/>
  </r>
  <r>
    <s v="SHP00419"/>
    <s v="BK50419"/>
    <d v="2025-09-13T00:00:00"/>
    <d v="2025-09-15T00:00:00"/>
    <d v="2025-09-30T00:00:00"/>
    <s v="Siemens"/>
    <s v="Engineering"/>
    <s v="Germany"/>
    <s v="Colombo"/>
    <s v="Singapore"/>
    <x v="4"/>
    <s v="Madrid Maersk"/>
    <s v="Reefer"/>
    <n v="4"/>
    <s v="Auto Parts"/>
    <n v="140813.38"/>
    <n v="39900.300000000003"/>
    <n v="9315.2800000000007"/>
    <n v="2093"/>
    <n v="1408.13"/>
    <n v="723.43"/>
    <n v="1630.76"/>
    <n v="85742.48"/>
    <n v="12"/>
    <s v="Port Congestion"/>
    <n v="332.5"/>
    <s v="Delayed"/>
    <s v="Paid"/>
    <s v="Critical"/>
    <s v="R. Mehta"/>
    <s v="North America"/>
    <d v="2025-09-01T00:00:00"/>
  </r>
  <r>
    <s v="SHP00377"/>
    <s v="BK50377"/>
    <d v="2025-06-29T00:00:00"/>
    <d v="2025-07-03T00:00:00"/>
    <d v="2025-07-18T00:00:00"/>
    <s v="Unilever"/>
    <s v="FMCG"/>
    <s v="UK"/>
    <s v="Shanghai"/>
    <s v="Rotterdam"/>
    <x v="1"/>
    <s v="Mary Maersk"/>
    <s v="20FT"/>
    <n v="4"/>
    <s v="Auto Parts"/>
    <n v="140912.95999999999"/>
    <n v="24816.65"/>
    <n v="10055.780000000001"/>
    <n v="1707.91"/>
    <n v="1409.13"/>
    <n v="772.88"/>
    <n v="1737.25"/>
    <n v="100413.36"/>
    <n v="24"/>
    <s v="Mechanical"/>
    <n v="206.81"/>
    <s v="Delayed"/>
    <s v="Paid"/>
    <s v="Critical"/>
    <s v="J. Smith"/>
    <s v="Asia"/>
    <d v="2025-06-01T00:00:00"/>
  </r>
  <r>
    <s v="SHP00162"/>
    <s v="BK50162"/>
    <d v="2025-04-11T00:00:00"/>
    <d v="2025-04-12T00:00:00"/>
    <d v="2025-05-07T00:00:00"/>
    <s v="Samsung"/>
    <s v="Electronics"/>
    <s v="South Korea"/>
    <s v="Colombo"/>
    <s v="Singapore"/>
    <x v="4"/>
    <s v="OOCL Hong Kong"/>
    <s v="High Cube"/>
    <n v="4"/>
    <s v="Food"/>
    <n v="141020.28"/>
    <n v="29204.22"/>
    <n v="5696.26"/>
    <n v="1545.02"/>
    <n v="1410.2"/>
    <n v="807.74"/>
    <n v="2086.2399999999998"/>
    <n v="100270.6"/>
    <n v="4"/>
    <s v="Mechanical"/>
    <n v="243.37"/>
    <s v="Delayed"/>
    <s v="Pending"/>
    <s v="Standard"/>
    <s v="R. Mehta"/>
    <s v="North America"/>
    <d v="2025-04-01T00:00:00"/>
  </r>
  <r>
    <s v="SHP00263"/>
    <s v="BK50263"/>
    <d v="2025-10-12T00:00:00"/>
    <d v="2025-10-16T00:00:00"/>
    <d v="2025-11-11T00:00:00"/>
    <s v="Nestlé"/>
    <s v="Food"/>
    <s v="Switzerland"/>
    <s v="Jebel Ali"/>
    <s v="Nhava Sheva"/>
    <x v="0"/>
    <s v="OOCL Hong Kong"/>
    <s v="Reefer"/>
    <n v="4"/>
    <s v="Textiles"/>
    <n v="141256.07999999999"/>
    <n v="36097.599999999999"/>
    <n v="10972.54"/>
    <n v="3374.81"/>
    <n v="1412.56"/>
    <n v="599.86"/>
    <n v="1573.72"/>
    <n v="87224.99"/>
    <n v="8"/>
    <s v="Labor Strike"/>
    <n v="300.81"/>
    <s v="Delayed"/>
    <s v="Paid"/>
    <s v="Critical"/>
    <s v="L. Chen"/>
    <s v="Europe"/>
    <d v="2025-10-01T00:00:00"/>
  </r>
  <r>
    <s v="SHP00511"/>
    <s v="BK50511"/>
    <d v="2025-04-15T00:00:00"/>
    <d v="2025-04-18T00:00:00"/>
    <d v="2025-05-03T00:00:00"/>
    <s v="IKEA"/>
    <s v="Retail"/>
    <s v="Sweden"/>
    <s v="Jebel Ali"/>
    <s v="Nhava Sheva"/>
    <x v="0"/>
    <s v="CMA CGM Jacques Saadé"/>
    <s v="Reefer"/>
    <n v="4"/>
    <s v="Food"/>
    <n v="142635.6"/>
    <n v="30530.48"/>
    <n v="7586.08"/>
    <n v="3484.74"/>
    <n v="1426.36"/>
    <n v="413.45"/>
    <n v="1408.63"/>
    <n v="97785.86"/>
    <n v="0"/>
    <s v="None"/>
    <n v="254.42"/>
    <s v="Completed"/>
    <s v="Pending"/>
    <s v="Critical"/>
    <s v="L. Chen"/>
    <s v="Europe"/>
    <d v="2025-04-01T00:00:00"/>
  </r>
  <r>
    <s v="SHP00317"/>
    <s v="BK50317"/>
    <d v="2025-05-25T00:00:00"/>
    <d v="2025-05-28T00:00:00"/>
    <d v="2025-06-12T00:00:00"/>
    <s v="Pfizer"/>
    <s v="Pharma"/>
    <s v="USA"/>
    <s v="Shanghai"/>
    <s v="Rotterdam"/>
    <x v="1"/>
    <s v="OOCL Hong Kong"/>
    <s v="Reefer"/>
    <n v="4"/>
    <s v="Electronics"/>
    <n v="143155.96"/>
    <n v="33948.49"/>
    <n v="10473.030000000001"/>
    <n v="3069.59"/>
    <n v="1431.56"/>
    <n v="847.87"/>
    <n v="1734.94"/>
    <n v="91650.48"/>
    <n v="48"/>
    <s v="Weather"/>
    <n v="282.89999999999998"/>
    <s v="Delayed"/>
    <s v="Pending"/>
    <s v="Standard"/>
    <s v="A. Tan"/>
    <s v="North America"/>
    <d v="2025-05-01T00:00:00"/>
  </r>
  <r>
    <s v="SHP00639"/>
    <s v="BK50639"/>
    <d v="2025-02-25T00:00:00"/>
    <d v="2025-02-27T00:00:00"/>
    <d v="2025-03-20T00:00:00"/>
    <s v="Nestlé"/>
    <s v="Food"/>
    <s v="Switzerland"/>
    <s v="Los Angeles"/>
    <s v="Jebel Ali"/>
    <x v="2"/>
    <s v="Mumbai Maersk"/>
    <s v="Reefer"/>
    <n v="4"/>
    <s v="Furniture"/>
    <n v="144414.64000000001"/>
    <n v="33954.26"/>
    <n v="10902.21"/>
    <n v="2386.81"/>
    <n v="1444.15"/>
    <n v="277.66000000000003"/>
    <n v="1884.53"/>
    <n v="93565.02"/>
    <n v="0"/>
    <s v="None"/>
    <n v="282.95"/>
    <s v="Completed"/>
    <s v="Paid"/>
    <s v="High"/>
    <s v="M. Ahmed"/>
    <s v="Europe"/>
    <d v="2025-02-01T00:00:00"/>
  </r>
  <r>
    <s v="SHP00714"/>
    <s v="BK50714"/>
    <d v="2025-08-05T00:00:00"/>
    <d v="2025-08-09T00:00:00"/>
    <d v="2025-09-06T00:00:00"/>
    <s v="Amazon"/>
    <s v="E-commerce"/>
    <s v="USA"/>
    <s v="Singapore"/>
    <s v="Rotterdam"/>
    <x v="1"/>
    <s v="Madrid Maersk"/>
    <s v="20FT"/>
    <n v="4"/>
    <s v="Auto Parts"/>
    <n v="144473.94"/>
    <n v="25543.81"/>
    <n v="9715.7999999999993"/>
    <n v="1934.69"/>
    <n v="1444.74"/>
    <n v="491.01"/>
    <n v="1759.89"/>
    <n v="103584"/>
    <n v="0"/>
    <s v="None"/>
    <n v="212.87"/>
    <s v="Completed"/>
    <s v="Paid"/>
    <s v="Critical"/>
    <s v="R. Mehta"/>
    <s v="Middle East"/>
    <d v="2025-08-01T00:00:00"/>
  </r>
  <r>
    <s v="SHP00796"/>
    <s v="BK50796"/>
    <d v="2025-11-30T00:00:00"/>
    <d v="2025-12-01T00:00:00"/>
    <d v="2025-12-24T00:00:00"/>
    <s v="Pfizer"/>
    <s v="Pharma"/>
    <s v="USA"/>
    <s v="New York"/>
    <s v="Jebel Ali"/>
    <x v="2"/>
    <s v="Monaco Maersk"/>
    <s v="20FT"/>
    <n v="4"/>
    <s v="Textiles"/>
    <n v="145862.13"/>
    <n v="33512.5"/>
    <n v="6229.17"/>
    <n v="1628.74"/>
    <n v="1458.62"/>
    <n v="496.39"/>
    <n v="385.94"/>
    <n v="102150.77"/>
    <n v="12"/>
    <s v="Port Congestion"/>
    <n v="279.27"/>
    <s v="Delayed"/>
    <s v="Pending"/>
    <s v="Standard"/>
    <s v="A. Tan"/>
    <s v="North America"/>
    <d v="2025-11-01T00:00:00"/>
  </r>
  <r>
    <s v="SHP00258"/>
    <s v="BK50258"/>
    <d v="2025-07-28T00:00:00"/>
    <d v="2025-08-01T00:00:00"/>
    <d v="2025-08-27T00:00:00"/>
    <s v="Amazon"/>
    <s v="E-commerce"/>
    <s v="USA"/>
    <s v="Colombo"/>
    <s v="Singapore"/>
    <x v="4"/>
    <s v="Mumbai Maersk"/>
    <s v="Reefer"/>
    <n v="4"/>
    <s v="Furniture"/>
    <n v="146322.60999999999"/>
    <n v="24810.32"/>
    <n v="7218.36"/>
    <n v="2410.73"/>
    <n v="1463.23"/>
    <n v="653.85"/>
    <n v="2323.79"/>
    <n v="107442.33"/>
    <n v="0"/>
    <s v="None"/>
    <n v="206.75"/>
    <s v="Completed"/>
    <s v="Pending"/>
    <s v="Standard"/>
    <s v="L. Chen"/>
    <s v="Middle East"/>
    <d v="2025-07-01T00:00:00"/>
  </r>
  <r>
    <s v="SHP00624"/>
    <s v="BK50624"/>
    <d v="2025-05-09T00:00:00"/>
    <d v="2025-05-11T00:00:00"/>
    <d v="2025-05-27T00:00:00"/>
    <s v="IKEA"/>
    <s v="Retail"/>
    <s v="Sweden"/>
    <s v="Jebel Ali"/>
    <s v="Nhava Sheva"/>
    <x v="0"/>
    <s v="OOCL Hong Kong"/>
    <s v="High Cube"/>
    <n v="4"/>
    <s v="Chemicals"/>
    <n v="147516.07"/>
    <n v="29728.76"/>
    <n v="6238.88"/>
    <n v="2375.75"/>
    <n v="1475.16"/>
    <n v="177.19"/>
    <n v="1633.17"/>
    <n v="105887.16"/>
    <n v="0"/>
    <s v="None"/>
    <n v="247.74"/>
    <s v="Completed"/>
    <s v="Pending"/>
    <s v="Critical"/>
    <s v="J. Smith"/>
    <s v="North America"/>
    <d v="2025-05-01T00:00:00"/>
  </r>
  <r>
    <s v="SHP00801"/>
    <s v="BK50801"/>
    <d v="2025-04-23T00:00:00"/>
    <d v="2025-04-27T00:00:00"/>
    <d v="2025-05-18T00:00:00"/>
    <s v="Reliance"/>
    <s v="Retail"/>
    <s v="India"/>
    <s v="Singapore"/>
    <s v="Rotterdam"/>
    <x v="1"/>
    <s v="Mumbai Maersk"/>
    <s v="High Cube"/>
    <n v="4"/>
    <s v="Furniture"/>
    <n v="148239.85"/>
    <n v="28329.27"/>
    <n v="9642.8799999999992"/>
    <n v="1931.94"/>
    <n v="1482.4"/>
    <n v="128.53"/>
    <n v="745.26"/>
    <n v="105979.57"/>
    <n v="0"/>
    <s v="None"/>
    <n v="236.08"/>
    <s v="Completed"/>
    <s v="Pending"/>
    <s v="Standard"/>
    <s v="M. Ahmed"/>
    <s v="North America"/>
    <d v="2025-04-01T00:00:00"/>
  </r>
  <r>
    <s v="SHP00442"/>
    <s v="BK50442"/>
    <d v="2025-09-27T00:00:00"/>
    <d v="2025-09-29T00:00:00"/>
    <d v="2025-10-13T00:00:00"/>
    <s v="Nestlé"/>
    <s v="Food"/>
    <s v="Switzerland"/>
    <s v="Singapore"/>
    <s v="Rotterdam"/>
    <x v="1"/>
    <s v="CMA CGM Jacques Saadé"/>
    <s v="20FT"/>
    <n v="4"/>
    <s v="Electronics"/>
    <n v="149529.88"/>
    <n v="26843.08"/>
    <n v="6538.76"/>
    <n v="2720.07"/>
    <n v="1495.3"/>
    <n v="752.59"/>
    <n v="701.44"/>
    <n v="110478.64"/>
    <n v="0"/>
    <s v="None"/>
    <n v="223.69"/>
    <s v="Completed"/>
    <s v="Pending"/>
    <s v="Standard"/>
    <s v="A. Tan"/>
    <s v="Europe"/>
    <d v="2025-09-01T00:00:00"/>
  </r>
  <r>
    <s v="SHP00553"/>
    <s v="BK50553"/>
    <d v="2025-07-19T00:00:00"/>
    <d v="2025-07-22T00:00:00"/>
    <d v="2025-08-06T00:00:00"/>
    <s v="Bosch"/>
    <s v="Manufacturing"/>
    <s v="Germany"/>
    <s v="Busan"/>
    <s v="Los Angeles"/>
    <x v="3"/>
    <s v="Mary Maersk"/>
    <s v="20FT"/>
    <n v="4"/>
    <s v="Food"/>
    <n v="149798.43"/>
    <n v="42816.28"/>
    <n v="8251.43"/>
    <n v="3580.32"/>
    <n v="1497.98"/>
    <n v="350.03"/>
    <n v="1344.45"/>
    <n v="91957.94"/>
    <n v="4"/>
    <s v="Customs"/>
    <n v="356.8"/>
    <s v="Delayed"/>
    <s v="Pending"/>
    <s v="Critical"/>
    <s v="M. Ahmed"/>
    <s v="Asia"/>
    <d v="2025-07-01T00:00:00"/>
  </r>
  <r>
    <s v="SHP00731"/>
    <s v="BK50731"/>
    <d v="2025-03-03T00:00:00"/>
    <d v="2025-03-06T00:00:00"/>
    <d v="2025-04-03T00:00:00"/>
    <s v="Adidas"/>
    <s v="Retail"/>
    <s v="Germany"/>
    <s v="Singapore"/>
    <s v="Rotterdam"/>
    <x v="1"/>
    <s v="Mary Maersk"/>
    <s v="Reefer"/>
    <n v="4"/>
    <s v="Electronics"/>
    <n v="149936.16"/>
    <n v="32687.62"/>
    <n v="9054.77"/>
    <n v="4003.93"/>
    <n v="1499.36"/>
    <n v="746.51"/>
    <n v="2256.83"/>
    <n v="99687.14"/>
    <n v="0"/>
    <s v="None"/>
    <n v="272.39999999999998"/>
    <s v="Completed"/>
    <s v="Paid"/>
    <s v="Standard"/>
    <s v="R. Mehta"/>
    <s v="Middle East"/>
    <d v="2025-03-01T00:00:00"/>
  </r>
  <r>
    <s v="SHP00105"/>
    <s v="BK50105"/>
    <d v="2025-09-22T00:00:00"/>
    <d v="2025-09-25T00:00:00"/>
    <d v="2025-10-16T00:00:00"/>
    <s v="Unilever"/>
    <s v="FMCG"/>
    <s v="UK"/>
    <s v="Shanghai"/>
    <s v="Shanghai"/>
    <x v="2"/>
    <s v="CMA CGM Jacques Saadé"/>
    <s v="Reefer"/>
    <n v="4"/>
    <s v="Auto Parts"/>
    <n v="151768.12"/>
    <n v="45134.27"/>
    <n v="6710.19"/>
    <n v="4109.7"/>
    <n v="1517.68"/>
    <n v="632.83000000000004"/>
    <n v="2028.74"/>
    <n v="91634.71"/>
    <n v="8"/>
    <s v="Mechanical"/>
    <n v="376.12"/>
    <s v="Delayed"/>
    <s v="Pending"/>
    <s v="Critical"/>
    <s v="M. Ahmed"/>
    <s v="North America"/>
    <d v="2025-09-01T00:00:00"/>
  </r>
  <r>
    <s v="SHP00099"/>
    <s v="BK50099"/>
    <d v="2025-10-18T00:00:00"/>
    <d v="2025-10-19T00:00:00"/>
    <d v="2025-11-11T00:00:00"/>
    <s v="IKEA"/>
    <s v="Retail"/>
    <s v="Sweden"/>
    <s v="Busan"/>
    <s v="Los Angeles"/>
    <x v="3"/>
    <s v="OOCL Hong Kong"/>
    <s v="High Cube"/>
    <n v="4"/>
    <s v="Food"/>
    <n v="152808.59"/>
    <n v="31790.34"/>
    <n v="8460.76"/>
    <n v="2288.75"/>
    <n v="1528.09"/>
    <n v="268.70999999999998"/>
    <n v="1041.06"/>
    <n v="107430.88"/>
    <n v="8"/>
    <s v="Customs"/>
    <n v="264.92"/>
    <s v="Delayed"/>
    <s v="Paid"/>
    <s v="Standard"/>
    <s v="R. Mehta"/>
    <s v="North America"/>
    <d v="2025-10-01T00:00:00"/>
  </r>
  <r>
    <s v="SHP00144"/>
    <s v="BK50144"/>
    <d v="2025-03-19T00:00:00"/>
    <d v="2025-03-20T00:00:00"/>
    <d v="2025-04-06T00:00:00"/>
    <s v="Reliance"/>
    <s v="Retail"/>
    <s v="India"/>
    <s v="Rotterdam"/>
    <s v="Busan"/>
    <x v="2"/>
    <s v="MSC Gülsün"/>
    <s v="Reefer"/>
    <n v="4"/>
    <s v="Electronics"/>
    <n v="152811.39000000001"/>
    <n v="42315.839999999997"/>
    <n v="7104.37"/>
    <n v="3778.52"/>
    <n v="1528.11"/>
    <n v="458.53"/>
    <n v="1195.75"/>
    <n v="96430.27"/>
    <n v="24"/>
    <s v="Weather"/>
    <n v="352.63"/>
    <s v="Delayed"/>
    <s v="Pending"/>
    <s v="High"/>
    <s v="J. Smith"/>
    <s v="Asia"/>
    <d v="2025-03-01T00:00:00"/>
  </r>
  <r>
    <s v="SHP00340"/>
    <s v="BK50340"/>
    <d v="2025-01-25T00:00:00"/>
    <d v="2025-01-27T00:00:00"/>
    <d v="2025-02-23T00:00:00"/>
    <s v="LG"/>
    <s v="Electronics"/>
    <s v="South Korea"/>
    <s v="Los Angeles"/>
    <s v="Shanghai"/>
    <x v="2"/>
    <s v="Madrid Maersk"/>
    <s v="20FT"/>
    <n v="4"/>
    <s v="Chemicals"/>
    <n v="153519.73000000001"/>
    <n v="28633.42"/>
    <n v="8096.61"/>
    <n v="2259.6799999999998"/>
    <n v="1535.2"/>
    <n v="338.57"/>
    <n v="1877.22"/>
    <n v="110779.03"/>
    <n v="12"/>
    <s v="Labor Strike"/>
    <n v="238.61"/>
    <s v="Delayed"/>
    <s v="Paid"/>
    <s v="Critical"/>
    <s v="M. Ahmed"/>
    <s v="North America"/>
    <d v="2025-01-01T00:00:00"/>
  </r>
  <r>
    <s v="SHP00648"/>
    <s v="BK50648"/>
    <d v="2025-10-10T00:00:00"/>
    <d v="2025-10-11T00:00:00"/>
    <d v="2025-11-06T00:00:00"/>
    <s v="Toyota"/>
    <s v="Automotive"/>
    <s v="Japan"/>
    <s v="Shanghai"/>
    <s v="Jebel Ali"/>
    <x v="2"/>
    <s v="Madrid Maersk"/>
    <s v="40FT"/>
    <n v="4"/>
    <s v="Textiles"/>
    <n v="153590.19"/>
    <n v="30482.12"/>
    <n v="9838.39"/>
    <n v="3060.26"/>
    <n v="1535.9"/>
    <n v="158.5"/>
    <n v="881.64"/>
    <n v="107633.38"/>
    <n v="4"/>
    <s v="Port Congestion"/>
    <n v="254.02"/>
    <s v="Delayed"/>
    <s v="Pending"/>
    <s v="Critical"/>
    <s v="L. Chen"/>
    <s v="Europe"/>
    <d v="2025-10-01T00:00:00"/>
  </r>
  <r>
    <s v="SHP00657"/>
    <s v="BK50657"/>
    <d v="2025-05-05T00:00:00"/>
    <d v="2025-05-06T00:00:00"/>
    <d v="2025-05-22T00:00:00"/>
    <s v="Siemens"/>
    <s v="Engineering"/>
    <s v="Germany"/>
    <s v="Singapore"/>
    <s v="Busan"/>
    <x v="2"/>
    <s v="OOCL Hong Kong"/>
    <s v="40FT"/>
    <n v="4"/>
    <s v="Food"/>
    <n v="153734.75"/>
    <n v="40887.54"/>
    <n v="8347.27"/>
    <n v="4457.7"/>
    <n v="1537.35"/>
    <n v="198.63"/>
    <n v="2158.9499999999998"/>
    <n v="96147.31"/>
    <n v="0"/>
    <s v="None"/>
    <n v="340.73"/>
    <s v="Completed"/>
    <s v="Paid"/>
    <s v="High"/>
    <s v="J. Smith"/>
    <s v="Europe"/>
    <d v="2025-05-01T00:00:00"/>
  </r>
  <r>
    <s v="SHP00040"/>
    <s v="BK50040"/>
    <d v="2025-09-28T00:00:00"/>
    <d v="2025-09-29T00:00:00"/>
    <d v="2025-10-27T00:00:00"/>
    <s v="Siemens"/>
    <s v="Engineering"/>
    <s v="Germany"/>
    <s v="Busan"/>
    <s v="Los Angeles"/>
    <x v="3"/>
    <s v="MSC Gülsün"/>
    <s v="Reefer"/>
    <n v="4"/>
    <s v="Food"/>
    <n v="153940.6"/>
    <n v="43251.7"/>
    <n v="11603.46"/>
    <n v="1941.62"/>
    <n v="1539.41"/>
    <n v="186.3"/>
    <n v="1718.54"/>
    <n v="93699.57"/>
    <n v="48"/>
    <s v="Weather"/>
    <n v="360.43"/>
    <s v="Delayed"/>
    <s v="Paid"/>
    <s v="Standard"/>
    <s v="M. Ahmed"/>
    <s v="Middle East"/>
    <d v="2025-09-01T00:00:00"/>
  </r>
  <r>
    <s v="SHP00497"/>
    <s v="BK50497"/>
    <d v="2025-09-21T00:00:00"/>
    <d v="2025-09-22T00:00:00"/>
    <d v="2025-10-11T00:00:00"/>
    <s v="Unilever"/>
    <s v="FMCG"/>
    <s v="UK"/>
    <s v="Nhava Sheva"/>
    <s v="Rotterdam"/>
    <x v="2"/>
    <s v="OOCL Hong Kong"/>
    <s v="40FT"/>
    <n v="4"/>
    <s v="Machinery"/>
    <n v="154292.03"/>
    <n v="30700.74"/>
    <n v="11026.98"/>
    <n v="2468.2600000000002"/>
    <n v="1542.92"/>
    <n v="476.23"/>
    <n v="361.17"/>
    <n v="107715.73"/>
    <n v="48"/>
    <s v="Port Congestion"/>
    <n v="255.84"/>
    <s v="Delayed"/>
    <s v="Pending"/>
    <s v="Standard"/>
    <s v="L. Chen"/>
    <s v="North America"/>
    <d v="2025-09-01T00:00:00"/>
  </r>
  <r>
    <s v="SHP00088"/>
    <s v="BK50088"/>
    <d v="2025-06-03T00:00:00"/>
    <d v="2025-06-07T00:00:00"/>
    <d v="2025-06-25T00:00:00"/>
    <s v="Pfizer"/>
    <s v="Pharma"/>
    <s v="USA"/>
    <s v="Colombo"/>
    <s v="Shanghai"/>
    <x v="2"/>
    <s v="MSC Gülsün"/>
    <s v="Reefer"/>
    <n v="4"/>
    <s v="Chemicals"/>
    <n v="154540.21"/>
    <n v="37576.400000000001"/>
    <n v="10241.77"/>
    <n v="2445.34"/>
    <n v="1545.4"/>
    <n v="756.05"/>
    <n v="492.56"/>
    <n v="101482.69"/>
    <n v="36"/>
    <s v="Weather"/>
    <n v="313.14"/>
    <s v="Delayed"/>
    <s v="Pending"/>
    <s v="Standard"/>
    <s v="M. Ahmed"/>
    <s v="Asia"/>
    <d v="2025-06-01T00:00:00"/>
  </r>
  <r>
    <s v="SHP00922"/>
    <s v="BK50922"/>
    <d v="2025-03-20T00:00:00"/>
    <d v="2025-03-22T00:00:00"/>
    <d v="2025-04-19T00:00:00"/>
    <s v="LG"/>
    <s v="Electronics"/>
    <s v="South Korea"/>
    <s v="Singapore"/>
    <s v="Rotterdam"/>
    <x v="1"/>
    <s v="Ever Ace"/>
    <s v="20FT"/>
    <n v="4"/>
    <s v="Chemicals"/>
    <n v="155290.01"/>
    <n v="42137.65"/>
    <n v="10334.59"/>
    <n v="3456.8"/>
    <n v="1552.9"/>
    <n v="215.59"/>
    <n v="365.11"/>
    <n v="97227.37"/>
    <n v="12"/>
    <s v="Customs"/>
    <n v="351.15"/>
    <s v="Delayed"/>
    <s v="Pending"/>
    <s v="Critical"/>
    <s v="L. Chen"/>
    <s v="Europe"/>
    <d v="2025-03-01T00:00:00"/>
  </r>
  <r>
    <s v="SHP00410"/>
    <s v="BK50410"/>
    <d v="2025-05-17T00:00:00"/>
    <d v="2025-05-18T00:00:00"/>
    <d v="2025-06-14T00:00:00"/>
    <s v="Siemens"/>
    <s v="Engineering"/>
    <s v="Germany"/>
    <s v="Singapore"/>
    <s v="Rotterdam"/>
    <x v="1"/>
    <s v="Ever Ace"/>
    <s v="20FT"/>
    <n v="4"/>
    <s v="Auto Parts"/>
    <n v="155399.95000000001"/>
    <n v="26128.05"/>
    <n v="6223.99"/>
    <n v="4259.95"/>
    <n v="1554"/>
    <n v="749.12"/>
    <n v="1829.48"/>
    <n v="114655.36"/>
    <n v="0"/>
    <s v="None"/>
    <n v="217.73"/>
    <s v="Completed"/>
    <s v="Pending"/>
    <s v="Critical"/>
    <s v="L. Chen"/>
    <s v="Europe"/>
    <d v="2025-05-01T00:00:00"/>
  </r>
  <r>
    <s v="SHP00172"/>
    <s v="BK50172"/>
    <d v="2025-09-15T00:00:00"/>
    <d v="2025-09-19T00:00:00"/>
    <d v="2025-10-17T00:00:00"/>
    <s v="Siemens"/>
    <s v="Engineering"/>
    <s v="Germany"/>
    <s v="New York"/>
    <s v="Nhava Sheva"/>
    <x v="2"/>
    <s v="Mary Maersk"/>
    <s v="High Cube"/>
    <n v="4"/>
    <s v="Electronics"/>
    <n v="155863.24"/>
    <n v="44539.98"/>
    <n v="6472.89"/>
    <n v="2724.9"/>
    <n v="1558.63"/>
    <n v="686.29"/>
    <n v="840.78"/>
    <n v="99039.77"/>
    <n v="0"/>
    <s v="None"/>
    <n v="371.17"/>
    <s v="Completed"/>
    <s v="Paid"/>
    <s v="High"/>
    <s v="L. Chen"/>
    <s v="Asia"/>
    <d v="2025-09-01T00:00:00"/>
  </r>
  <r>
    <s v="SHP00301"/>
    <s v="BK50301"/>
    <d v="2025-03-26T00:00:00"/>
    <d v="2025-03-30T00:00:00"/>
    <d v="2025-04-25T00:00:00"/>
    <s v="Nestlé"/>
    <s v="Food"/>
    <s v="Switzerland"/>
    <s v="Singapore"/>
    <s v="Rotterdam"/>
    <x v="1"/>
    <s v="Monaco Maersk"/>
    <s v="40FT"/>
    <n v="4"/>
    <s v="Food"/>
    <n v="155931.93"/>
    <n v="36185.230000000003"/>
    <n v="9385.89"/>
    <n v="2472.96"/>
    <n v="1559.32"/>
    <n v="120"/>
    <n v="767.88"/>
    <n v="105440.65"/>
    <n v="0"/>
    <s v="None"/>
    <n v="301.54000000000002"/>
    <s v="Completed"/>
    <s v="Paid"/>
    <s v="High"/>
    <s v="A. Tan"/>
    <s v="North America"/>
    <d v="2025-03-01T00:00:00"/>
  </r>
  <r>
    <s v="SHP00496"/>
    <s v="BK50496"/>
    <d v="2025-08-13T00:00:00"/>
    <d v="2025-08-16T00:00:00"/>
    <d v="2025-08-31T00:00:00"/>
    <s v="Reliance"/>
    <s v="Retail"/>
    <s v="India"/>
    <s v="Shanghai"/>
    <s v="Rotterdam"/>
    <x v="1"/>
    <s v="Mumbai Maersk"/>
    <s v="High Cube"/>
    <n v="4"/>
    <s v="Auto Parts"/>
    <n v="156736.46"/>
    <n v="40196.82"/>
    <n v="10802.93"/>
    <n v="1906.71"/>
    <n v="1567.36"/>
    <n v="797.22"/>
    <n v="2375.64"/>
    <n v="99089.78"/>
    <n v="24"/>
    <s v="Port Congestion"/>
    <n v="334.97"/>
    <s v="Delayed"/>
    <s v="Paid"/>
    <s v="Critical"/>
    <s v="J. Smith"/>
    <s v="Europe"/>
    <d v="2025-08-01T00:00:00"/>
  </r>
  <r>
    <s v="SHP00407"/>
    <s v="BK50407"/>
    <d v="2025-01-06T00:00:00"/>
    <d v="2025-01-08T00:00:00"/>
    <d v="2025-02-02T00:00:00"/>
    <s v="Siemens"/>
    <s v="Engineering"/>
    <s v="Germany"/>
    <s v="Singapore"/>
    <s v="Rotterdam"/>
    <x v="1"/>
    <s v="CMA CGM Jacques Saadé"/>
    <s v="20FT"/>
    <n v="4"/>
    <s v="Furniture"/>
    <n v="157135.89000000001"/>
    <n v="30719.41"/>
    <n v="8426.2900000000009"/>
    <n v="3885.69"/>
    <n v="1571.36"/>
    <n v="152.68"/>
    <n v="974.1"/>
    <n v="111406.36"/>
    <n v="0"/>
    <s v="None"/>
    <n v="256"/>
    <s v="Completed"/>
    <s v="Paid"/>
    <s v="High"/>
    <s v="R. Mehta"/>
    <s v="Europe"/>
    <d v="2025-01-01T00:00:00"/>
  </r>
  <r>
    <s v="SHP00135"/>
    <s v="BK50135"/>
    <d v="2025-02-01T00:00:00"/>
    <d v="2025-02-02T00:00:00"/>
    <d v="2025-02-12T00:00:00"/>
    <s v="Pfizer"/>
    <s v="Pharma"/>
    <s v="USA"/>
    <s v="Colombo"/>
    <s v="Singapore"/>
    <x v="4"/>
    <s v="Mary Maersk"/>
    <s v="Reefer"/>
    <n v="4"/>
    <s v="Textiles"/>
    <n v="157560.15"/>
    <n v="45859.93"/>
    <n v="8887.3700000000008"/>
    <n v="3667.04"/>
    <n v="1575.6"/>
    <n v="307.69"/>
    <n v="626.34"/>
    <n v="96636.18"/>
    <n v="0"/>
    <s v="None"/>
    <n v="382.17"/>
    <s v="Completed"/>
    <s v="Paid"/>
    <s v="High"/>
    <s v="J. Smith"/>
    <s v="Middle East"/>
    <d v="2025-02-01T00:00:00"/>
  </r>
  <r>
    <s v="SHP00833"/>
    <s v="BK50833"/>
    <d v="2025-01-27T00:00:00"/>
    <d v="2025-01-29T00:00:00"/>
    <d v="2025-02-14T00:00:00"/>
    <s v="Unilever"/>
    <s v="FMCG"/>
    <s v="UK"/>
    <s v="Hamburg"/>
    <s v="Los Angeles"/>
    <x v="2"/>
    <s v="MSC Gülsün"/>
    <s v="40FT"/>
    <n v="4"/>
    <s v="Electronics"/>
    <n v="158547.63"/>
    <n v="45801.440000000002"/>
    <n v="10550.56"/>
    <n v="3291.35"/>
    <n v="1585.48"/>
    <n v="537.02"/>
    <n v="2204.6"/>
    <n v="94577.18"/>
    <n v="36"/>
    <s v="Port Congestion"/>
    <n v="381.68"/>
    <s v="Delayed"/>
    <s v="Pending"/>
    <s v="Critical"/>
    <s v="R. Mehta"/>
    <s v="Middle East"/>
    <d v="2025-01-01T00:00:00"/>
  </r>
  <r>
    <s v="SHP00924"/>
    <s v="BK50924"/>
    <d v="2025-08-03T00:00:00"/>
    <d v="2025-08-05T00:00:00"/>
    <d v="2025-08-21T00:00:00"/>
    <s v="LG"/>
    <s v="Electronics"/>
    <s v="South Korea"/>
    <s v="Colombo"/>
    <s v="Singapore"/>
    <x v="4"/>
    <s v="CMA CGM Jacques Saadé"/>
    <s v="High Cube"/>
    <n v="4"/>
    <s v="Textiles"/>
    <n v="158698.66"/>
    <n v="40898.370000000003"/>
    <n v="8471.7800000000007"/>
    <n v="1939.74"/>
    <n v="1586.99"/>
    <n v="511.41"/>
    <n v="2449.79"/>
    <n v="102840.58"/>
    <n v="12"/>
    <s v="Port Congestion"/>
    <n v="340.82"/>
    <s v="Delayed"/>
    <s v="Pending"/>
    <s v="High"/>
    <s v="M. Ahmed"/>
    <s v="North America"/>
    <d v="2025-08-01T00:00:00"/>
  </r>
  <r>
    <s v="SHP00770"/>
    <s v="BK50770"/>
    <d v="2025-11-26T00:00:00"/>
    <d v="2025-11-27T00:00:00"/>
    <d v="2025-12-21T00:00:00"/>
    <s v="IKEA"/>
    <s v="Retail"/>
    <s v="Sweden"/>
    <s v="Singapore"/>
    <s v="Rotterdam"/>
    <x v="2"/>
    <s v="Monaco Maersk"/>
    <s v="40FT"/>
    <n v="4"/>
    <s v="Food"/>
    <n v="158724.6"/>
    <n v="39752.31"/>
    <n v="9471.9"/>
    <n v="4679.17"/>
    <n v="1587.25"/>
    <n v="204.01"/>
    <n v="1186.0899999999999"/>
    <n v="101843.87"/>
    <n v="36"/>
    <s v="Customs"/>
    <n v="331.27"/>
    <s v="Delayed"/>
    <s v="Paid"/>
    <s v="Critical"/>
    <s v="R. Mehta"/>
    <s v="Middle East"/>
    <d v="2025-11-01T00:00:00"/>
  </r>
  <r>
    <s v="SHP00601"/>
    <s v="BK50601"/>
    <d v="2025-04-28T00:00:00"/>
    <d v="2025-04-29T00:00:00"/>
    <d v="2025-05-12T00:00:00"/>
    <s v="Amazon"/>
    <s v="E-commerce"/>
    <s v="USA"/>
    <s v="Busan"/>
    <s v="Los Angeles"/>
    <x v="3"/>
    <s v="OOCL Hong Kong"/>
    <s v="40FT"/>
    <n v="4"/>
    <s v="Furniture"/>
    <n v="159787.17000000001"/>
    <n v="28006.49"/>
    <n v="12235.98"/>
    <n v="3669.74"/>
    <n v="1597.87"/>
    <n v="333.88"/>
    <n v="2249.33"/>
    <n v="111693.88"/>
    <n v="48"/>
    <s v="Customs"/>
    <n v="233.39"/>
    <s v="Delayed"/>
    <s v="Paid"/>
    <s v="High"/>
    <s v="L. Chen"/>
    <s v="Europe"/>
    <d v="2025-04-01T00:00:00"/>
  </r>
  <r>
    <s v="SHP00974"/>
    <s v="BK50974"/>
    <d v="2025-08-08T00:00:00"/>
    <d v="2025-08-09T00:00:00"/>
    <d v="2025-08-31T00:00:00"/>
    <s v="Toyota"/>
    <s v="Automotive"/>
    <s v="Japan"/>
    <s v="Colombo"/>
    <s v="Singapore"/>
    <x v="4"/>
    <s v="Mumbai Maersk"/>
    <s v="Reefer"/>
    <n v="4"/>
    <s v="Auto Parts"/>
    <n v="160633.66"/>
    <n v="29102.68"/>
    <n v="8483.74"/>
    <n v="4530.29"/>
    <n v="1606.34"/>
    <n v="761.71"/>
    <n v="1140.1099999999999"/>
    <n v="115008.79"/>
    <n v="36"/>
    <s v="Port Congestion"/>
    <n v="242.52"/>
    <s v="Delayed"/>
    <s v="Paid"/>
    <s v="High"/>
    <s v="L. Chen"/>
    <s v="Asia"/>
    <d v="2025-08-01T00:00:00"/>
  </r>
  <r>
    <s v="SHP00633"/>
    <s v="BK50633"/>
    <d v="2025-07-25T00:00:00"/>
    <d v="2025-07-27T00:00:00"/>
    <d v="2025-08-22T00:00:00"/>
    <s v="Bosch"/>
    <s v="Manufacturing"/>
    <s v="Germany"/>
    <s v="Singapore"/>
    <s v="Rotterdam"/>
    <x v="1"/>
    <s v="CMA CGM Jacques Saadé"/>
    <s v="Reefer"/>
    <n v="4"/>
    <s v="Textiles"/>
    <n v="160706.25"/>
    <n v="31670.46"/>
    <n v="10279.629999999999"/>
    <n v="4376.04"/>
    <n v="1607.06"/>
    <n v="821.74"/>
    <n v="949.66"/>
    <n v="111001.66"/>
    <n v="48"/>
    <s v="Port Congestion"/>
    <n v="263.92"/>
    <s v="Delayed"/>
    <s v="Pending"/>
    <s v="Standard"/>
    <s v="R. Mehta"/>
    <s v="Asia"/>
    <d v="2025-07-01T00:00:00"/>
  </r>
  <r>
    <s v="SHP00107"/>
    <s v="BK50107"/>
    <d v="2025-10-06T00:00:00"/>
    <d v="2025-10-09T00:00:00"/>
    <d v="2025-10-29T00:00:00"/>
    <s v="Pfizer"/>
    <s v="Pharma"/>
    <s v="USA"/>
    <s v="Singapore"/>
    <s v="Rotterdam"/>
    <x v="1"/>
    <s v="CMA CGM Jacques Saadé"/>
    <s v="High Cube"/>
    <n v="4"/>
    <s v="Textiles"/>
    <n v="163216.49"/>
    <n v="30689.14"/>
    <n v="11660.53"/>
    <n v="3227.77"/>
    <n v="1632.16"/>
    <n v="166.41"/>
    <n v="979.14"/>
    <n v="114861.34"/>
    <n v="4"/>
    <s v="Mechanical"/>
    <n v="255.74"/>
    <s v="Delayed"/>
    <s v="Pending"/>
    <s v="Standard"/>
    <s v="J. Smith"/>
    <s v="Europe"/>
    <d v="2025-10-01T00:00:00"/>
  </r>
  <r>
    <s v="SHP00233"/>
    <s v="BK50233"/>
    <d v="2025-05-27T00:00:00"/>
    <d v="2025-05-30T00:00:00"/>
    <d v="2025-06-17T00:00:00"/>
    <s v="IKEA"/>
    <s v="Retail"/>
    <s v="Sweden"/>
    <s v="Shanghai"/>
    <s v="Rotterdam"/>
    <x v="1"/>
    <s v="OOCL Hong Kong"/>
    <s v="Reefer"/>
    <n v="4"/>
    <s v="Food"/>
    <n v="164255.12"/>
    <n v="33440.879999999997"/>
    <n v="8411.15"/>
    <n v="3246.52"/>
    <n v="1642.55"/>
    <n v="882.46"/>
    <n v="1953.29"/>
    <n v="114678.27"/>
    <n v="8"/>
    <s v="Customs"/>
    <n v="278.67"/>
    <s v="Delayed"/>
    <s v="Pending"/>
    <s v="Critical"/>
    <s v="J. Smith"/>
    <s v="Middle East"/>
    <d v="2025-05-01T00:00:00"/>
  </r>
  <r>
    <s v="SHP00016"/>
    <s v="BK50016"/>
    <d v="2025-09-25T00:00:00"/>
    <d v="2025-09-28T00:00:00"/>
    <d v="2025-10-27T00:00:00"/>
    <s v="IKEA"/>
    <s v="Retail"/>
    <s v="Sweden"/>
    <s v="Busan"/>
    <s v="Los Angeles"/>
    <x v="3"/>
    <s v="Monaco Maersk"/>
    <s v="20FT"/>
    <n v="4"/>
    <s v="Chemicals"/>
    <n v="164628.16"/>
    <n v="41835.53"/>
    <n v="11526.81"/>
    <n v="4436.37"/>
    <n v="1646.28"/>
    <n v="415.15"/>
    <n v="1096.43"/>
    <n v="103671.59"/>
    <n v="48"/>
    <s v="Port Congestion"/>
    <n v="348.63"/>
    <s v="Delayed"/>
    <s v="Pending"/>
    <s v="Standard"/>
    <s v="L. Chen"/>
    <s v="Asia"/>
    <d v="2025-09-01T00:00:00"/>
  </r>
  <r>
    <s v="SHP00243"/>
    <s v="BK50243"/>
    <d v="2025-01-20T00:00:00"/>
    <d v="2025-01-22T00:00:00"/>
    <d v="2025-02-05T00:00:00"/>
    <s v="Samsung"/>
    <s v="Electronics"/>
    <s v="South Korea"/>
    <s v="Jebel Ali"/>
    <s v="Nhava Sheva"/>
    <x v="0"/>
    <s v="Monaco Maersk"/>
    <s v="Reefer"/>
    <n v="4"/>
    <s v="Auto Parts"/>
    <n v="165009.53"/>
    <n v="30610.11"/>
    <n v="6883.92"/>
    <n v="3648.77"/>
    <n v="1650.1"/>
    <n v="192.6"/>
    <n v="1485.77"/>
    <n v="120538.26"/>
    <n v="8"/>
    <s v="Labor Strike"/>
    <n v="255.08"/>
    <s v="Delayed"/>
    <s v="Pending"/>
    <s v="Standard"/>
    <s v="M. Ahmed"/>
    <s v="Asia"/>
    <d v="2025-01-01T00:00:00"/>
  </r>
  <r>
    <s v="SHP00537"/>
    <s v="BK50537"/>
    <d v="2025-08-11T00:00:00"/>
    <d v="2025-08-12T00:00:00"/>
    <d v="2025-08-23T00:00:00"/>
    <s v="Pfizer"/>
    <s v="Pharma"/>
    <s v="USA"/>
    <s v="Colombo"/>
    <s v="Singapore"/>
    <x v="4"/>
    <s v="CMA CGM Jacques Saadé"/>
    <s v="20FT"/>
    <n v="4"/>
    <s v="Electronics"/>
    <n v="165395.25"/>
    <n v="36892.06"/>
    <n v="8234.19"/>
    <n v="3737.85"/>
    <n v="1653.95"/>
    <n v="682.98"/>
    <n v="606.73"/>
    <n v="113587.49"/>
    <n v="4"/>
    <s v="Mechanical"/>
    <n v="307.43"/>
    <s v="Delayed"/>
    <s v="Paid"/>
    <s v="Critical"/>
    <s v="A. Tan"/>
    <s v="Middle East"/>
    <d v="2025-08-01T00:00:00"/>
  </r>
  <r>
    <s v="SHP00824"/>
    <s v="BK50824"/>
    <d v="2025-05-21T00:00:00"/>
    <d v="2025-05-25T00:00:00"/>
    <d v="2025-06-19T00:00:00"/>
    <s v="Nestlé"/>
    <s v="Food"/>
    <s v="Switzerland"/>
    <s v="Colombo"/>
    <s v="Singapore"/>
    <x v="4"/>
    <s v="Ever Ace"/>
    <s v="20FT"/>
    <n v="4"/>
    <s v="Chemicals"/>
    <n v="166542.6"/>
    <n v="49563.1"/>
    <n v="9781.51"/>
    <n v="4568.17"/>
    <n v="1665.43"/>
    <n v="309.51"/>
    <n v="1393.08"/>
    <n v="99261.8"/>
    <n v="0"/>
    <s v="None"/>
    <n v="413.03"/>
    <s v="Completed"/>
    <s v="Paid"/>
    <s v="Critical"/>
    <s v="M. Ahmed"/>
    <s v="Asia"/>
    <d v="2025-05-01T00:00:00"/>
  </r>
  <r>
    <s v="SHP00747"/>
    <s v="BK50747"/>
    <d v="2025-06-21T00:00:00"/>
    <d v="2025-06-24T00:00:00"/>
    <d v="2025-07-08T00:00:00"/>
    <s v="Bosch"/>
    <s v="Manufacturing"/>
    <s v="Germany"/>
    <s v="Nhava Sheva"/>
    <s v="Nhava Sheva"/>
    <x v="2"/>
    <s v="OOCL Hong Kong"/>
    <s v="40FT"/>
    <n v="4"/>
    <s v="Furniture"/>
    <n v="167817.04"/>
    <n v="38977.589999999997"/>
    <n v="12813.21"/>
    <n v="2086.0700000000002"/>
    <n v="1678.17"/>
    <n v="817.9"/>
    <n v="2246.08"/>
    <n v="109198.02"/>
    <n v="8"/>
    <s v="Weather"/>
    <n v="324.81"/>
    <s v="Delayed"/>
    <s v="Pending"/>
    <s v="Standard"/>
    <s v="J. Smith"/>
    <s v="Asia"/>
    <d v="2025-06-01T00:00:00"/>
  </r>
  <r>
    <s v="SHP00198"/>
    <s v="BK50198"/>
    <d v="2025-09-17T00:00:00"/>
    <d v="2025-09-20T00:00:00"/>
    <d v="2025-10-05T00:00:00"/>
    <s v="Siemens"/>
    <s v="Engineering"/>
    <s v="Germany"/>
    <s v="Shanghai"/>
    <s v="Rotterdam"/>
    <x v="1"/>
    <s v="CMA CGM Jacques Saadé"/>
    <s v="20FT"/>
    <n v="4"/>
    <s v="Furniture"/>
    <n v="168348.07"/>
    <n v="31828.2"/>
    <n v="7444.01"/>
    <n v="3222.31"/>
    <n v="1683.48"/>
    <n v="554.72"/>
    <n v="1199.94"/>
    <n v="122415.41"/>
    <n v="0"/>
    <s v="None"/>
    <n v="265.24"/>
    <s v="Completed"/>
    <s v="Pending"/>
    <s v="Standard"/>
    <s v="A. Tan"/>
    <s v="Asia"/>
    <d v="2025-09-01T00:00:00"/>
  </r>
  <r>
    <s v="SHP00255"/>
    <s v="BK50255"/>
    <d v="2025-06-05T00:00:00"/>
    <d v="2025-06-08T00:00:00"/>
    <d v="2025-06-24T00:00:00"/>
    <s v="Toyota"/>
    <s v="Automotive"/>
    <s v="Japan"/>
    <s v="Jebel Ali"/>
    <s v="Nhava Sheva"/>
    <x v="0"/>
    <s v="CMA CGM Jacques Saadé"/>
    <s v="Reefer"/>
    <n v="4"/>
    <s v="Textiles"/>
    <n v="168440.11"/>
    <n v="33196.870000000003"/>
    <n v="8849.42"/>
    <n v="1824.88"/>
    <n v="1684.4"/>
    <n v="488.53"/>
    <n v="1627.48"/>
    <n v="120768.53"/>
    <n v="12"/>
    <s v="Labor Strike"/>
    <n v="276.64"/>
    <s v="Delayed"/>
    <s v="Pending"/>
    <s v="Standard"/>
    <s v="A. Tan"/>
    <s v="Middle East"/>
    <d v="2025-06-01T00:00:00"/>
  </r>
  <r>
    <s v="SHP00891"/>
    <s v="BK50891"/>
    <d v="2025-02-26T00:00:00"/>
    <d v="2025-02-27T00:00:00"/>
    <d v="2025-03-19T00:00:00"/>
    <s v="Toyota"/>
    <s v="Automotive"/>
    <s v="Japan"/>
    <s v="Colombo"/>
    <s v="Singapore"/>
    <x v="4"/>
    <s v="Ever Ace"/>
    <s v="40FT"/>
    <n v="4"/>
    <s v="Machinery"/>
    <n v="168540.49"/>
    <n v="49370.35"/>
    <n v="9801.84"/>
    <n v="2764.42"/>
    <n v="1685.4"/>
    <n v="282.20999999999998"/>
    <n v="1177.8"/>
    <n v="103458.47"/>
    <n v="0"/>
    <s v="None"/>
    <n v="411.42"/>
    <s v="Completed"/>
    <s v="Paid"/>
    <s v="Standard"/>
    <s v="R. Mehta"/>
    <s v="North America"/>
    <d v="2025-02-01T00:00:00"/>
  </r>
  <r>
    <s v="SHP00692"/>
    <s v="BK50692"/>
    <d v="2025-12-11T00:00:00"/>
    <d v="2025-12-13T00:00:00"/>
    <d v="2025-12-29T00:00:00"/>
    <s v="Amazon"/>
    <s v="E-commerce"/>
    <s v="USA"/>
    <s v="Colombo"/>
    <s v="Singapore"/>
    <x v="4"/>
    <s v="Monaco Maersk"/>
    <s v="Reefer"/>
    <n v="4"/>
    <s v="Machinery"/>
    <n v="168624.75"/>
    <n v="32783.129999999997"/>
    <n v="8027.06"/>
    <n v="2354.21"/>
    <n v="1686.25"/>
    <n v="115.79"/>
    <n v="1619.17"/>
    <n v="122039.14"/>
    <n v="0"/>
    <s v="None"/>
    <n v="273.19"/>
    <s v="Completed"/>
    <s v="Pending"/>
    <s v="High"/>
    <s v="R. Mehta"/>
    <s v="Europe"/>
    <d v="2025-12-01T00:00:00"/>
  </r>
  <r>
    <s v="SHP00793"/>
    <s v="BK50793"/>
    <d v="2025-09-26T00:00:00"/>
    <d v="2025-09-30T00:00:00"/>
    <d v="2025-10-13T00:00:00"/>
    <s v="Unilever"/>
    <s v="FMCG"/>
    <s v="UK"/>
    <s v="Busan"/>
    <s v="Los Angeles"/>
    <x v="3"/>
    <s v="Mary Maersk"/>
    <s v="20FT"/>
    <n v="4"/>
    <s v="Textiles"/>
    <n v="168664.95"/>
    <n v="48677.42"/>
    <n v="9921.23"/>
    <n v="2444.16"/>
    <n v="1686.65"/>
    <n v="375.67"/>
    <n v="901.38"/>
    <n v="104658.44"/>
    <n v="12"/>
    <s v="Labor Strike"/>
    <n v="405.65"/>
    <s v="Delayed"/>
    <s v="Pending"/>
    <s v="Critical"/>
    <s v="J. Smith"/>
    <s v="Asia"/>
    <d v="2025-09-01T00:00:00"/>
  </r>
  <r>
    <s v="SHP00813"/>
    <s v="BK50813"/>
    <d v="2025-09-09T00:00:00"/>
    <d v="2025-09-11T00:00:00"/>
    <d v="2025-09-22T00:00:00"/>
    <s v="Adidas"/>
    <s v="Retail"/>
    <s v="Germany"/>
    <s v="Singapore"/>
    <s v="Rotterdam"/>
    <x v="1"/>
    <s v="Mary Maersk"/>
    <s v="20FT"/>
    <n v="4"/>
    <s v="Furniture"/>
    <n v="170680.95"/>
    <n v="47106.38"/>
    <n v="13530.11"/>
    <n v="3376.99"/>
    <n v="1706.81"/>
    <n v="395.48"/>
    <n v="1686.63"/>
    <n v="102878.55"/>
    <n v="0"/>
    <s v="None"/>
    <n v="392.55"/>
    <s v="Completed"/>
    <s v="Pending"/>
    <s v="High"/>
    <s v="J. Smith"/>
    <s v="Europe"/>
    <d v="2025-09-01T00:00:00"/>
  </r>
  <r>
    <s v="SHP00438"/>
    <s v="BK50438"/>
    <d v="2025-09-12T00:00:00"/>
    <d v="2025-09-15T00:00:00"/>
    <d v="2025-10-01T00:00:00"/>
    <s v="Reliance"/>
    <s v="Retail"/>
    <s v="India"/>
    <s v="New York"/>
    <s v="New York"/>
    <x v="2"/>
    <s v="CMA CGM Jacques Saadé"/>
    <s v="Reefer"/>
    <n v="4"/>
    <s v="Chemicals"/>
    <n v="170906.14"/>
    <n v="44479.67"/>
    <n v="11010.12"/>
    <n v="2179.21"/>
    <n v="1709.06"/>
    <n v="390.39"/>
    <n v="867.38"/>
    <n v="110270.31"/>
    <n v="36"/>
    <s v="Labor Strike"/>
    <n v="370.66"/>
    <s v="Delayed"/>
    <s v="Paid"/>
    <s v="Critical"/>
    <s v="J. Smith"/>
    <s v="Europe"/>
    <d v="2025-09-01T00:00:00"/>
  </r>
  <r>
    <s v="SHP00559"/>
    <s v="BK50559"/>
    <d v="2025-05-22T00:00:00"/>
    <d v="2025-05-24T00:00:00"/>
    <d v="2025-06-05T00:00:00"/>
    <s v="Siemens"/>
    <s v="Engineering"/>
    <s v="Germany"/>
    <s v="Busan"/>
    <s v="Los Angeles"/>
    <x v="3"/>
    <s v="MSC Gülsün"/>
    <s v="High Cube"/>
    <n v="4"/>
    <s v="Textiles"/>
    <n v="171513.69"/>
    <n v="42523.31"/>
    <n v="9497.44"/>
    <n v="4254.88"/>
    <n v="1715.14"/>
    <n v="865.77"/>
    <n v="1594.66"/>
    <n v="111062.49"/>
    <n v="8"/>
    <s v="Weather"/>
    <n v="354.36"/>
    <s v="Delayed"/>
    <s v="Paid"/>
    <s v="Standard"/>
    <s v="J. Smith"/>
    <s v="Europe"/>
    <d v="2025-05-01T00:00:00"/>
  </r>
  <r>
    <s v="SHP00360"/>
    <s v="BK50360"/>
    <d v="2025-10-10T00:00:00"/>
    <d v="2025-10-12T00:00:00"/>
    <d v="2025-11-01T00:00:00"/>
    <s v="Siemens"/>
    <s v="Engineering"/>
    <s v="Germany"/>
    <s v="Busan"/>
    <s v="Los Angeles"/>
    <x v="3"/>
    <s v="OOCL Hong Kong"/>
    <s v="40FT"/>
    <n v="4"/>
    <s v="Auto Parts"/>
    <n v="171665.71"/>
    <n v="44594.17"/>
    <n v="11630.82"/>
    <n v="1763.17"/>
    <n v="1716.66"/>
    <n v="110.92"/>
    <n v="1295.73"/>
    <n v="110554.24000000001"/>
    <n v="12"/>
    <s v="Port Congestion"/>
    <n v="371.62"/>
    <s v="Delayed"/>
    <s v="Pending"/>
    <s v="High"/>
    <s v="M. Ahmed"/>
    <s v="North America"/>
    <d v="2025-10-01T00:00:00"/>
  </r>
  <r>
    <s v="SHP00025"/>
    <s v="BK50025"/>
    <d v="2025-03-31T00:00:00"/>
    <d v="2025-04-02T00:00:00"/>
    <d v="2025-04-18T00:00:00"/>
    <s v="Adidas"/>
    <s v="Retail"/>
    <s v="Germany"/>
    <s v="Shanghai"/>
    <s v="Rotterdam"/>
    <x v="1"/>
    <s v="OOCL Hong Kong"/>
    <s v="20FT"/>
    <n v="4"/>
    <s v="Machinery"/>
    <n v="172340.72"/>
    <n v="40500.21"/>
    <n v="8284.33"/>
    <n v="2572.6799999999998"/>
    <n v="1723.41"/>
    <n v="803.43"/>
    <n v="1937.15"/>
    <n v="116519.51"/>
    <n v="48"/>
    <s v="Port Congestion"/>
    <n v="337.5"/>
    <s v="Delayed"/>
    <s v="Paid"/>
    <s v="Critical"/>
    <s v="A. Tan"/>
    <s v="Middle East"/>
    <d v="2025-03-01T00:00:00"/>
  </r>
  <r>
    <s v="SHP00574"/>
    <s v="BK50574"/>
    <d v="2025-04-02T00:00:00"/>
    <d v="2025-04-05T00:00:00"/>
    <d v="2025-04-20T00:00:00"/>
    <s v="Siemens"/>
    <s v="Engineering"/>
    <s v="Germany"/>
    <s v="Singapore"/>
    <s v="Rotterdam"/>
    <x v="1"/>
    <s v="Madrid Maersk"/>
    <s v="High Cube"/>
    <n v="4"/>
    <s v="Machinery"/>
    <n v="172786.46"/>
    <n v="47824.480000000003"/>
    <n v="10046.82"/>
    <n v="1875.37"/>
    <n v="1727.86"/>
    <n v="853.01"/>
    <n v="1750.59"/>
    <n v="108708.33"/>
    <n v="12"/>
    <s v="Customs"/>
    <n v="398.54"/>
    <s v="Delayed"/>
    <s v="Pending"/>
    <s v="High"/>
    <s v="M. Ahmed"/>
    <s v="Europe"/>
    <d v="2025-04-01T00:00:00"/>
  </r>
  <r>
    <s v="SHP00306"/>
    <s v="BK50306"/>
    <d v="2025-01-04T00:00:00"/>
    <d v="2025-01-05T00:00:00"/>
    <d v="2025-01-21T00:00:00"/>
    <s v="Nestlé"/>
    <s v="Food"/>
    <s v="Switzerland"/>
    <s v="Shanghai"/>
    <s v="Singapore"/>
    <x v="2"/>
    <s v="Madrid Maersk"/>
    <s v="40FT"/>
    <n v="4"/>
    <s v="Furniture"/>
    <n v="172817.64"/>
    <n v="34728.97"/>
    <n v="9125.7000000000007"/>
    <n v="2243.7800000000002"/>
    <n v="1728.18"/>
    <n v="446.22"/>
    <n v="797.74"/>
    <n v="123747.05"/>
    <n v="12"/>
    <s v="Labor Strike"/>
    <n v="289.41000000000003"/>
    <s v="Delayed"/>
    <s v="Paid"/>
    <s v="Standard"/>
    <s v="L. Chen"/>
    <s v="Europe"/>
    <d v="2025-01-01T00:00:00"/>
  </r>
  <r>
    <s v="SHP00339"/>
    <s v="BK50339"/>
    <d v="2025-03-16T00:00:00"/>
    <d v="2025-03-19T00:00:00"/>
    <d v="2025-04-15T00:00:00"/>
    <s v="Unilever"/>
    <s v="FMCG"/>
    <s v="UK"/>
    <s v="Jebel Ali"/>
    <s v="Nhava Sheva"/>
    <x v="0"/>
    <s v="CMA CGM Jacques Saadé"/>
    <s v="40FT"/>
    <n v="4"/>
    <s v="Machinery"/>
    <n v="172860.73"/>
    <n v="35993.18"/>
    <n v="12811.89"/>
    <n v="4151.33"/>
    <n v="1728.61"/>
    <n v="812.65"/>
    <n v="1525.5"/>
    <n v="115837.57"/>
    <n v="24"/>
    <s v="Port Congestion"/>
    <n v="299.94"/>
    <s v="Delayed"/>
    <s v="Paid"/>
    <s v="Standard"/>
    <s v="L. Chen"/>
    <s v="Europe"/>
    <d v="2025-03-01T00:00:00"/>
  </r>
  <r>
    <s v="SHP00917"/>
    <s v="BK50917"/>
    <d v="2025-12-16T00:00:00"/>
    <d v="2025-12-17T00:00:00"/>
    <d v="2026-01-01T00:00:00"/>
    <s v="Reliance"/>
    <s v="Retail"/>
    <s v="India"/>
    <s v="Jebel Ali"/>
    <s v="Nhava Sheva"/>
    <x v="0"/>
    <s v="Mumbai Maersk"/>
    <s v="20FT"/>
    <n v="4"/>
    <s v="Chemicals"/>
    <n v="173542.87"/>
    <n v="44903.18"/>
    <n v="11137.31"/>
    <n v="3136.88"/>
    <n v="1735.43"/>
    <n v="143.81"/>
    <n v="1843.5"/>
    <n v="110642.76"/>
    <n v="12"/>
    <s v="Labor Strike"/>
    <n v="374.19"/>
    <s v="Delayed"/>
    <s v="Pending"/>
    <s v="Critical"/>
    <s v="M. Ahmed"/>
    <s v="North America"/>
    <d v="2025-12-01T00:00:00"/>
  </r>
  <r>
    <s v="SHP00810"/>
    <s v="BK50810"/>
    <d v="2025-10-14T00:00:00"/>
    <d v="2025-10-16T00:00:00"/>
    <d v="2025-11-05T00:00:00"/>
    <s v="Adidas"/>
    <s v="Retail"/>
    <s v="Germany"/>
    <s v="Singapore"/>
    <s v="Rotterdam"/>
    <x v="1"/>
    <s v="CMA CGM Jacques Saadé"/>
    <s v="20FT"/>
    <n v="4"/>
    <s v="Auto Parts"/>
    <n v="173885.88"/>
    <n v="42437.77"/>
    <n v="9167.1"/>
    <n v="2673.79"/>
    <n v="1738.86"/>
    <n v="163.44"/>
    <n v="677.25"/>
    <n v="117027.67"/>
    <n v="0"/>
    <s v="None"/>
    <n v="353.65"/>
    <s v="Completed"/>
    <s v="Paid"/>
    <s v="Critical"/>
    <s v="A. Tan"/>
    <s v="Asia"/>
    <d v="2025-10-01T00:00:00"/>
  </r>
  <r>
    <s v="SHP00168"/>
    <s v="BK50168"/>
    <d v="2025-03-27T00:00:00"/>
    <d v="2025-03-28T00:00:00"/>
    <d v="2025-04-25T00:00:00"/>
    <s v="Pfizer"/>
    <s v="Pharma"/>
    <s v="USA"/>
    <s v="Singapore"/>
    <s v="Rotterdam"/>
    <x v="1"/>
    <s v="Ever Ace"/>
    <s v="Reefer"/>
    <n v="4"/>
    <s v="Machinery"/>
    <n v="175692.18"/>
    <n v="30162.35"/>
    <n v="7941.15"/>
    <n v="4952.2700000000004"/>
    <n v="1756.92"/>
    <n v="845.11"/>
    <n v="1979.48"/>
    <n v="128054.9"/>
    <n v="48"/>
    <s v="Mechanical"/>
    <n v="251.35"/>
    <s v="Delayed"/>
    <s v="Paid"/>
    <s v="Critical"/>
    <s v="R. Mehta"/>
    <s v="Middle East"/>
    <d v="2025-03-01T00:00:00"/>
  </r>
  <r>
    <s v="SHP00033"/>
    <s v="BK50033"/>
    <d v="2025-09-30T00:00:00"/>
    <d v="2025-10-01T00:00:00"/>
    <d v="2025-10-20T00:00:00"/>
    <s v="Pfizer"/>
    <s v="Pharma"/>
    <s v="USA"/>
    <s v="New York"/>
    <s v="Jebel Ali"/>
    <x v="2"/>
    <s v="Mary Maersk"/>
    <s v="20FT"/>
    <n v="4"/>
    <s v="Chemicals"/>
    <n v="177919.26"/>
    <n v="52552.46"/>
    <n v="13393.57"/>
    <n v="4000.28"/>
    <n v="1779.19"/>
    <n v="832.28"/>
    <n v="2089.5"/>
    <n v="103271.98"/>
    <n v="0"/>
    <s v="None"/>
    <n v="437.94"/>
    <s v="Completed"/>
    <s v="Paid"/>
    <s v="High"/>
    <s v="R. Mehta"/>
    <s v="Middle East"/>
    <d v="2025-09-01T00:00:00"/>
  </r>
  <r>
    <s v="SHP00740"/>
    <s v="BK50740"/>
    <d v="2025-09-07T00:00:00"/>
    <d v="2025-09-10T00:00:00"/>
    <d v="2025-09-21T00:00:00"/>
    <s v="Unilever"/>
    <s v="FMCG"/>
    <s v="UK"/>
    <s v="Jebel Ali"/>
    <s v="Nhava Sheva"/>
    <x v="0"/>
    <s v="CMA CGM Jacques Saadé"/>
    <s v="Reefer"/>
    <n v="4"/>
    <s v="Chemicals"/>
    <n v="178225.09"/>
    <n v="32908.769999999997"/>
    <n v="13627.97"/>
    <n v="1871.51"/>
    <n v="1782.25"/>
    <n v="166.32"/>
    <n v="972.16"/>
    <n v="126896.11"/>
    <n v="0"/>
    <s v="None"/>
    <n v="274.24"/>
    <s v="Completed"/>
    <s v="Paid"/>
    <s v="Critical"/>
    <s v="M. Ahmed"/>
    <s v="North America"/>
    <d v="2025-09-01T00:00:00"/>
  </r>
  <r>
    <s v="SHP00673"/>
    <s v="BK50673"/>
    <d v="2025-06-03T00:00:00"/>
    <d v="2025-06-05T00:00:00"/>
    <d v="2025-06-28T00:00:00"/>
    <s v="Adidas"/>
    <s v="Retail"/>
    <s v="Germany"/>
    <s v="Colombo"/>
    <s v="Hamburg"/>
    <x v="2"/>
    <s v="MSC Gülsün"/>
    <s v="High Cube"/>
    <n v="4"/>
    <s v="Auto Parts"/>
    <n v="179807.73"/>
    <n v="48800.86"/>
    <n v="13109.36"/>
    <n v="2282.79"/>
    <n v="1798.08"/>
    <n v="207.03"/>
    <n v="608.72"/>
    <n v="113000.89"/>
    <n v="0"/>
    <s v="None"/>
    <n v="406.67"/>
    <s v="Completed"/>
    <s v="Paid"/>
    <s v="Critical"/>
    <s v="R. Mehta"/>
    <s v="North America"/>
    <d v="2025-06-01T00:00:00"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BK50086"/>
    <d v="2025-08-18T00:00:00"/>
    <d v="2025-08-19T00:00:00"/>
    <d v="2025-09-04T00:00:00"/>
    <s v="Nestlé"/>
    <s v="Food"/>
    <s v="Switzerland"/>
    <s v="Jebel Ali"/>
    <s v="Nhava Sheva"/>
    <x v="0"/>
    <s v="Mumbai Maersk"/>
    <s v="40FT"/>
    <n v="1"/>
    <s v="Chemicals"/>
    <n v="6083.45"/>
    <n v="1433.79"/>
    <n v="474.42"/>
    <n v="80.459999999999994"/>
    <n v="60.83"/>
    <n v="462.42"/>
    <n v="779.57"/>
    <n v="2791.96"/>
    <n v="0"/>
    <s v="None"/>
    <n v="11.95"/>
    <s v="Completed"/>
    <s v="Pending"/>
    <s v="Standard"/>
    <s v="A. Tan"/>
    <s v="North America"/>
    <d v="2025-08-01T00:00:00"/>
    <x v="0"/>
  </r>
  <r>
    <x v="1"/>
    <s v="BK50142"/>
    <d v="2025-07-11T00:00:00"/>
    <d v="2025-07-13T00:00:00"/>
    <d v="2025-07-27T00:00:00"/>
    <s v="Adidas"/>
    <s v="Retail"/>
    <s v="Germany"/>
    <s v="Singapore"/>
    <s v="Rotterdam"/>
    <x v="1"/>
    <s v="Ever Ace"/>
    <s v="High Cube"/>
    <n v="1"/>
    <s v="Textiles"/>
    <n v="6256.61"/>
    <n v="1409.5"/>
    <n v="317.45"/>
    <n v="111.46"/>
    <n v="62.57"/>
    <n v="782.05"/>
    <n v="2119.91"/>
    <n v="1453.67"/>
    <n v="0"/>
    <s v="None"/>
    <n v="11.75"/>
    <s v="Completed"/>
    <s v="Pending"/>
    <s v="High"/>
    <s v="J. Smith"/>
    <s v="Asia"/>
    <d v="2025-07-01T00:00:00"/>
    <x v="1"/>
  </r>
  <r>
    <x v="2"/>
    <s v="BK50478"/>
    <d v="2025-03-19T00:00:00"/>
    <d v="2025-03-20T00:00:00"/>
    <d v="2025-04-16T00:00:00"/>
    <s v="Pfizer"/>
    <s v="Pharma"/>
    <s v="USA"/>
    <s v="Jebel Ali"/>
    <s v="Shanghai"/>
    <x v="2"/>
    <s v="Ever Ace"/>
    <s v="Reefer"/>
    <n v="1"/>
    <s v="Auto Parts"/>
    <n v="6364.11"/>
    <n v="1828.11"/>
    <n v="360.24"/>
    <n v="88.46"/>
    <n v="63.64"/>
    <n v="125.19"/>
    <n v="1343.88"/>
    <n v="2554.59"/>
    <n v="0"/>
    <s v="None"/>
    <n v="15.23"/>
    <s v="Completed"/>
    <s v="Paid"/>
    <s v="Critical"/>
    <s v="A. Tan"/>
    <s v="North America"/>
    <d v="2025-03-01T00:00:00"/>
    <x v="2"/>
  </r>
  <r>
    <x v="3"/>
    <s v="BK50231"/>
    <d v="2025-09-20T00:00:00"/>
    <d v="2025-09-23T00:00:00"/>
    <d v="2025-10-19T00:00:00"/>
    <s v="IKEA"/>
    <s v="Retail"/>
    <s v="Sweden"/>
    <s v="Singapore"/>
    <s v="Nhava Sheva"/>
    <x v="2"/>
    <s v="Monaco Maersk"/>
    <s v="High Cube"/>
    <n v="1"/>
    <s v="Textiles"/>
    <n v="6547.87"/>
    <n v="1453.45"/>
    <n v="500.31"/>
    <n v="90.41"/>
    <n v="65.48"/>
    <n v="196.05"/>
    <n v="628.15"/>
    <n v="3614.02"/>
    <n v="0"/>
    <s v="None"/>
    <n v="12.11"/>
    <s v="Completed"/>
    <s v="Paid"/>
    <s v="High"/>
    <s v="A. Tan"/>
    <s v="Middle East"/>
    <d v="2025-09-01T00:00:00"/>
    <x v="3"/>
  </r>
  <r>
    <x v="4"/>
    <s v="BK50651"/>
    <d v="2025-04-14T00:00:00"/>
    <d v="2025-04-15T00:00:00"/>
    <d v="2025-05-12T00:00:00"/>
    <s v="Amazon"/>
    <s v="E-commerce"/>
    <s v="USA"/>
    <s v="Busan"/>
    <s v="Los Angeles"/>
    <x v="3"/>
    <s v="Ever Ace"/>
    <s v="20FT"/>
    <n v="1"/>
    <s v="Textiles"/>
    <n v="6696.65"/>
    <n v="1556.01"/>
    <n v="499.91"/>
    <n v="200.53"/>
    <n v="66.97"/>
    <n v="421.56"/>
    <n v="364.8"/>
    <n v="3586.87"/>
    <n v="0"/>
    <s v="None"/>
    <n v="12.97"/>
    <s v="Completed"/>
    <s v="Paid"/>
    <s v="Standard"/>
    <s v="M. Ahmed"/>
    <s v="Europe"/>
    <d v="2025-04-01T00:00:00"/>
    <x v="2"/>
  </r>
  <r>
    <x v="5"/>
    <s v="BK50024"/>
    <d v="2025-10-30T00:00:00"/>
    <d v="2025-11-02T00:00:00"/>
    <d v="2025-11-24T00:00:00"/>
    <s v="Bosch"/>
    <s v="Manufacturing"/>
    <s v="Germany"/>
    <s v="Shanghai"/>
    <s v="Rotterdam"/>
    <x v="1"/>
    <s v="OOCL Hong Kong"/>
    <s v="20FT"/>
    <n v="1"/>
    <s v="Electronics"/>
    <n v="6831.78"/>
    <n v="1665.16"/>
    <n v="466"/>
    <n v="131.52000000000001"/>
    <n v="68.319999999999993"/>
    <n v="316.54000000000002"/>
    <n v="2373.2600000000002"/>
    <n v="1810.98"/>
    <n v="0"/>
    <s v="None"/>
    <n v="13.88"/>
    <s v="Completed"/>
    <s v="Pending"/>
    <s v="Critical"/>
    <s v="R. Mehta"/>
    <s v="Middle East"/>
    <d v="2025-10-01T00:00:00"/>
    <x v="4"/>
  </r>
  <r>
    <x v="6"/>
    <s v="BK50984"/>
    <d v="2025-03-11T00:00:00"/>
    <d v="2025-03-14T00:00:00"/>
    <d v="2025-03-25T00:00:00"/>
    <s v="Toyota"/>
    <s v="Automotive"/>
    <s v="Japan"/>
    <s v="Colombo"/>
    <s v="Singapore"/>
    <x v="4"/>
    <s v="OOCL Hong Kong"/>
    <s v="Reefer"/>
    <n v="1"/>
    <s v="Chemicals"/>
    <n v="6999.04"/>
    <n v="1447.59"/>
    <n v="530.4"/>
    <n v="70"/>
    <n v="69.989999999999995"/>
    <n v="249.71"/>
    <n v="1684.85"/>
    <n v="2946.5"/>
    <n v="8"/>
    <s v="Weather"/>
    <n v="12.06"/>
    <s v="Delayed"/>
    <s v="Pending"/>
    <s v="High"/>
    <s v="M. Ahmed"/>
    <s v="North America"/>
    <d v="2025-03-01T00:00:00"/>
    <x v="5"/>
  </r>
  <r>
    <x v="7"/>
    <s v="BK50127"/>
    <d v="2025-01-08T00:00:00"/>
    <d v="2025-01-12T00:00:00"/>
    <d v="2025-01-27T00:00:00"/>
    <s v="Nestlé"/>
    <s v="Food"/>
    <s v="Switzerland"/>
    <s v="Busan"/>
    <s v="Los Angeles"/>
    <x v="3"/>
    <s v="CMA CGM Jacques Saadé"/>
    <s v="40FT"/>
    <n v="1"/>
    <s v="Auto Parts"/>
    <n v="7050.89"/>
    <n v="1884.62"/>
    <n v="442.65"/>
    <n v="84.65"/>
    <n v="70.510000000000005"/>
    <n v="800.77"/>
    <n v="1834.02"/>
    <n v="1933.67"/>
    <n v="8"/>
    <s v="Weather"/>
    <n v="15.71"/>
    <s v="Delayed"/>
    <s v="Pending"/>
    <s v="Standard"/>
    <s v="R. Mehta"/>
    <s v="North America"/>
    <d v="2025-01-01T00:00:00"/>
    <x v="6"/>
  </r>
  <r>
    <x v="8"/>
    <s v="BK50444"/>
    <d v="2025-07-09T00:00:00"/>
    <d v="2025-07-12T00:00:00"/>
    <d v="2025-08-04T00:00:00"/>
    <s v="Siemens"/>
    <s v="Engineering"/>
    <s v="Germany"/>
    <s v="Singapore"/>
    <s v="Rotterdam"/>
    <x v="1"/>
    <s v="Mumbai Maersk"/>
    <s v="High Cube"/>
    <n v="1"/>
    <s v="Textiles"/>
    <n v="7263.55"/>
    <n v="1282.6099999999999"/>
    <n v="422.08"/>
    <n v="203.03"/>
    <n v="72.64"/>
    <n v="522.67999999999995"/>
    <n v="2151.63"/>
    <n v="2608.88"/>
    <n v="24"/>
    <s v="Weather"/>
    <n v="10.69"/>
    <s v="Delayed"/>
    <s v="Paid"/>
    <s v="High"/>
    <s v="L. Chen"/>
    <s v="Middle East"/>
    <d v="2025-07-01T00:00:00"/>
    <x v="7"/>
  </r>
  <r>
    <x v="9"/>
    <s v="BK50113"/>
    <d v="2025-11-24T00:00:00"/>
    <d v="2025-11-27T00:00:00"/>
    <d v="2025-12-20T00:00:00"/>
    <s v="LG"/>
    <s v="Electronics"/>
    <s v="South Korea"/>
    <s v="Colombo"/>
    <s v="Singapore"/>
    <x v="4"/>
    <s v="MSC Gülsün"/>
    <s v="20FT"/>
    <n v="1"/>
    <s v="Textiles"/>
    <n v="7466.22"/>
    <n v="1909.84"/>
    <n v="369.25"/>
    <n v="144.55000000000001"/>
    <n v="74.66"/>
    <n v="383.37"/>
    <n v="796.33"/>
    <n v="3788.22"/>
    <n v="36"/>
    <s v="Labor Strike"/>
    <n v="15.92"/>
    <s v="Delayed"/>
    <s v="Paid"/>
    <s v="Critical"/>
    <s v="J. Smith"/>
    <s v="Middle East"/>
    <d v="2025-11-01T00:00:00"/>
    <x v="7"/>
  </r>
  <r>
    <x v="10"/>
    <s v="BK50439"/>
    <d v="2025-10-02T00:00:00"/>
    <d v="2025-10-06T00:00:00"/>
    <d v="2025-10-30T00:00:00"/>
    <s v="Pfizer"/>
    <s v="Pharma"/>
    <s v="USA"/>
    <s v="Singapore"/>
    <s v="Rotterdam"/>
    <x v="1"/>
    <s v="MSC Gülsün"/>
    <s v="20FT"/>
    <n v="1"/>
    <s v="Furniture"/>
    <n v="7525.27"/>
    <n v="1988.29"/>
    <n v="366.84"/>
    <n v="143.02000000000001"/>
    <n v="75.25"/>
    <n v="806.2"/>
    <n v="752.75"/>
    <n v="3392.92"/>
    <n v="0"/>
    <s v="None"/>
    <n v="16.57"/>
    <s v="Completed"/>
    <s v="Pending"/>
    <s v="High"/>
    <s v="R. Mehta"/>
    <s v="Middle East"/>
    <d v="2025-10-01T00:00:00"/>
    <x v="8"/>
  </r>
  <r>
    <x v="11"/>
    <s v="BK50068"/>
    <d v="2025-01-15T00:00:00"/>
    <d v="2025-01-17T00:00:00"/>
    <d v="2025-02-12T00:00:00"/>
    <s v="Adidas"/>
    <s v="Retail"/>
    <s v="Germany"/>
    <s v="Singapore"/>
    <s v="Rotterdam"/>
    <x v="1"/>
    <s v="Mary Maersk"/>
    <s v="Reefer"/>
    <n v="1"/>
    <s v="Textiles"/>
    <n v="7543.88"/>
    <n v="1814.58"/>
    <n v="598.59"/>
    <n v="220.74"/>
    <n v="75.44"/>
    <n v="562.91999999999996"/>
    <n v="802.94"/>
    <n v="3468.67"/>
    <n v="0"/>
    <s v="None"/>
    <n v="15.12"/>
    <s v="Completed"/>
    <s v="Pending"/>
    <s v="High"/>
    <s v="R. Mehta"/>
    <s v="Europe"/>
    <d v="2025-01-01T00:00:00"/>
    <x v="3"/>
  </r>
  <r>
    <x v="12"/>
    <s v="BK50350"/>
    <d v="2025-07-05T00:00:00"/>
    <d v="2025-07-06T00:00:00"/>
    <d v="2025-07-27T00:00:00"/>
    <s v="Unilever"/>
    <s v="FMCG"/>
    <s v="UK"/>
    <s v="Singapore"/>
    <s v="Rotterdam"/>
    <x v="1"/>
    <s v="Mary Maersk"/>
    <s v="High Cube"/>
    <n v="1"/>
    <s v="Auto Parts"/>
    <n v="7773.65"/>
    <n v="1419.42"/>
    <n v="406.02"/>
    <n v="192.76"/>
    <n v="77.739999999999995"/>
    <n v="563.09"/>
    <n v="1396.19"/>
    <n v="3718.43"/>
    <n v="8"/>
    <s v="Labor Strike"/>
    <n v="11.83"/>
    <s v="Delayed"/>
    <s v="Paid"/>
    <s v="High"/>
    <s v="J. Smith"/>
    <s v="North America"/>
    <d v="2025-07-01T00:00:00"/>
    <x v="9"/>
  </r>
  <r>
    <x v="13"/>
    <s v="BK50158"/>
    <d v="2025-08-11T00:00:00"/>
    <d v="2025-08-13T00:00:00"/>
    <d v="2025-09-03T00:00:00"/>
    <s v="Unilever"/>
    <s v="FMCG"/>
    <s v="UK"/>
    <s v="Busan"/>
    <s v="Los Angeles"/>
    <x v="3"/>
    <s v="Mumbai Maersk"/>
    <s v="Reefer"/>
    <n v="1"/>
    <s v="Auto Parts"/>
    <n v="7773.66"/>
    <n v="1675.3"/>
    <n v="372.73"/>
    <n v="169.81"/>
    <n v="77.739999999999995"/>
    <n v="464.56"/>
    <n v="2155.69"/>
    <n v="2857.83"/>
    <n v="36"/>
    <s v="Labor Strike"/>
    <n v="13.96"/>
    <s v="Delayed"/>
    <s v="Paid"/>
    <s v="Standard"/>
    <s v="L. Chen"/>
    <s v="Asia"/>
    <d v="2025-08-01T00:00:00"/>
    <x v="9"/>
  </r>
  <r>
    <x v="14"/>
    <s v="BK50449"/>
    <d v="2025-11-29T00:00:00"/>
    <d v="2025-12-03T00:00:00"/>
    <d v="2025-12-28T00:00:00"/>
    <s v="Bosch"/>
    <s v="Manufacturing"/>
    <s v="Germany"/>
    <s v="Colombo"/>
    <s v="Singapore"/>
    <x v="4"/>
    <s v="Madrid Maersk"/>
    <s v="Reefer"/>
    <n v="1"/>
    <s v="Auto Parts"/>
    <n v="7809.72"/>
    <n v="2330.21"/>
    <n v="510.4"/>
    <n v="161.43"/>
    <n v="78.099999999999994"/>
    <n v="123.6"/>
    <n v="721.06"/>
    <n v="3884.92"/>
    <n v="12"/>
    <s v="Customs"/>
    <n v="19.420000000000002"/>
    <s v="Delayed"/>
    <s v="Pending"/>
    <s v="Critical"/>
    <s v="J. Smith"/>
    <s v="North America"/>
    <d v="2025-11-01T00:00:00"/>
    <x v="10"/>
  </r>
  <r>
    <x v="15"/>
    <s v="BK50157"/>
    <d v="2025-10-05T00:00:00"/>
    <d v="2025-10-09T00:00:00"/>
    <d v="2025-11-01T00:00:00"/>
    <s v="LG"/>
    <s v="Electronics"/>
    <s v="South Korea"/>
    <s v="Jebel Ali"/>
    <s v="Nhava Sheva"/>
    <x v="0"/>
    <s v="Ever Ace"/>
    <s v="Reefer"/>
    <n v="1"/>
    <s v="Machinery"/>
    <n v="7897.79"/>
    <n v="1628.69"/>
    <n v="556.42999999999995"/>
    <n v="224.65"/>
    <n v="78.98"/>
    <n v="444.72"/>
    <n v="2388.11"/>
    <n v="2576.21"/>
    <n v="8"/>
    <s v="Port Congestion"/>
    <n v="13.57"/>
    <s v="Delayed"/>
    <s v="Paid"/>
    <s v="High"/>
    <s v="L. Chen"/>
    <s v="Asia"/>
    <d v="2025-10-01T00:00:00"/>
    <x v="7"/>
  </r>
  <r>
    <x v="16"/>
    <s v="BK50925"/>
    <d v="2025-04-05T00:00:00"/>
    <d v="2025-04-09T00:00:00"/>
    <d v="2025-04-28T00:00:00"/>
    <s v="Bosch"/>
    <s v="Manufacturing"/>
    <s v="Germany"/>
    <s v="Colombo"/>
    <s v="Singapore"/>
    <x v="4"/>
    <s v="MSC Gülsün"/>
    <s v="Reefer"/>
    <n v="1"/>
    <s v="Food"/>
    <n v="8014.74"/>
    <n v="1346.41"/>
    <n v="573.88"/>
    <n v="109.69"/>
    <n v="80.150000000000006"/>
    <n v="458.07"/>
    <n v="1526.76"/>
    <n v="3919.78"/>
    <n v="8"/>
    <s v="Port Congestion"/>
    <n v="11.22"/>
    <s v="Delayed"/>
    <s v="Pending"/>
    <s v="Standard"/>
    <s v="M. Ahmed"/>
    <s v="Europe"/>
    <d v="2025-04-01T00:00:00"/>
    <x v="11"/>
  </r>
  <r>
    <x v="17"/>
    <s v="BK50597"/>
    <d v="2025-01-20T00:00:00"/>
    <d v="2025-01-21T00:00:00"/>
    <d v="2025-02-09T00:00:00"/>
    <s v="Reliance"/>
    <s v="Retail"/>
    <s v="India"/>
    <s v="Singapore"/>
    <s v="Colombo"/>
    <x v="2"/>
    <s v="OOCL Hong Kong"/>
    <s v="High Cube"/>
    <n v="1"/>
    <s v="Furniture"/>
    <n v="8561.08"/>
    <n v="1632.66"/>
    <n v="607.41"/>
    <n v="169.17"/>
    <n v="85.61"/>
    <n v="652.97"/>
    <n v="2255.9299999999998"/>
    <n v="3157.33"/>
    <n v="8"/>
    <s v="Labor Strike"/>
    <n v="13.61"/>
    <s v="Delayed"/>
    <s v="Pending"/>
    <s v="High"/>
    <s v="R. Mehta"/>
    <s v="Asia"/>
    <d v="2025-01-01T00:00:00"/>
    <x v="11"/>
  </r>
  <r>
    <x v="18"/>
    <s v="BK50631"/>
    <d v="2025-02-28T00:00:00"/>
    <d v="2025-03-02T00:00:00"/>
    <d v="2025-03-14T00:00:00"/>
    <s v="Reliance"/>
    <s v="Retail"/>
    <s v="India"/>
    <s v="Busan"/>
    <s v="Los Angeles"/>
    <x v="3"/>
    <s v="Mary Maersk"/>
    <s v="Reefer"/>
    <n v="1"/>
    <s v="Machinery"/>
    <n v="8648.36"/>
    <n v="2567.02"/>
    <n v="359.72"/>
    <n v="220.11"/>
    <n v="86.48"/>
    <n v="896.43"/>
    <n v="1959.49"/>
    <n v="2559.11"/>
    <n v="0"/>
    <s v="None"/>
    <n v="21.39"/>
    <s v="Completed"/>
    <s v="Pending"/>
    <s v="High"/>
    <s v="R. Mehta"/>
    <s v="Europe"/>
    <d v="2025-02-01T00:00:00"/>
    <x v="12"/>
  </r>
  <r>
    <x v="19"/>
    <s v="BK50921"/>
    <d v="2025-08-11T00:00:00"/>
    <d v="2025-08-12T00:00:00"/>
    <d v="2025-09-04T00:00:00"/>
    <s v="Amazon"/>
    <s v="E-commerce"/>
    <s v="USA"/>
    <s v="Busan"/>
    <s v="New York"/>
    <x v="2"/>
    <s v="MSC Gülsün"/>
    <s v="40FT"/>
    <n v="1"/>
    <s v="Electronics"/>
    <n v="8815.0499999999993"/>
    <n v="1896.1"/>
    <n v="541.51"/>
    <n v="94.08"/>
    <n v="88.15"/>
    <n v="395.23"/>
    <n v="1719.63"/>
    <n v="4080.35"/>
    <n v="0"/>
    <s v="None"/>
    <n v="15.8"/>
    <s v="Completed"/>
    <s v="Pending"/>
    <s v="Critical"/>
    <s v="R. Mehta"/>
    <s v="North America"/>
    <d v="2025-08-01T00:00:00"/>
    <x v="7"/>
  </r>
  <r>
    <x v="20"/>
    <s v="BK50526"/>
    <d v="2025-07-20T00:00:00"/>
    <d v="2025-07-23T00:00:00"/>
    <d v="2025-08-04T00:00:00"/>
    <s v="Bosch"/>
    <s v="Manufacturing"/>
    <s v="Germany"/>
    <s v="Jebel Ali"/>
    <s v="Nhava Sheva"/>
    <x v="0"/>
    <s v="Ever Ace"/>
    <s v="Reefer"/>
    <n v="1"/>
    <s v="Textiles"/>
    <n v="9479.27"/>
    <n v="1621.38"/>
    <n v="669.69"/>
    <n v="144.91999999999999"/>
    <n v="94.79"/>
    <n v="773.14"/>
    <n v="609.86"/>
    <n v="5565.49"/>
    <n v="12"/>
    <s v="Mechanical"/>
    <n v="13.51"/>
    <s v="Delayed"/>
    <s v="Pending"/>
    <s v="Critical"/>
    <s v="M. Ahmed"/>
    <s v="Asia"/>
    <d v="2025-07-01T00:00:00"/>
    <x v="12"/>
  </r>
  <r>
    <x v="21"/>
    <s v="BK50398"/>
    <d v="2025-12-05T00:00:00"/>
    <d v="2025-12-06T00:00:00"/>
    <d v="2025-12-21T00:00:00"/>
    <s v="Siemens"/>
    <s v="Engineering"/>
    <s v="Germany"/>
    <s v="Hamburg"/>
    <s v="Rotterdam"/>
    <x v="2"/>
    <s v="OOCL Hong Kong"/>
    <s v="Reefer"/>
    <n v="1"/>
    <s v="Chemicals"/>
    <n v="9581.57"/>
    <n v="1810.16"/>
    <n v="674.98"/>
    <n v="154.68"/>
    <n v="95.82"/>
    <n v="863.05"/>
    <n v="492.4"/>
    <n v="5490.48"/>
    <n v="48"/>
    <s v="Customs"/>
    <n v="15.08"/>
    <s v="Delayed"/>
    <s v="Pending"/>
    <s v="High"/>
    <s v="J. Smith"/>
    <s v="North America"/>
    <d v="2025-12-01T00:00:00"/>
    <x v="6"/>
  </r>
  <r>
    <x v="22"/>
    <s v="BK50151"/>
    <d v="2025-10-18T00:00:00"/>
    <d v="2025-10-21T00:00:00"/>
    <d v="2025-11-03T00:00:00"/>
    <s v="Bosch"/>
    <s v="Manufacturing"/>
    <s v="Germany"/>
    <s v="Shanghai"/>
    <s v="Rotterdam"/>
    <x v="1"/>
    <s v="Ever Ace"/>
    <s v="40FT"/>
    <n v="1"/>
    <s v="Textiles"/>
    <n v="9830.91"/>
    <n v="2508.3000000000002"/>
    <n v="622.15"/>
    <n v="162.82"/>
    <n v="98.31"/>
    <n v="276.27999999999997"/>
    <n v="410.77"/>
    <n v="5752.28"/>
    <n v="0"/>
    <s v="None"/>
    <n v="20.9"/>
    <s v="Completed"/>
    <s v="Paid"/>
    <s v="Critical"/>
    <s v="J. Smith"/>
    <s v="Asia"/>
    <d v="2025-10-01T00:00:00"/>
    <x v="13"/>
  </r>
  <r>
    <x v="23"/>
    <s v="BK50855"/>
    <d v="2025-10-29T00:00:00"/>
    <d v="2025-10-31T00:00:00"/>
    <d v="2025-11-13T00:00:00"/>
    <s v="IKEA"/>
    <s v="Retail"/>
    <s v="Sweden"/>
    <s v="Shanghai"/>
    <s v="Rotterdam"/>
    <x v="1"/>
    <s v="Ever Ace"/>
    <s v="High Cube"/>
    <n v="1"/>
    <s v="Furniture"/>
    <n v="10765.16"/>
    <n v="2999.34"/>
    <n v="847.15"/>
    <n v="169.62"/>
    <n v="107.65"/>
    <n v="725.39"/>
    <n v="2046.55"/>
    <n v="3869.46"/>
    <n v="0"/>
    <s v="None"/>
    <n v="24.99"/>
    <s v="Completed"/>
    <s v="Pending"/>
    <s v="Critical"/>
    <s v="M. Ahmed"/>
    <s v="Asia"/>
    <d v="2025-10-01T00:00:00"/>
    <x v="13"/>
  </r>
  <r>
    <x v="24"/>
    <s v="BK50899"/>
    <d v="2025-03-03T00:00:00"/>
    <d v="2025-03-06T00:00:00"/>
    <d v="2025-03-22T00:00:00"/>
    <s v="Unilever"/>
    <s v="FMCG"/>
    <s v="UK"/>
    <s v="Singapore"/>
    <s v="Rotterdam"/>
    <x v="1"/>
    <s v="Ever Ace"/>
    <s v="High Cube"/>
    <n v="1"/>
    <s v="Textiles"/>
    <n v="10768.39"/>
    <n v="2881.45"/>
    <n v="824.5"/>
    <n v="238.92"/>
    <n v="107.68"/>
    <n v="240.92"/>
    <n v="1273.03"/>
    <n v="5201.8900000000003"/>
    <n v="0"/>
    <s v="None"/>
    <n v="24.01"/>
    <s v="Completed"/>
    <s v="Pending"/>
    <s v="High"/>
    <s v="L. Chen"/>
    <s v="Europe"/>
    <d v="2025-03-01T00:00:00"/>
    <x v="0"/>
  </r>
  <r>
    <x v="25"/>
    <s v="BK50079"/>
    <d v="2025-05-01T00:00:00"/>
    <d v="2025-05-03T00:00:00"/>
    <d v="2025-05-21T00:00:00"/>
    <s v="Unilever"/>
    <s v="FMCG"/>
    <s v="UK"/>
    <s v="Colombo"/>
    <s v="Rotterdam"/>
    <x v="2"/>
    <s v="MSC Gülsün"/>
    <s v="40FT"/>
    <n v="1"/>
    <s v="Furniture"/>
    <n v="10802.64"/>
    <n v="3001.34"/>
    <n v="639.23"/>
    <n v="242.73"/>
    <n v="108.03"/>
    <n v="160.72"/>
    <n v="718.01"/>
    <n v="5932.58"/>
    <n v="0"/>
    <s v="None"/>
    <n v="25.01"/>
    <s v="Completed"/>
    <s v="Pending"/>
    <s v="High"/>
    <s v="R. Mehta"/>
    <s v="Asia"/>
    <d v="2025-05-01T00:00:00"/>
    <x v="14"/>
  </r>
  <r>
    <x v="26"/>
    <s v="BK50188"/>
    <d v="2025-09-28T00:00:00"/>
    <d v="2025-09-30T00:00:00"/>
    <d v="2025-10-27T00:00:00"/>
    <s v="Nestlé"/>
    <s v="Food"/>
    <s v="Switzerland"/>
    <s v="Singapore"/>
    <s v="Nhava Sheva"/>
    <x v="2"/>
    <s v="Ever Ace"/>
    <s v="20FT"/>
    <n v="1"/>
    <s v="Chemicals"/>
    <n v="10977.46"/>
    <n v="2050.42"/>
    <n v="675.03"/>
    <n v="250.97"/>
    <n v="109.77"/>
    <n v="295.14999999999998"/>
    <n v="2052.71"/>
    <n v="5543.41"/>
    <n v="0"/>
    <s v="None"/>
    <n v="17.09"/>
    <s v="Completed"/>
    <s v="Pending"/>
    <s v="High"/>
    <s v="A. Tan"/>
    <s v="North America"/>
    <d v="2025-09-01T00:00:00"/>
    <x v="2"/>
  </r>
  <r>
    <x v="27"/>
    <s v="BK50771"/>
    <d v="2025-11-22T00:00:00"/>
    <d v="2025-11-23T00:00:00"/>
    <d v="2025-12-19T00:00:00"/>
    <s v="Adidas"/>
    <s v="Retail"/>
    <s v="Germany"/>
    <s v="Rotterdam"/>
    <s v="New York"/>
    <x v="2"/>
    <s v="Madrid Maersk"/>
    <s v="High Cube"/>
    <n v="1"/>
    <s v="Textiles"/>
    <n v="11061.23"/>
    <n v="1773.82"/>
    <n v="637.74"/>
    <n v="255.12"/>
    <n v="110.61"/>
    <n v="764.08"/>
    <n v="1984.25"/>
    <n v="5535.61"/>
    <n v="0"/>
    <s v="None"/>
    <n v="14.78"/>
    <s v="Completed"/>
    <s v="Paid"/>
    <s v="Critical"/>
    <s v="M. Ahmed"/>
    <s v="Middle East"/>
    <d v="2025-11-01T00:00:00"/>
    <x v="3"/>
  </r>
  <r>
    <x v="28"/>
    <s v="BK50373"/>
    <d v="2025-04-19T00:00:00"/>
    <d v="2025-04-23T00:00:00"/>
    <d v="2025-05-09T00:00:00"/>
    <s v="LG"/>
    <s v="Electronics"/>
    <s v="South Korea"/>
    <s v="Hamburg"/>
    <s v="Shanghai"/>
    <x v="2"/>
    <s v="OOCL Hong Kong"/>
    <s v="20FT"/>
    <n v="1"/>
    <s v="Machinery"/>
    <n v="11286.29"/>
    <n v="3211.9"/>
    <n v="613.66"/>
    <n v="181.64"/>
    <n v="112.86"/>
    <n v="573.32000000000005"/>
    <n v="1702.93"/>
    <n v="4889.9799999999996"/>
    <n v="0"/>
    <s v="None"/>
    <n v="26.77"/>
    <s v="Completed"/>
    <s v="Paid"/>
    <s v="Critical"/>
    <s v="R. Mehta"/>
    <s v="North America"/>
    <d v="2025-04-01T00:00:00"/>
    <x v="0"/>
  </r>
  <r>
    <x v="29"/>
    <s v="BK50752"/>
    <d v="2025-07-23T00:00:00"/>
    <d v="2025-07-24T00:00:00"/>
    <d v="2025-08-05T00:00:00"/>
    <s v="Toyota"/>
    <s v="Automotive"/>
    <s v="Japan"/>
    <s v="Shanghai"/>
    <s v="Rotterdam"/>
    <x v="1"/>
    <s v="OOCL Hong Kong"/>
    <s v="High Cube"/>
    <n v="1"/>
    <s v="Textiles"/>
    <n v="11291.6"/>
    <n v="2094.6799999999998"/>
    <n v="457.49"/>
    <n v="206.53"/>
    <n v="112.92"/>
    <n v="182.6"/>
    <n v="2288.61"/>
    <n v="5948.77"/>
    <n v="0"/>
    <s v="None"/>
    <n v="17.46"/>
    <s v="Completed"/>
    <s v="Paid"/>
    <s v="High"/>
    <s v="J. Smith"/>
    <s v="Middle East"/>
    <d v="2025-07-01T00:00:00"/>
    <x v="12"/>
  </r>
  <r>
    <x v="30"/>
    <s v="BK50807"/>
    <d v="2025-01-16T00:00:00"/>
    <d v="2025-01-20T00:00:00"/>
    <d v="2025-01-30T00:00:00"/>
    <s v="Amazon"/>
    <s v="E-commerce"/>
    <s v="USA"/>
    <s v="Jebel Ali"/>
    <s v="Nhava Sheva"/>
    <x v="2"/>
    <s v="Mary Maersk"/>
    <s v="Reefer"/>
    <n v="1"/>
    <s v="Machinery"/>
    <n v="11296.83"/>
    <n v="2923.59"/>
    <n v="616.30999999999995"/>
    <n v="275.63"/>
    <n v="112.97"/>
    <n v="417.78"/>
    <n v="797.95"/>
    <n v="6152.6"/>
    <n v="8"/>
    <s v="Labor Strike"/>
    <n v="24.36"/>
    <s v="Delayed"/>
    <s v="Paid"/>
    <s v="Standard"/>
    <s v="L. Chen"/>
    <s v="Europe"/>
    <d v="2025-01-01T00:00:00"/>
    <x v="15"/>
  </r>
  <r>
    <x v="31"/>
    <s v="BK50803"/>
    <d v="2025-07-12T00:00:00"/>
    <d v="2025-07-16T00:00:00"/>
    <d v="2025-08-04T00:00:00"/>
    <s v="IKEA"/>
    <s v="Retail"/>
    <s v="Sweden"/>
    <s v="Singapore"/>
    <s v="Rotterdam"/>
    <x v="1"/>
    <s v="OOCL Hong Kong"/>
    <s v="40FT"/>
    <n v="1"/>
    <s v="Chemicals"/>
    <n v="11651.36"/>
    <n v="3039.06"/>
    <n v="882.27"/>
    <n v="195.93"/>
    <n v="116.51"/>
    <n v="712.61"/>
    <n v="989.36"/>
    <n v="5715.62"/>
    <n v="12"/>
    <s v="Weather"/>
    <n v="25.33"/>
    <s v="Delayed"/>
    <s v="Pending"/>
    <s v="Critical"/>
    <s v="R. Mehta"/>
    <s v="North America"/>
    <d v="2025-07-01T00:00:00"/>
    <x v="11"/>
  </r>
  <r>
    <x v="32"/>
    <s v="BK50202"/>
    <d v="2025-04-17T00:00:00"/>
    <d v="2025-04-18T00:00:00"/>
    <d v="2025-05-14T00:00:00"/>
    <s v="Amazon"/>
    <s v="E-commerce"/>
    <s v="USA"/>
    <s v="Shanghai"/>
    <s v="Nhava Sheva"/>
    <x v="2"/>
    <s v="Madrid Maersk"/>
    <s v="20FT"/>
    <n v="1"/>
    <s v="Auto Parts"/>
    <n v="11823.08"/>
    <n v="2480.19"/>
    <n v="603.64"/>
    <n v="137.72"/>
    <n v="118.23"/>
    <n v="824.84"/>
    <n v="2097.13"/>
    <n v="5561.33"/>
    <n v="8"/>
    <s v="Weather"/>
    <n v="20.67"/>
    <s v="Delayed"/>
    <s v="Pending"/>
    <s v="Standard"/>
    <s v="J. Smith"/>
    <s v="Europe"/>
    <d v="2025-04-01T00:00:00"/>
    <x v="3"/>
  </r>
  <r>
    <x v="33"/>
    <s v="BK50912"/>
    <d v="2025-02-17T00:00:00"/>
    <d v="2025-02-20T00:00:00"/>
    <d v="2025-03-18T00:00:00"/>
    <s v="Adidas"/>
    <s v="Retail"/>
    <s v="Germany"/>
    <s v="Jebel Ali"/>
    <s v="Nhava Sheva"/>
    <x v="0"/>
    <s v="Mumbai Maersk"/>
    <s v="40FT"/>
    <n v="1"/>
    <s v="Auto Parts"/>
    <n v="11896.25"/>
    <n v="2266.8000000000002"/>
    <n v="944.22"/>
    <n v="301.57"/>
    <n v="118.96"/>
    <n v="501.61"/>
    <n v="1317.22"/>
    <n v="6445.87"/>
    <n v="0"/>
    <s v="None"/>
    <n v="18.89"/>
    <s v="Completed"/>
    <s v="Pending"/>
    <s v="Standard"/>
    <s v="R. Mehta"/>
    <s v="North America"/>
    <d v="2025-02-01T00:00:00"/>
    <x v="3"/>
  </r>
  <r>
    <x v="34"/>
    <s v="BK50164"/>
    <d v="2025-12-22T00:00:00"/>
    <d v="2025-12-24T00:00:00"/>
    <d v="2026-01-06T00:00:00"/>
    <s v="Unilever"/>
    <s v="FMCG"/>
    <s v="UK"/>
    <s v="Singapore"/>
    <s v="Rotterdam"/>
    <x v="1"/>
    <s v="Madrid Maersk"/>
    <s v="High Cube"/>
    <n v="1"/>
    <s v="Auto Parts"/>
    <n v="12004.98"/>
    <n v="2243.48"/>
    <n v="694.31"/>
    <n v="229.26"/>
    <n v="120.05"/>
    <n v="770.71"/>
    <n v="1872.61"/>
    <n v="6074.56"/>
    <n v="4"/>
    <s v="Mechanical"/>
    <n v="18.7"/>
    <s v="Delayed"/>
    <s v="Pending"/>
    <s v="Critical"/>
    <s v="R. Mehta"/>
    <s v="Europe"/>
    <d v="2025-12-01T00:00:00"/>
    <x v="13"/>
  </r>
  <r>
    <x v="35"/>
    <s v="BK50649"/>
    <d v="2025-03-01T00:00:00"/>
    <d v="2025-03-05T00:00:00"/>
    <d v="2025-03-18T00:00:00"/>
    <s v="Nestlé"/>
    <s v="Food"/>
    <s v="Switzerland"/>
    <s v="Shanghai"/>
    <s v="Shanghai"/>
    <x v="2"/>
    <s v="Madrid Maersk"/>
    <s v="20FT"/>
    <n v="1"/>
    <s v="Auto Parts"/>
    <n v="12015.64"/>
    <n v="2447.2199999999998"/>
    <n v="829.46"/>
    <n v="275.87"/>
    <n v="120.16"/>
    <n v="837.53"/>
    <n v="1463.48"/>
    <n v="6041.92"/>
    <n v="0"/>
    <s v="None"/>
    <n v="20.39"/>
    <s v="Completed"/>
    <s v="Paid"/>
    <s v="Standard"/>
    <s v="M. Ahmed"/>
    <s v="Europe"/>
    <d v="2025-03-01T00:00:00"/>
    <x v="13"/>
  </r>
  <r>
    <x v="36"/>
    <s v="BK50981"/>
    <d v="2025-09-25T00:00:00"/>
    <d v="2025-09-26T00:00:00"/>
    <d v="2025-10-21T00:00:00"/>
    <s v="IKEA"/>
    <s v="Retail"/>
    <s v="Sweden"/>
    <s v="Busan"/>
    <s v="Los Angeles"/>
    <x v="3"/>
    <s v="OOCL Hong Kong"/>
    <s v="Reefer"/>
    <n v="1"/>
    <s v="Textiles"/>
    <n v="12023.56"/>
    <n v="3309.94"/>
    <n v="575.92999999999995"/>
    <n v="166.62"/>
    <n v="120.24"/>
    <n v="431.82"/>
    <n v="2499.91"/>
    <n v="4919.1000000000004"/>
    <n v="8"/>
    <s v="Labor Strike"/>
    <n v="27.58"/>
    <s v="Delayed"/>
    <s v="Paid"/>
    <s v="High"/>
    <s v="A. Tan"/>
    <s v="Europe"/>
    <d v="2025-09-01T00:00:00"/>
    <x v="10"/>
  </r>
  <r>
    <x v="37"/>
    <s v="BK50928"/>
    <d v="2025-05-06T00:00:00"/>
    <d v="2025-05-08T00:00:00"/>
    <d v="2025-05-21T00:00:00"/>
    <s v="Samsung"/>
    <s v="Electronics"/>
    <s v="South Korea"/>
    <s v="Jebel Ali"/>
    <s v="Nhava Sheva"/>
    <x v="0"/>
    <s v="OOCL Hong Kong"/>
    <s v="20FT"/>
    <n v="1"/>
    <s v="Electronics"/>
    <n v="12256.31"/>
    <n v="2607.08"/>
    <n v="675.07"/>
    <n v="234.46"/>
    <n v="122.56"/>
    <n v="582.42999999999995"/>
    <n v="729.25"/>
    <n v="7305.46"/>
    <n v="0"/>
    <s v="None"/>
    <n v="21.73"/>
    <s v="Completed"/>
    <s v="Paid"/>
    <s v="Standard"/>
    <s v="M. Ahmed"/>
    <s v="Middle East"/>
    <d v="2025-05-01T00:00:00"/>
    <x v="13"/>
  </r>
  <r>
    <x v="38"/>
    <s v="BK50331"/>
    <d v="2025-04-16T00:00:00"/>
    <d v="2025-04-19T00:00:00"/>
    <d v="2025-05-14T00:00:00"/>
    <s v="Nestlé"/>
    <s v="Food"/>
    <s v="Switzerland"/>
    <s v="Rotterdam"/>
    <s v="Jebel Ali"/>
    <x v="2"/>
    <s v="Ever Ace"/>
    <s v="20FT"/>
    <n v="1"/>
    <s v="Food"/>
    <n v="12260.25"/>
    <n v="2814.76"/>
    <n v="563.82000000000005"/>
    <n v="124.69"/>
    <n v="122.6"/>
    <n v="165.59"/>
    <n v="1498.19"/>
    <n v="6970.6"/>
    <n v="0"/>
    <s v="None"/>
    <n v="23.46"/>
    <s v="Completed"/>
    <s v="Pending"/>
    <s v="Standard"/>
    <s v="L. Chen"/>
    <s v="North America"/>
    <d v="2025-04-01T00:00:00"/>
    <x v="10"/>
  </r>
  <r>
    <x v="39"/>
    <s v="BK50988"/>
    <d v="2025-11-03T00:00:00"/>
    <d v="2025-11-04T00:00:00"/>
    <d v="2025-11-16T00:00:00"/>
    <s v="Reliance"/>
    <s v="Retail"/>
    <s v="India"/>
    <s v="Jebel Ali"/>
    <s v="Nhava Sheva"/>
    <x v="0"/>
    <s v="Mary Maersk"/>
    <s v="Reefer"/>
    <n v="1"/>
    <s v="Textiles"/>
    <n v="12294.77"/>
    <n v="2294.77"/>
    <n v="887.97"/>
    <n v="177.3"/>
    <n v="122.95"/>
    <n v="641.78"/>
    <n v="2077.7199999999998"/>
    <n v="6092.28"/>
    <n v="8"/>
    <s v="Port Congestion"/>
    <n v="19.12"/>
    <s v="Delayed"/>
    <s v="Pending"/>
    <s v="Standard"/>
    <s v="L. Chen"/>
    <s v="Asia"/>
    <d v="2025-11-01T00:00:00"/>
    <x v="12"/>
  </r>
  <r>
    <x v="40"/>
    <s v="BK50569"/>
    <d v="2025-03-01T00:00:00"/>
    <d v="2025-03-02T00:00:00"/>
    <d v="2025-03-16T00:00:00"/>
    <s v="Adidas"/>
    <s v="Retail"/>
    <s v="Germany"/>
    <s v="Colombo"/>
    <s v="Singapore"/>
    <x v="4"/>
    <s v="Mary Maersk"/>
    <s v="40FT"/>
    <n v="2"/>
    <s v="Food"/>
    <n v="12347.49"/>
    <n v="2317.04"/>
    <n v="896.33"/>
    <n v="267.44"/>
    <n v="123.47"/>
    <n v="757.53"/>
    <n v="1164.08"/>
    <n v="6821.6"/>
    <n v="24"/>
    <s v="Weather"/>
    <n v="19.309999999999999"/>
    <s v="Delayed"/>
    <s v="Pending"/>
    <s v="High"/>
    <s v="M. Ahmed"/>
    <s v="Middle East"/>
    <d v="2025-03-01T00:00:00"/>
    <x v="1"/>
  </r>
  <r>
    <x v="41"/>
    <s v="BK50349"/>
    <d v="2025-01-19T00:00:00"/>
    <d v="2025-01-21T00:00:00"/>
    <d v="2025-02-04T00:00:00"/>
    <s v="Nestlé"/>
    <s v="Food"/>
    <s v="Switzerland"/>
    <s v="Shanghai"/>
    <s v="Rotterdam"/>
    <x v="1"/>
    <s v="Mary Maersk"/>
    <s v="40FT"/>
    <n v="1"/>
    <s v="Furniture"/>
    <n v="12352.24"/>
    <n v="3321.7"/>
    <n v="525.48"/>
    <n v="136.06"/>
    <n v="123.52"/>
    <n v="551.53"/>
    <n v="2121.4499999999998"/>
    <n v="5572.5"/>
    <n v="4"/>
    <s v="Customs"/>
    <n v="27.68"/>
    <s v="Delayed"/>
    <s v="Pending"/>
    <s v="High"/>
    <s v="J. Smith"/>
    <s v="Europe"/>
    <d v="2025-01-01T00:00:00"/>
    <x v="1"/>
  </r>
  <r>
    <x v="42"/>
    <s v="BK50216"/>
    <d v="2025-05-07T00:00:00"/>
    <d v="2025-05-08T00:00:00"/>
    <d v="2025-05-24T00:00:00"/>
    <s v="Amazon"/>
    <s v="E-commerce"/>
    <s v="USA"/>
    <s v="Rotterdam"/>
    <s v="Busan"/>
    <x v="2"/>
    <s v="CMA CGM Jacques Saadé"/>
    <s v="40FT"/>
    <n v="1"/>
    <s v="Machinery"/>
    <n v="12537.65"/>
    <n v="3491.34"/>
    <n v="811.01"/>
    <n v="183.59"/>
    <n v="125.38"/>
    <n v="112.29"/>
    <n v="2031.33"/>
    <n v="5782.71"/>
    <n v="24"/>
    <s v="Port Congestion"/>
    <n v="29.09"/>
    <s v="Delayed"/>
    <s v="Pending"/>
    <s v="High"/>
    <s v="A. Tan"/>
    <s v="North America"/>
    <d v="2025-05-01T00:00:00"/>
    <x v="0"/>
  </r>
  <r>
    <x v="43"/>
    <s v="BK50592"/>
    <d v="2025-10-25T00:00:00"/>
    <d v="2025-10-28T00:00:00"/>
    <d v="2025-11-17T00:00:00"/>
    <s v="Samsung"/>
    <s v="Electronics"/>
    <s v="South Korea"/>
    <s v="Shanghai"/>
    <s v="Rotterdam"/>
    <x v="1"/>
    <s v="Mary Maersk"/>
    <s v="Reefer"/>
    <n v="2"/>
    <s v="Chemicals"/>
    <n v="12685.82"/>
    <n v="2471.71"/>
    <n v="725.86"/>
    <n v="187.58"/>
    <n v="126.86"/>
    <n v="168.6"/>
    <n v="1098.27"/>
    <n v="7906.94"/>
    <n v="0"/>
    <s v="None"/>
    <n v="20.6"/>
    <s v="Completed"/>
    <s v="Paid"/>
    <s v="Critical"/>
    <s v="L. Chen"/>
    <s v="Asia"/>
    <d v="2025-10-01T00:00:00"/>
    <x v="16"/>
  </r>
  <r>
    <x v="44"/>
    <s v="BK50292"/>
    <d v="2025-10-07T00:00:00"/>
    <d v="2025-10-08T00:00:00"/>
    <d v="2025-11-03T00:00:00"/>
    <s v="Siemens"/>
    <s v="Engineering"/>
    <s v="Germany"/>
    <s v="Busan"/>
    <s v="Los Angeles"/>
    <x v="3"/>
    <s v="Madrid Maersk"/>
    <s v="High Cube"/>
    <n v="2"/>
    <s v="Auto Parts"/>
    <n v="12720.49"/>
    <n v="3288.82"/>
    <n v="974.77"/>
    <n v="334.21"/>
    <n v="127.2"/>
    <n v="650.73"/>
    <n v="2119.06"/>
    <n v="5225.7"/>
    <n v="12"/>
    <s v="Mechanical"/>
    <n v="27.41"/>
    <s v="Delayed"/>
    <s v="Pending"/>
    <s v="Standard"/>
    <s v="M. Ahmed"/>
    <s v="Asia"/>
    <d v="2025-10-01T00:00:00"/>
    <x v="3"/>
  </r>
  <r>
    <x v="45"/>
    <s v="BK50987"/>
    <d v="2025-06-08T00:00:00"/>
    <d v="2025-06-09T00:00:00"/>
    <d v="2025-06-23T00:00:00"/>
    <s v="Bosch"/>
    <s v="Manufacturing"/>
    <s v="Germany"/>
    <s v="Shanghai"/>
    <s v="Rotterdam"/>
    <x v="1"/>
    <s v="MSC Gülsün"/>
    <s v="40FT"/>
    <n v="1"/>
    <s v="Textiles"/>
    <n v="12762.59"/>
    <n v="2445.5700000000002"/>
    <n v="638.04"/>
    <n v="208.12"/>
    <n v="127.63"/>
    <n v="119.16"/>
    <n v="1736.81"/>
    <n v="7487.26"/>
    <n v="36"/>
    <s v="Customs"/>
    <n v="20.38"/>
    <s v="Delayed"/>
    <s v="Paid"/>
    <s v="High"/>
    <s v="J. Smith"/>
    <s v="Middle East"/>
    <d v="2025-06-01T00:00:00"/>
    <x v="1"/>
  </r>
  <r>
    <x v="46"/>
    <s v="BK50057"/>
    <d v="2025-10-20T00:00:00"/>
    <d v="2025-10-22T00:00:00"/>
    <d v="2025-11-03T00:00:00"/>
    <s v="Bosch"/>
    <s v="Manufacturing"/>
    <s v="Germany"/>
    <s v="Hamburg"/>
    <s v="Busan"/>
    <x v="2"/>
    <s v="Mary Maersk"/>
    <s v="High Cube"/>
    <n v="2"/>
    <s v="Food"/>
    <n v="12794.03"/>
    <n v="2379"/>
    <n v="845.71"/>
    <n v="376.03"/>
    <n v="127.94"/>
    <n v="829.32"/>
    <n v="2387.39"/>
    <n v="5848.64"/>
    <n v="8"/>
    <s v="Customs"/>
    <n v="19.82"/>
    <s v="Delayed"/>
    <s v="Pending"/>
    <s v="Standard"/>
    <s v="R. Mehta"/>
    <s v="Asia"/>
    <d v="2025-10-01T00:00:00"/>
    <x v="12"/>
  </r>
  <r>
    <x v="47"/>
    <s v="BK50690"/>
    <d v="2025-04-05T00:00:00"/>
    <d v="2025-04-08T00:00:00"/>
    <d v="2025-05-05T00:00:00"/>
    <s v="Siemens"/>
    <s v="Engineering"/>
    <s v="Germany"/>
    <s v="Shanghai"/>
    <s v="Rotterdam"/>
    <x v="1"/>
    <s v="Mumbai Maersk"/>
    <s v="High Cube"/>
    <n v="2"/>
    <s v="Textiles"/>
    <n v="12813"/>
    <n v="2411.06"/>
    <n v="950.19"/>
    <n v="220.53"/>
    <n v="128.13"/>
    <n v="281.91000000000003"/>
    <n v="1476.45"/>
    <n v="7344.73"/>
    <n v="0"/>
    <s v="None"/>
    <n v="20.09"/>
    <s v="Completed"/>
    <s v="Paid"/>
    <s v="Standard"/>
    <s v="L. Chen"/>
    <s v="Asia"/>
    <d v="2025-04-01T00:00:00"/>
    <x v="2"/>
  </r>
  <r>
    <x v="48"/>
    <s v="BK50915"/>
    <d v="2025-11-24T00:00:00"/>
    <d v="2025-11-27T00:00:00"/>
    <d v="2025-12-08T00:00:00"/>
    <s v="IKEA"/>
    <s v="Retail"/>
    <s v="Sweden"/>
    <s v="Shanghai"/>
    <s v="Shanghai"/>
    <x v="2"/>
    <s v="Mumbai Maersk"/>
    <s v="20FT"/>
    <n v="1"/>
    <s v="Furniture"/>
    <n v="12841.27"/>
    <n v="2399.35"/>
    <n v="895.49"/>
    <n v="360.78"/>
    <n v="128.41"/>
    <n v="410.26"/>
    <n v="2214.91"/>
    <n v="6432.07"/>
    <n v="24"/>
    <s v="Labor Strike"/>
    <n v="19.989999999999998"/>
    <s v="Delayed"/>
    <s v="Pending"/>
    <s v="Critical"/>
    <s v="M. Ahmed"/>
    <s v="Middle East"/>
    <d v="2025-11-01T00:00:00"/>
    <x v="5"/>
  </r>
  <r>
    <x v="49"/>
    <s v="BK50520"/>
    <d v="2025-07-18T00:00:00"/>
    <d v="2025-07-22T00:00:00"/>
    <d v="2025-08-05T00:00:00"/>
    <s v="Toyota"/>
    <s v="Automotive"/>
    <s v="Japan"/>
    <s v="Rotterdam"/>
    <s v="Shanghai"/>
    <x v="2"/>
    <s v="OOCL Hong Kong"/>
    <s v="Reefer"/>
    <n v="1"/>
    <s v="Auto Parts"/>
    <n v="12864.98"/>
    <n v="3690.24"/>
    <n v="784.14"/>
    <n v="308.04000000000002"/>
    <n v="128.65"/>
    <n v="873.13"/>
    <n v="1654.8"/>
    <n v="5425.98"/>
    <n v="12"/>
    <s v="Weather"/>
    <n v="30.75"/>
    <s v="Delayed"/>
    <s v="Pending"/>
    <s v="High"/>
    <s v="M. Ahmed"/>
    <s v="North America"/>
    <d v="2025-07-01T00:00:00"/>
    <x v="1"/>
  </r>
  <r>
    <x v="50"/>
    <s v="BK50579"/>
    <d v="2025-05-14T00:00:00"/>
    <d v="2025-05-15T00:00:00"/>
    <d v="2025-06-05T00:00:00"/>
    <s v="Amazon"/>
    <s v="E-commerce"/>
    <s v="USA"/>
    <s v="Hamburg"/>
    <s v="Singapore"/>
    <x v="2"/>
    <s v="Monaco Maersk"/>
    <s v="40FT"/>
    <n v="1"/>
    <s v="Auto Parts"/>
    <n v="12916.82"/>
    <n v="2502.7600000000002"/>
    <n v="910.62"/>
    <n v="331.93"/>
    <n v="129.16999999999999"/>
    <n v="726.51"/>
    <n v="1584.97"/>
    <n v="6730.86"/>
    <n v="0"/>
    <s v="None"/>
    <n v="20.86"/>
    <s v="Completed"/>
    <s v="Paid"/>
    <s v="Critical"/>
    <s v="A. Tan"/>
    <s v="North America"/>
    <d v="2025-05-01T00:00:00"/>
    <x v="9"/>
  </r>
  <r>
    <x v="51"/>
    <s v="BK50982"/>
    <d v="2025-09-03T00:00:00"/>
    <d v="2025-09-05T00:00:00"/>
    <d v="2025-09-20T00:00:00"/>
    <s v="Adidas"/>
    <s v="Retail"/>
    <s v="Germany"/>
    <s v="Nhava Sheva"/>
    <s v="Hamburg"/>
    <x v="2"/>
    <s v="Madrid Maersk"/>
    <s v="Reefer"/>
    <n v="2"/>
    <s v="Machinery"/>
    <n v="12934.53"/>
    <n v="3631.72"/>
    <n v="891.86"/>
    <n v="374.47"/>
    <n v="129.35"/>
    <n v="583.91999999999996"/>
    <n v="1881.43"/>
    <n v="5441.78"/>
    <n v="48"/>
    <s v="Port Congestion"/>
    <n v="30.26"/>
    <s v="Delayed"/>
    <s v="Paid"/>
    <s v="Standard"/>
    <s v="A. Tan"/>
    <s v="Asia"/>
    <d v="2025-09-01T00:00:00"/>
    <x v="6"/>
  </r>
  <r>
    <x v="52"/>
    <s v="BK50522"/>
    <d v="2025-06-04T00:00:00"/>
    <d v="2025-06-07T00:00:00"/>
    <d v="2025-06-19T00:00:00"/>
    <s v="Siemens"/>
    <s v="Engineering"/>
    <s v="Germany"/>
    <s v="Colombo"/>
    <s v="Singapore"/>
    <x v="4"/>
    <s v="Mary Maersk"/>
    <s v="Reefer"/>
    <n v="1"/>
    <s v="Auto Parts"/>
    <n v="13014.53"/>
    <n v="2355.88"/>
    <n v="857.06"/>
    <n v="388.34"/>
    <n v="130.15"/>
    <n v="403.17"/>
    <n v="1404.73"/>
    <n v="7475.2"/>
    <n v="12"/>
    <s v="Port Congestion"/>
    <n v="19.63"/>
    <s v="Delayed"/>
    <s v="Paid"/>
    <s v="Standard"/>
    <s v="M. Ahmed"/>
    <s v="Europe"/>
    <d v="2025-06-01T00:00:00"/>
    <x v="12"/>
  </r>
  <r>
    <x v="53"/>
    <s v="BK50812"/>
    <d v="2025-10-07T00:00:00"/>
    <d v="2025-10-10T00:00:00"/>
    <d v="2025-10-23T00:00:00"/>
    <s v="Toyota"/>
    <s v="Automotive"/>
    <s v="Japan"/>
    <s v="Colombo"/>
    <s v="Shanghai"/>
    <x v="2"/>
    <s v="Mumbai Maersk"/>
    <s v="20FT"/>
    <n v="2"/>
    <s v="Food"/>
    <n v="13029.46"/>
    <n v="2752.88"/>
    <n v="542.21"/>
    <n v="341.25"/>
    <n v="130.29"/>
    <n v="746.65"/>
    <n v="667.73"/>
    <n v="7848.45"/>
    <n v="48"/>
    <s v="Weather"/>
    <n v="22.94"/>
    <s v="Delayed"/>
    <s v="Pending"/>
    <s v="Standard"/>
    <s v="M. Ahmed"/>
    <s v="North America"/>
    <d v="2025-10-01T00:00:00"/>
    <x v="13"/>
  </r>
  <r>
    <x v="54"/>
    <s v="BK50118"/>
    <d v="2025-09-13T00:00:00"/>
    <d v="2025-09-17T00:00:00"/>
    <d v="2025-10-01T00:00:00"/>
    <s v="Samsung"/>
    <s v="Electronics"/>
    <s v="South Korea"/>
    <s v="Colombo"/>
    <s v="Rotterdam"/>
    <x v="2"/>
    <s v="Mary Maersk"/>
    <s v="High Cube"/>
    <n v="1"/>
    <s v="Textiles"/>
    <n v="13076.28"/>
    <n v="2389.67"/>
    <n v="566.41"/>
    <n v="193.18"/>
    <n v="130.76"/>
    <n v="203.39"/>
    <n v="1167.44"/>
    <n v="8425.43"/>
    <n v="24"/>
    <s v="Customs"/>
    <n v="19.91"/>
    <s v="Delayed"/>
    <s v="Paid"/>
    <s v="Standard"/>
    <s v="R. Mehta"/>
    <s v="Middle East"/>
    <d v="2025-09-01T00:00:00"/>
    <x v="1"/>
  </r>
  <r>
    <x v="55"/>
    <s v="BK50318"/>
    <d v="2025-10-15T00:00:00"/>
    <d v="2025-10-19T00:00:00"/>
    <d v="2025-11-04T00:00:00"/>
    <s v="IKEA"/>
    <s v="Retail"/>
    <s v="Sweden"/>
    <s v="Singapore"/>
    <s v="Rotterdam"/>
    <x v="1"/>
    <s v="Madrid Maersk"/>
    <s v="40FT"/>
    <n v="2"/>
    <s v="Furniture"/>
    <n v="13088.93"/>
    <n v="3612.8"/>
    <n v="733.78"/>
    <n v="181.58"/>
    <n v="130.88999999999999"/>
    <n v="782.73"/>
    <n v="2101.9699999999998"/>
    <n v="5545.18"/>
    <n v="48"/>
    <s v="Weather"/>
    <n v="30.11"/>
    <s v="Delayed"/>
    <s v="Paid"/>
    <s v="Critical"/>
    <s v="J. Smith"/>
    <s v="Europe"/>
    <d v="2025-10-01T00:00:00"/>
    <x v="0"/>
  </r>
  <r>
    <x v="56"/>
    <s v="BK50582"/>
    <d v="2025-12-27T00:00:00"/>
    <d v="2025-12-30T00:00:00"/>
    <d v="2026-01-10T00:00:00"/>
    <s v="Pfizer"/>
    <s v="Pharma"/>
    <s v="USA"/>
    <s v="Busan"/>
    <s v="Jebel Ali"/>
    <x v="2"/>
    <s v="CMA CGM Jacques Saadé"/>
    <s v="40FT"/>
    <n v="2"/>
    <s v="Furniture"/>
    <n v="13115.8"/>
    <n v="2680.41"/>
    <n v="896.13"/>
    <n v="222.27"/>
    <n v="131.16"/>
    <n v="790.26"/>
    <n v="658.65"/>
    <n v="7736.92"/>
    <n v="0"/>
    <s v="None"/>
    <n v="22.34"/>
    <s v="Completed"/>
    <s v="Pending"/>
    <s v="Standard"/>
    <s v="R. Mehta"/>
    <s v="North America"/>
    <d v="2025-12-01T00:00:00"/>
    <x v="5"/>
  </r>
  <r>
    <x v="57"/>
    <s v="BK50094"/>
    <d v="2025-03-16T00:00:00"/>
    <d v="2025-03-19T00:00:00"/>
    <d v="2025-04-06T00:00:00"/>
    <s v="Toyota"/>
    <s v="Automotive"/>
    <s v="Japan"/>
    <s v="Colombo"/>
    <s v="Singapore"/>
    <x v="4"/>
    <s v="Mary Maersk"/>
    <s v="Reefer"/>
    <n v="2"/>
    <s v="Machinery"/>
    <n v="13167.36"/>
    <n v="3339.51"/>
    <n v="1035.7"/>
    <n v="377.58"/>
    <n v="131.66999999999999"/>
    <n v="766.98"/>
    <n v="778.43"/>
    <n v="6737.49"/>
    <n v="12"/>
    <s v="Port Congestion"/>
    <n v="27.83"/>
    <s v="Delayed"/>
    <s v="Paid"/>
    <s v="Critical"/>
    <s v="A. Tan"/>
    <s v="Middle East"/>
    <d v="2025-03-01T00:00:00"/>
    <x v="14"/>
  </r>
  <r>
    <x v="58"/>
    <s v="BK50782"/>
    <d v="2025-03-05T00:00:00"/>
    <d v="2025-03-06T00:00:00"/>
    <d v="2025-03-28T00:00:00"/>
    <s v="Pfizer"/>
    <s v="Pharma"/>
    <s v="USA"/>
    <s v="Busan"/>
    <s v="Los Angeles"/>
    <x v="3"/>
    <s v="Mumbai Maersk"/>
    <s v="20FT"/>
    <n v="1"/>
    <s v="Furniture"/>
    <n v="13181.05"/>
    <n v="3712.59"/>
    <n v="708.16"/>
    <n v="339.9"/>
    <n v="131.81"/>
    <n v="847.44"/>
    <n v="1429.36"/>
    <n v="6011.79"/>
    <n v="48"/>
    <s v="Customs"/>
    <n v="30.94"/>
    <s v="Delayed"/>
    <s v="Pending"/>
    <s v="Critical"/>
    <s v="J. Smith"/>
    <s v="Middle East"/>
    <d v="2025-03-01T00:00:00"/>
    <x v="4"/>
  </r>
  <r>
    <x v="59"/>
    <s v="BK50260"/>
    <d v="2025-05-07T00:00:00"/>
    <d v="2025-05-11T00:00:00"/>
    <d v="2025-05-30T00:00:00"/>
    <s v="Samsung"/>
    <s v="Electronics"/>
    <s v="South Korea"/>
    <s v="Shanghai"/>
    <s v="Rotterdam"/>
    <x v="1"/>
    <s v="Mary Maersk"/>
    <s v="40FT"/>
    <n v="2"/>
    <s v="Food"/>
    <n v="13241.86"/>
    <n v="3302.3"/>
    <n v="848.21"/>
    <n v="223.84"/>
    <n v="132.41999999999999"/>
    <n v="119.9"/>
    <n v="2278.66"/>
    <n v="6336.53"/>
    <n v="0"/>
    <s v="None"/>
    <n v="27.52"/>
    <s v="Completed"/>
    <s v="Paid"/>
    <s v="High"/>
    <s v="J. Smith"/>
    <s v="Middle East"/>
    <d v="2025-05-01T00:00:00"/>
    <x v="11"/>
  </r>
  <r>
    <x v="60"/>
    <s v="BK50275"/>
    <d v="2025-03-29T00:00:00"/>
    <d v="2025-04-01T00:00:00"/>
    <d v="2025-04-29T00:00:00"/>
    <s v="Pfizer"/>
    <s v="Pharma"/>
    <s v="USA"/>
    <s v="Singapore"/>
    <s v="Rotterdam"/>
    <x v="1"/>
    <s v="Mary Maersk"/>
    <s v="High Cube"/>
    <n v="1"/>
    <s v="Electronics"/>
    <n v="13319.06"/>
    <n v="2662.25"/>
    <n v="1008.2"/>
    <n v="158.72999999999999"/>
    <n v="133.19"/>
    <n v="594.29999999999995"/>
    <n v="1625.21"/>
    <n v="7137.18"/>
    <n v="36"/>
    <s v="Customs"/>
    <n v="22.19"/>
    <s v="Delayed"/>
    <s v="Paid"/>
    <s v="Standard"/>
    <s v="J. Smith"/>
    <s v="North America"/>
    <d v="2025-03-01T00:00:00"/>
    <x v="17"/>
  </r>
  <r>
    <x v="61"/>
    <s v="BK50035"/>
    <d v="2025-04-10T00:00:00"/>
    <d v="2025-04-11T00:00:00"/>
    <d v="2025-05-05T00:00:00"/>
    <s v="Bosch"/>
    <s v="Manufacturing"/>
    <s v="Germany"/>
    <s v="Singapore"/>
    <s v="Los Angeles"/>
    <x v="2"/>
    <s v="MSC Gülsün"/>
    <s v="20FT"/>
    <n v="1"/>
    <s v="Textiles"/>
    <n v="13328.12"/>
    <n v="2843.78"/>
    <n v="597.96"/>
    <n v="312.3"/>
    <n v="133.28"/>
    <n v="587.47"/>
    <n v="789.91"/>
    <n v="8063.42"/>
    <n v="0"/>
    <s v="None"/>
    <n v="23.7"/>
    <s v="Completed"/>
    <s v="Pending"/>
    <s v="Standard"/>
    <s v="L. Chen"/>
    <s v="North America"/>
    <d v="2025-04-01T00:00:00"/>
    <x v="8"/>
  </r>
  <r>
    <x v="62"/>
    <s v="BK50482"/>
    <d v="2025-07-20T00:00:00"/>
    <d v="2025-07-22T00:00:00"/>
    <d v="2025-08-01T00:00:00"/>
    <s v="Adidas"/>
    <s v="Retail"/>
    <s v="Germany"/>
    <s v="Singapore"/>
    <s v="New York"/>
    <x v="2"/>
    <s v="OOCL Hong Kong"/>
    <s v="High Cube"/>
    <n v="1"/>
    <s v="Chemicals"/>
    <n v="13382.07"/>
    <n v="3895.94"/>
    <n v="1022.81"/>
    <n v="376.82"/>
    <n v="133.82"/>
    <n v="794.43"/>
    <n v="1827.42"/>
    <n v="5330.83"/>
    <n v="0"/>
    <s v="None"/>
    <n v="32.47"/>
    <s v="Completed"/>
    <s v="Pending"/>
    <s v="Critical"/>
    <s v="M. Ahmed"/>
    <s v="Asia"/>
    <d v="2025-07-01T00:00:00"/>
    <x v="15"/>
  </r>
  <r>
    <x v="63"/>
    <s v="BK50080"/>
    <d v="2025-11-19T00:00:00"/>
    <d v="2025-11-21T00:00:00"/>
    <d v="2025-12-14T00:00:00"/>
    <s v="Pfizer"/>
    <s v="Pharma"/>
    <s v="USA"/>
    <s v="Busan"/>
    <s v="Los Angeles"/>
    <x v="3"/>
    <s v="Madrid Maersk"/>
    <s v="20FT"/>
    <n v="1"/>
    <s v="Furniture"/>
    <n v="13391.78"/>
    <n v="2541.91"/>
    <n v="914.12"/>
    <n v="375.71"/>
    <n v="133.91999999999999"/>
    <n v="388.69"/>
    <n v="2150.02"/>
    <n v="6887.41"/>
    <n v="4"/>
    <s v="Port Congestion"/>
    <n v="21.18"/>
    <s v="Delayed"/>
    <s v="Pending"/>
    <s v="Critical"/>
    <s v="M. Ahmed"/>
    <s v="Europe"/>
    <d v="2025-11-01T00:00:00"/>
    <x v="7"/>
  </r>
  <r>
    <x v="64"/>
    <s v="BK50392"/>
    <d v="2025-09-24T00:00:00"/>
    <d v="2025-09-25T00:00:00"/>
    <d v="2025-10-15T00:00:00"/>
    <s v="Reliance"/>
    <s v="Retail"/>
    <s v="India"/>
    <s v="Busan"/>
    <s v="Los Angeles"/>
    <x v="3"/>
    <s v="Ever Ace"/>
    <s v="40FT"/>
    <n v="2"/>
    <s v="Chemicals"/>
    <n v="13392.16"/>
    <n v="3556.35"/>
    <n v="922.91"/>
    <n v="146.5"/>
    <n v="133.91999999999999"/>
    <n v="773.11"/>
    <n v="2329.54"/>
    <n v="5529.83"/>
    <n v="8"/>
    <s v="Labor Strike"/>
    <n v="29.64"/>
    <s v="Delayed"/>
    <s v="Pending"/>
    <s v="Standard"/>
    <s v="R. Mehta"/>
    <s v="Europe"/>
    <d v="2025-09-01T00:00:00"/>
    <x v="16"/>
  </r>
  <r>
    <x v="65"/>
    <s v="BK50555"/>
    <d v="2025-03-29T00:00:00"/>
    <d v="2025-03-31T00:00:00"/>
    <d v="2025-04-24T00:00:00"/>
    <s v="Pfizer"/>
    <s v="Pharma"/>
    <s v="USA"/>
    <s v="Singapore"/>
    <s v="Rotterdam"/>
    <x v="1"/>
    <s v="Madrid Maersk"/>
    <s v="40FT"/>
    <n v="2"/>
    <s v="Electronics"/>
    <n v="13532.37"/>
    <n v="3052.81"/>
    <n v="823.01"/>
    <n v="195.34"/>
    <n v="135.32"/>
    <n v="481.2"/>
    <n v="2010.86"/>
    <n v="6833.83"/>
    <n v="0"/>
    <s v="None"/>
    <n v="25.44"/>
    <s v="Completed"/>
    <s v="Paid"/>
    <s v="Critical"/>
    <s v="A. Tan"/>
    <s v="Middle East"/>
    <d v="2025-03-01T00:00:00"/>
    <x v="8"/>
  </r>
  <r>
    <x v="66"/>
    <s v="BK50900"/>
    <d v="2025-12-24T00:00:00"/>
    <d v="2025-12-25T00:00:00"/>
    <d v="2026-01-12T00:00:00"/>
    <s v="LG"/>
    <s v="Electronics"/>
    <s v="South Korea"/>
    <s v="Busan"/>
    <s v="Los Angeles"/>
    <x v="3"/>
    <s v="OOCL Hong Kong"/>
    <s v="High Cube"/>
    <n v="2"/>
    <s v="Chemicals"/>
    <n v="13587.42"/>
    <n v="3973.9"/>
    <n v="687.74"/>
    <n v="262.20999999999998"/>
    <n v="135.87"/>
    <n v="801.89"/>
    <n v="468.12"/>
    <n v="7257.69"/>
    <n v="0"/>
    <s v="None"/>
    <n v="33.119999999999997"/>
    <s v="Completed"/>
    <s v="Paid"/>
    <s v="Critical"/>
    <s v="M. Ahmed"/>
    <s v="Europe"/>
    <d v="2025-12-01T00:00:00"/>
    <x v="14"/>
  </r>
  <r>
    <x v="67"/>
    <s v="BK50845"/>
    <d v="2025-11-19T00:00:00"/>
    <d v="2025-11-20T00:00:00"/>
    <d v="2025-12-15T00:00:00"/>
    <s v="IKEA"/>
    <s v="Retail"/>
    <s v="Sweden"/>
    <s v="Singapore"/>
    <s v="Rotterdam"/>
    <x v="1"/>
    <s v="Mary Maersk"/>
    <s v="20FT"/>
    <n v="2"/>
    <s v="Textiles"/>
    <n v="13608.36"/>
    <n v="2660.58"/>
    <n v="828.41"/>
    <n v="272.67"/>
    <n v="136.08000000000001"/>
    <n v="639.30999999999995"/>
    <n v="1060.3800000000001"/>
    <n v="8010.93"/>
    <n v="36"/>
    <s v="Port Congestion"/>
    <n v="22.17"/>
    <s v="Delayed"/>
    <s v="Paid"/>
    <s v="Critical"/>
    <s v="M. Ahmed"/>
    <s v="Middle East"/>
    <d v="2025-11-01T00:00:00"/>
    <x v="10"/>
  </r>
  <r>
    <x v="68"/>
    <s v="BK50122"/>
    <d v="2025-11-27T00:00:00"/>
    <d v="2025-12-01T00:00:00"/>
    <d v="2025-12-25T00:00:00"/>
    <s v="LG"/>
    <s v="Electronics"/>
    <s v="South Korea"/>
    <s v="Jebel Ali"/>
    <s v="Hamburg"/>
    <x v="2"/>
    <s v="Mumbai Maersk"/>
    <s v="Reefer"/>
    <n v="2"/>
    <s v="Electronics"/>
    <n v="13836.82"/>
    <n v="2856.25"/>
    <n v="988.3"/>
    <n v="354.91"/>
    <n v="138.37"/>
    <n v="687.34"/>
    <n v="1767.11"/>
    <n v="7044.54"/>
    <n v="8"/>
    <s v="Port Congestion"/>
    <n v="23.8"/>
    <s v="Delayed"/>
    <s v="Paid"/>
    <s v="High"/>
    <s v="M. Ahmed"/>
    <s v="Asia"/>
    <d v="2025-11-01T00:00:00"/>
    <x v="8"/>
  </r>
  <r>
    <x v="69"/>
    <s v="BK50043"/>
    <d v="2025-04-23T00:00:00"/>
    <d v="2025-04-27T00:00:00"/>
    <d v="2025-05-23T00:00:00"/>
    <s v="Unilever"/>
    <s v="FMCG"/>
    <s v="UK"/>
    <s v="Singapore"/>
    <s v="New York"/>
    <x v="2"/>
    <s v="OOCL Hong Kong"/>
    <s v="Reefer"/>
    <n v="2"/>
    <s v="Chemicals"/>
    <n v="13871.36"/>
    <n v="2720.23"/>
    <n v="966.73"/>
    <n v="204.53"/>
    <n v="138.71"/>
    <n v="853.27"/>
    <n v="1354.49"/>
    <n v="7633.4"/>
    <n v="24"/>
    <s v="Weather"/>
    <n v="22.67"/>
    <s v="Delayed"/>
    <s v="Paid"/>
    <s v="High"/>
    <s v="A. Tan"/>
    <s v="Middle East"/>
    <d v="2025-04-01T00:00:00"/>
    <x v="3"/>
  </r>
  <r>
    <x v="70"/>
    <s v="BK50405"/>
    <d v="2025-11-24T00:00:00"/>
    <d v="2025-11-28T00:00:00"/>
    <d v="2025-12-18T00:00:00"/>
    <s v="Toyota"/>
    <s v="Automotive"/>
    <s v="Japan"/>
    <s v="Rotterdam"/>
    <s v="Singapore"/>
    <x v="2"/>
    <s v="MSC Gülsün"/>
    <s v="40FT"/>
    <n v="1"/>
    <s v="Auto Parts"/>
    <n v="13886.26"/>
    <n v="3571.77"/>
    <n v="725.07"/>
    <n v="322.04000000000002"/>
    <n v="138.86000000000001"/>
    <n v="602.29"/>
    <n v="2031.07"/>
    <n v="6495.16"/>
    <n v="0"/>
    <s v="None"/>
    <n v="29.76"/>
    <s v="Completed"/>
    <s v="Pending"/>
    <s v="Standard"/>
    <s v="R. Mehta"/>
    <s v="Europe"/>
    <d v="2025-11-01T00:00:00"/>
    <x v="16"/>
  </r>
  <r>
    <x v="71"/>
    <s v="BK50021"/>
    <d v="2025-11-06T00:00:00"/>
    <d v="2025-11-07T00:00:00"/>
    <d v="2025-11-27T00:00:00"/>
    <s v="Adidas"/>
    <s v="Retail"/>
    <s v="Germany"/>
    <s v="Busan"/>
    <s v="Los Angeles"/>
    <x v="3"/>
    <s v="MSC Gülsün"/>
    <s v="20FT"/>
    <n v="2"/>
    <s v="Auto Parts"/>
    <n v="13896.53"/>
    <n v="2348.77"/>
    <n v="621.23"/>
    <n v="237.04"/>
    <n v="138.97"/>
    <n v="139.88"/>
    <n v="770.1"/>
    <n v="9640.5400000000009"/>
    <n v="12"/>
    <s v="Customs"/>
    <n v="19.57"/>
    <s v="Delayed"/>
    <s v="Paid"/>
    <s v="High"/>
    <s v="L. Chen"/>
    <s v="Middle East"/>
    <d v="2025-11-01T00:00:00"/>
    <x v="16"/>
  </r>
  <r>
    <x v="72"/>
    <s v="BK50319"/>
    <d v="2025-03-22T00:00:00"/>
    <d v="2025-03-23T00:00:00"/>
    <d v="2025-04-06T00:00:00"/>
    <s v="Unilever"/>
    <s v="FMCG"/>
    <s v="UK"/>
    <s v="Singapore"/>
    <s v="Rotterdam"/>
    <x v="1"/>
    <s v="OOCL Hong Kong"/>
    <s v="High Cube"/>
    <n v="1"/>
    <s v="Auto Parts"/>
    <n v="13958.92"/>
    <n v="2519.16"/>
    <n v="866.17"/>
    <n v="267.8"/>
    <n v="139.59"/>
    <n v="428.55"/>
    <n v="411.54"/>
    <n v="9326.11"/>
    <n v="0"/>
    <s v="None"/>
    <n v="20.99"/>
    <s v="Completed"/>
    <s v="Pending"/>
    <s v="Standard"/>
    <s v="M. Ahmed"/>
    <s v="Europe"/>
    <d v="2025-03-01T00:00:00"/>
    <x v="1"/>
  </r>
  <r>
    <x v="73"/>
    <s v="BK50645"/>
    <d v="2025-06-17T00:00:00"/>
    <d v="2025-06-20T00:00:00"/>
    <d v="2025-07-11T00:00:00"/>
    <s v="Toyota"/>
    <s v="Automotive"/>
    <s v="Japan"/>
    <s v="Los Angeles"/>
    <s v="Hamburg"/>
    <x v="2"/>
    <s v="Ever Ace"/>
    <s v="20FT"/>
    <n v="2"/>
    <s v="Electronics"/>
    <n v="14007.37"/>
    <n v="2758"/>
    <n v="600.71"/>
    <n v="304.91000000000003"/>
    <n v="140.07"/>
    <n v="143.08000000000001"/>
    <n v="1743.22"/>
    <n v="8317.3799999999992"/>
    <n v="4"/>
    <s v="Labor Strike"/>
    <n v="22.98"/>
    <s v="Delayed"/>
    <s v="Pending"/>
    <s v="Standard"/>
    <s v="L. Chen"/>
    <s v="North America"/>
    <d v="2025-06-01T00:00:00"/>
    <x v="9"/>
  </r>
  <r>
    <x v="74"/>
    <s v="BK50200"/>
    <d v="2025-08-03T00:00:00"/>
    <d v="2025-08-04T00:00:00"/>
    <d v="2025-08-19T00:00:00"/>
    <s v="LG"/>
    <s v="Electronics"/>
    <s v="South Korea"/>
    <s v="Hamburg"/>
    <s v="Singapore"/>
    <x v="2"/>
    <s v="MSC Gülsün"/>
    <s v="40FT"/>
    <n v="2"/>
    <s v="Textiles"/>
    <n v="14035.03"/>
    <n v="3598.17"/>
    <n v="1092.5"/>
    <n v="366.82"/>
    <n v="140.35"/>
    <n v="456.43"/>
    <n v="593.77"/>
    <n v="7786.99"/>
    <n v="0"/>
    <s v="None"/>
    <n v="29.98"/>
    <s v="Completed"/>
    <s v="Pending"/>
    <s v="Critical"/>
    <s v="R. Mehta"/>
    <s v="North America"/>
    <d v="2025-08-01T00:00:00"/>
    <x v="6"/>
  </r>
  <r>
    <x v="75"/>
    <s v="BK50757"/>
    <d v="2025-03-29T00:00:00"/>
    <d v="2025-03-31T00:00:00"/>
    <d v="2025-04-14T00:00:00"/>
    <s v="Amazon"/>
    <s v="E-commerce"/>
    <s v="USA"/>
    <s v="Colombo"/>
    <s v="Singapore"/>
    <x v="4"/>
    <s v="MSC Gülsün"/>
    <s v="High Cube"/>
    <n v="2"/>
    <s v="Auto Parts"/>
    <n v="14093"/>
    <n v="2431.1799999999998"/>
    <n v="865.39"/>
    <n v="378.75"/>
    <n v="140.93"/>
    <n v="523.36"/>
    <n v="2372.41"/>
    <n v="7380.98"/>
    <n v="0"/>
    <s v="None"/>
    <n v="20.260000000000002"/>
    <s v="Completed"/>
    <s v="Pending"/>
    <s v="Critical"/>
    <s v="R. Mehta"/>
    <s v="Middle East"/>
    <d v="2025-03-01T00:00:00"/>
    <x v="1"/>
  </r>
  <r>
    <x v="76"/>
    <s v="BK50163"/>
    <d v="2025-10-03T00:00:00"/>
    <d v="2025-10-05T00:00:00"/>
    <d v="2025-10-27T00:00:00"/>
    <s v="Siemens"/>
    <s v="Engineering"/>
    <s v="Germany"/>
    <s v="New York"/>
    <s v="Rotterdam"/>
    <x v="2"/>
    <s v="MSC Gülsün"/>
    <s v="20FT"/>
    <n v="2"/>
    <s v="Food"/>
    <n v="14162.46"/>
    <n v="4006.47"/>
    <n v="566.91"/>
    <n v="158.88999999999999"/>
    <n v="141.62"/>
    <n v="305.91000000000003"/>
    <n v="2270.73"/>
    <n v="6711.93"/>
    <n v="0"/>
    <s v="None"/>
    <n v="33.39"/>
    <s v="Completed"/>
    <s v="Pending"/>
    <s v="Critical"/>
    <s v="A. Tan"/>
    <s v="North America"/>
    <d v="2025-10-01T00:00:00"/>
    <x v="4"/>
  </r>
  <r>
    <x v="77"/>
    <s v="BK50538"/>
    <d v="2025-02-27T00:00:00"/>
    <d v="2025-02-28T00:00:00"/>
    <d v="2025-03-23T00:00:00"/>
    <s v="LG"/>
    <s v="Electronics"/>
    <s v="South Korea"/>
    <s v="New York"/>
    <s v="Los Angeles"/>
    <x v="2"/>
    <s v="Mary Maersk"/>
    <s v="40FT"/>
    <n v="2"/>
    <s v="Furniture"/>
    <n v="14240.03"/>
    <n v="2579.5"/>
    <n v="859.3"/>
    <n v="222.1"/>
    <n v="142.4"/>
    <n v="262"/>
    <n v="2016.32"/>
    <n v="8158.41"/>
    <n v="12"/>
    <s v="Labor Strike"/>
    <n v="21.5"/>
    <s v="Delayed"/>
    <s v="Pending"/>
    <s v="Standard"/>
    <s v="R. Mehta"/>
    <s v="North America"/>
    <d v="2025-02-01T00:00:00"/>
    <x v="7"/>
  </r>
  <r>
    <x v="78"/>
    <s v="BK50111"/>
    <d v="2025-02-26T00:00:00"/>
    <d v="2025-02-27T00:00:00"/>
    <d v="2025-03-21T00:00:00"/>
    <s v="Toyota"/>
    <s v="Automotive"/>
    <s v="Japan"/>
    <s v="Colombo"/>
    <s v="Singapore"/>
    <x v="4"/>
    <s v="MSC Gülsün"/>
    <s v="High Cube"/>
    <n v="2"/>
    <s v="Chemicals"/>
    <n v="14617.15"/>
    <n v="3326.26"/>
    <n v="1040.2"/>
    <n v="160.78"/>
    <n v="146.16999999999999"/>
    <n v="872.36"/>
    <n v="2439.9299999999998"/>
    <n v="6631.45"/>
    <n v="0"/>
    <s v="None"/>
    <n v="27.72"/>
    <s v="Completed"/>
    <s v="Paid"/>
    <s v="Standard"/>
    <s v="R. Mehta"/>
    <s v="Europe"/>
    <d v="2025-02-01T00:00:00"/>
    <x v="4"/>
  </r>
  <r>
    <x v="79"/>
    <s v="BK50174"/>
    <d v="2025-09-17T00:00:00"/>
    <d v="2025-09-18T00:00:00"/>
    <d v="2025-10-13T00:00:00"/>
    <s v="IKEA"/>
    <s v="Retail"/>
    <s v="Sweden"/>
    <s v="Jebel Ali"/>
    <s v="Nhava Sheva"/>
    <x v="0"/>
    <s v="Madrid Maersk"/>
    <s v="40FT"/>
    <n v="2"/>
    <s v="Auto Parts"/>
    <n v="14632.44"/>
    <n v="3672.71"/>
    <n v="1071.19"/>
    <n v="330.45"/>
    <n v="146.32"/>
    <n v="442.06"/>
    <n v="1807.84"/>
    <n v="7161.87"/>
    <n v="24"/>
    <s v="Labor Strike"/>
    <n v="30.61"/>
    <s v="Delayed"/>
    <s v="Paid"/>
    <s v="Critical"/>
    <s v="L. Chen"/>
    <s v="Europe"/>
    <d v="2025-09-01T00:00:00"/>
    <x v="10"/>
  </r>
  <r>
    <x v="80"/>
    <s v="BK50953"/>
    <d v="2025-09-03T00:00:00"/>
    <d v="2025-09-06T00:00:00"/>
    <d v="2025-09-16T00:00:00"/>
    <s v="Amazon"/>
    <s v="E-commerce"/>
    <s v="USA"/>
    <s v="Colombo"/>
    <s v="Singapore"/>
    <x v="4"/>
    <s v="MSC Gülsün"/>
    <s v="40FT"/>
    <n v="2"/>
    <s v="Machinery"/>
    <n v="14739.93"/>
    <n v="4062.99"/>
    <n v="917.26"/>
    <n v="215.85"/>
    <n v="147.4"/>
    <n v="358.36"/>
    <n v="894.5"/>
    <n v="8143.57"/>
    <n v="0"/>
    <s v="None"/>
    <n v="33.86"/>
    <s v="Completed"/>
    <s v="Paid"/>
    <s v="Standard"/>
    <s v="A. Tan"/>
    <s v="North America"/>
    <d v="2025-09-01T00:00:00"/>
    <x v="15"/>
  </r>
  <r>
    <x v="81"/>
    <s v="BK50861"/>
    <d v="2025-10-23T00:00:00"/>
    <d v="2025-10-25T00:00:00"/>
    <d v="2025-11-17T00:00:00"/>
    <s v="Toyota"/>
    <s v="Automotive"/>
    <s v="Japan"/>
    <s v="Singapore"/>
    <s v="Rotterdam"/>
    <x v="1"/>
    <s v="Monaco Maersk"/>
    <s v="Reefer"/>
    <n v="1"/>
    <s v="Electronics"/>
    <n v="14762.71"/>
    <n v="3399.73"/>
    <n v="867.71"/>
    <n v="340.47"/>
    <n v="147.63"/>
    <n v="588.58000000000004"/>
    <n v="1015.98"/>
    <n v="8402.61"/>
    <n v="36"/>
    <s v="Port Congestion"/>
    <n v="28.33"/>
    <s v="Delayed"/>
    <s v="Paid"/>
    <s v="High"/>
    <s v="M. Ahmed"/>
    <s v="Middle East"/>
    <d v="2025-10-01T00:00:00"/>
    <x v="7"/>
  </r>
  <r>
    <x v="82"/>
    <s v="BK50844"/>
    <d v="2025-06-14T00:00:00"/>
    <d v="2025-06-15T00:00:00"/>
    <d v="2025-07-03T00:00:00"/>
    <s v="Amazon"/>
    <s v="E-commerce"/>
    <s v="USA"/>
    <s v="Colombo"/>
    <s v="Singapore"/>
    <x v="4"/>
    <s v="Mumbai Maersk"/>
    <s v="Reefer"/>
    <n v="1"/>
    <s v="Electronics"/>
    <n v="15009.73"/>
    <n v="2586.89"/>
    <n v="715.23"/>
    <n v="294.16000000000003"/>
    <n v="150.1"/>
    <n v="875"/>
    <n v="2256.2399999999998"/>
    <n v="8132.11"/>
    <n v="36"/>
    <s v="Labor Strike"/>
    <n v="21.56"/>
    <s v="Delayed"/>
    <s v="Pending"/>
    <s v="Critical"/>
    <s v="L. Chen"/>
    <s v="North America"/>
    <d v="2025-06-01T00:00:00"/>
    <x v="14"/>
  </r>
  <r>
    <x v="83"/>
    <s v="BK50191"/>
    <d v="2025-03-24T00:00:00"/>
    <d v="2025-03-26T00:00:00"/>
    <d v="2025-04-17T00:00:00"/>
    <s v="LG"/>
    <s v="Electronics"/>
    <s v="South Korea"/>
    <s v="Jebel Ali"/>
    <s v="Nhava Sheva"/>
    <x v="0"/>
    <s v="MSC Gülsün"/>
    <s v="20FT"/>
    <n v="1"/>
    <s v="Electronics"/>
    <n v="15023.82"/>
    <n v="4079.37"/>
    <n v="741.07"/>
    <n v="262.86"/>
    <n v="150.24"/>
    <n v="286.22000000000003"/>
    <n v="1097.21"/>
    <n v="8406.85"/>
    <n v="0"/>
    <s v="None"/>
    <n v="33.99"/>
    <s v="Completed"/>
    <s v="Paid"/>
    <s v="Standard"/>
    <s v="A. Tan"/>
    <s v="Middle East"/>
    <d v="2025-03-01T00:00:00"/>
    <x v="4"/>
  </r>
  <r>
    <x v="84"/>
    <s v="BK50715"/>
    <d v="2025-10-19T00:00:00"/>
    <d v="2025-10-20T00:00:00"/>
    <d v="2025-11-05T00:00:00"/>
    <s v="Bosch"/>
    <s v="Manufacturing"/>
    <s v="Germany"/>
    <s v="Hamburg"/>
    <s v="Busan"/>
    <x v="2"/>
    <s v="Ever Ace"/>
    <s v="Reefer"/>
    <n v="2"/>
    <s v="Furniture"/>
    <n v="15285"/>
    <n v="4219.3"/>
    <n v="890.18"/>
    <n v="221.52"/>
    <n v="152.85"/>
    <n v="276.79000000000002"/>
    <n v="768.98"/>
    <n v="8755.3799999999992"/>
    <n v="0"/>
    <s v="None"/>
    <n v="35.159999999999997"/>
    <s v="Completed"/>
    <s v="Paid"/>
    <s v="Critical"/>
    <s v="L. Chen"/>
    <s v="Middle East"/>
    <d v="2025-10-01T00:00:00"/>
    <x v="0"/>
  </r>
  <r>
    <x v="85"/>
    <s v="BK50665"/>
    <d v="2025-02-21T00:00:00"/>
    <d v="2025-02-23T00:00:00"/>
    <d v="2025-03-18T00:00:00"/>
    <s v="LG"/>
    <s v="Electronics"/>
    <s v="South Korea"/>
    <s v="Singapore"/>
    <s v="Rotterdam"/>
    <x v="1"/>
    <s v="Mumbai Maersk"/>
    <s v="High Cube"/>
    <n v="1"/>
    <s v="Textiles"/>
    <n v="15313.31"/>
    <n v="3600.58"/>
    <n v="825.07"/>
    <n v="208.13"/>
    <n v="153.13"/>
    <n v="387.55"/>
    <n v="617.59"/>
    <n v="9521.26"/>
    <n v="4"/>
    <s v="Customs"/>
    <n v="30"/>
    <s v="Delayed"/>
    <s v="Pending"/>
    <s v="Critical"/>
    <s v="M. Ahmed"/>
    <s v="Asia"/>
    <d v="2025-02-01T00:00:00"/>
    <x v="7"/>
  </r>
  <r>
    <x v="86"/>
    <s v="BK50703"/>
    <d v="2025-11-27T00:00:00"/>
    <d v="2025-11-29T00:00:00"/>
    <d v="2025-12-18T00:00:00"/>
    <s v="Reliance"/>
    <s v="Retail"/>
    <s v="India"/>
    <s v="Jebel Ali"/>
    <s v="Nhava Sheva"/>
    <x v="0"/>
    <s v="CMA CGM Jacques Saadé"/>
    <s v="High Cube"/>
    <n v="2"/>
    <s v="Machinery"/>
    <n v="15370.16"/>
    <n v="2936.67"/>
    <n v="706.17"/>
    <n v="222.69"/>
    <n v="153.69999999999999"/>
    <n v="739.29"/>
    <n v="1098.77"/>
    <n v="9512.8700000000008"/>
    <n v="48"/>
    <s v="Labor Strike"/>
    <n v="24.47"/>
    <s v="Delayed"/>
    <s v="Paid"/>
    <s v="Critical"/>
    <s v="J. Smith"/>
    <s v="Asia"/>
    <d v="2025-11-01T00:00:00"/>
    <x v="11"/>
  </r>
  <r>
    <x v="87"/>
    <s v="BK50309"/>
    <d v="2025-02-04T00:00:00"/>
    <d v="2025-02-08T00:00:00"/>
    <d v="2025-03-07T00:00:00"/>
    <s v="LG"/>
    <s v="Electronics"/>
    <s v="South Korea"/>
    <s v="Colombo"/>
    <s v="Los Angeles"/>
    <x v="2"/>
    <s v="Madrid Maersk"/>
    <s v="High Cube"/>
    <n v="2"/>
    <s v="Furniture"/>
    <n v="15466.69"/>
    <n v="4072.65"/>
    <n v="963.59"/>
    <n v="178.33"/>
    <n v="154.66999999999999"/>
    <n v="811.62"/>
    <n v="926.81"/>
    <n v="8359.02"/>
    <n v="12"/>
    <s v="Weather"/>
    <n v="33.94"/>
    <s v="Delayed"/>
    <s v="Paid"/>
    <s v="Standard"/>
    <s v="A. Tan"/>
    <s v="Europe"/>
    <d v="2025-02-01T00:00:00"/>
    <x v="2"/>
  </r>
  <r>
    <x v="88"/>
    <s v="BK50368"/>
    <d v="2025-09-04T00:00:00"/>
    <d v="2025-09-08T00:00:00"/>
    <d v="2025-10-06T00:00:00"/>
    <s v="Pfizer"/>
    <s v="Pharma"/>
    <s v="USA"/>
    <s v="Busan"/>
    <s v="Los Angeles"/>
    <x v="3"/>
    <s v="Ever Ace"/>
    <s v="20FT"/>
    <n v="2"/>
    <s v="Auto Parts"/>
    <n v="15594.43"/>
    <n v="2858.69"/>
    <n v="1163.52"/>
    <n v="440.33"/>
    <n v="155.94"/>
    <n v="217.44"/>
    <n v="1673.21"/>
    <n v="9085.2999999999993"/>
    <n v="0"/>
    <s v="None"/>
    <n v="23.82"/>
    <s v="Completed"/>
    <s v="Paid"/>
    <s v="Critical"/>
    <s v="A. Tan"/>
    <s v="Europe"/>
    <d v="2025-09-01T00:00:00"/>
    <x v="17"/>
  </r>
  <r>
    <x v="89"/>
    <s v="BK50534"/>
    <d v="2025-02-17T00:00:00"/>
    <d v="2025-02-21T00:00:00"/>
    <d v="2025-03-19T00:00:00"/>
    <s v="Adidas"/>
    <s v="Retail"/>
    <s v="Germany"/>
    <s v="Los Angeles"/>
    <s v="New York"/>
    <x v="2"/>
    <s v="CMA CGM Jacques Saadé"/>
    <s v="High Cube"/>
    <n v="2"/>
    <s v="Machinery"/>
    <n v="15735.15"/>
    <n v="3106.13"/>
    <n v="1157.24"/>
    <n v="214.34"/>
    <n v="157.35"/>
    <n v="613.65"/>
    <n v="1669.47"/>
    <n v="8816.9699999999993"/>
    <n v="0"/>
    <s v="None"/>
    <n v="25.88"/>
    <s v="Completed"/>
    <s v="Pending"/>
    <s v="Critical"/>
    <s v="A. Tan"/>
    <s v="Middle East"/>
    <d v="2025-02-01T00:00:00"/>
    <x v="3"/>
  </r>
  <r>
    <x v="90"/>
    <s v="BK50250"/>
    <d v="2025-10-20T00:00:00"/>
    <d v="2025-10-24T00:00:00"/>
    <d v="2025-11-03T00:00:00"/>
    <s v="Siemens"/>
    <s v="Engineering"/>
    <s v="Germany"/>
    <s v="New York"/>
    <s v="Los Angeles"/>
    <x v="2"/>
    <s v="MSC Gülsün"/>
    <s v="40FT"/>
    <n v="2"/>
    <s v="Auto Parts"/>
    <n v="15748.19"/>
    <n v="3928.56"/>
    <n v="1258.06"/>
    <n v="187.4"/>
    <n v="157.47999999999999"/>
    <n v="428.02"/>
    <n v="2320.0700000000002"/>
    <n v="7468.6"/>
    <n v="0"/>
    <s v="None"/>
    <n v="32.74"/>
    <s v="Completed"/>
    <s v="Pending"/>
    <s v="High"/>
    <s v="J. Smith"/>
    <s v="Asia"/>
    <d v="2025-10-01T00:00:00"/>
    <x v="15"/>
  </r>
  <r>
    <x v="91"/>
    <s v="BK50294"/>
    <d v="2025-02-21T00:00:00"/>
    <d v="2025-02-25T00:00:00"/>
    <d v="2025-03-18T00:00:00"/>
    <s v="Nestlé"/>
    <s v="Food"/>
    <s v="Switzerland"/>
    <s v="Colombo"/>
    <s v="Singapore"/>
    <x v="4"/>
    <s v="Monaco Maersk"/>
    <s v="40FT"/>
    <n v="2"/>
    <s v="Auto Parts"/>
    <n v="15765.77"/>
    <n v="3474.81"/>
    <n v="921.76"/>
    <n v="196.04"/>
    <n v="157.66"/>
    <n v="599"/>
    <n v="2295.48"/>
    <n v="8121.02"/>
    <n v="0"/>
    <s v="None"/>
    <n v="28.96"/>
    <s v="Completed"/>
    <s v="Pending"/>
    <s v="Standard"/>
    <s v="L. Chen"/>
    <s v="Middle East"/>
    <d v="2025-02-01T00:00:00"/>
    <x v="9"/>
  </r>
  <r>
    <x v="92"/>
    <s v="BK50804"/>
    <d v="2025-06-15T00:00:00"/>
    <d v="2025-06-19T00:00:00"/>
    <d v="2025-07-06T00:00:00"/>
    <s v="Unilever"/>
    <s v="FMCG"/>
    <s v="UK"/>
    <s v="Colombo"/>
    <s v="Singapore"/>
    <x v="4"/>
    <s v="Mary Maersk"/>
    <s v="Reefer"/>
    <n v="2"/>
    <s v="Food"/>
    <n v="15779.64"/>
    <n v="4284.22"/>
    <n v="1167.07"/>
    <n v="316.38"/>
    <n v="157.80000000000001"/>
    <n v="787.16"/>
    <n v="2220.2600000000002"/>
    <n v="6846.75"/>
    <n v="4"/>
    <s v="Weather"/>
    <n v="35.700000000000003"/>
    <s v="Delayed"/>
    <s v="Pending"/>
    <s v="High"/>
    <s v="R. Mehta"/>
    <s v="Asia"/>
    <d v="2025-06-01T00:00:00"/>
    <x v="18"/>
  </r>
  <r>
    <x v="93"/>
    <s v="BK50374"/>
    <d v="2025-02-04T00:00:00"/>
    <d v="2025-02-08T00:00:00"/>
    <d v="2025-02-20T00:00:00"/>
    <s v="Bosch"/>
    <s v="Manufacturing"/>
    <s v="Germany"/>
    <s v="Rotterdam"/>
    <s v="Hamburg"/>
    <x v="2"/>
    <s v="CMA CGM Jacques Saadé"/>
    <s v="High Cube"/>
    <n v="1"/>
    <s v="Electronics"/>
    <n v="15796.15"/>
    <n v="2857.73"/>
    <n v="977.41"/>
    <n v="393.03"/>
    <n v="157.96"/>
    <n v="840.83"/>
    <n v="613.96"/>
    <n v="9955.23"/>
    <n v="48"/>
    <s v="Labor Strike"/>
    <n v="23.81"/>
    <s v="Delayed"/>
    <s v="Pending"/>
    <s v="Standard"/>
    <s v="L. Chen"/>
    <s v="Europe"/>
    <d v="2025-02-01T00:00:00"/>
    <x v="12"/>
  </r>
  <r>
    <x v="94"/>
    <s v="BK50236"/>
    <d v="2025-01-26T00:00:00"/>
    <d v="2025-01-27T00:00:00"/>
    <d v="2025-02-18T00:00:00"/>
    <s v="Bosch"/>
    <s v="Manufacturing"/>
    <s v="Germany"/>
    <s v="Singapore"/>
    <s v="Rotterdam"/>
    <x v="1"/>
    <s v="Mary Maersk"/>
    <s v="High Cube"/>
    <n v="1"/>
    <s v="Electronics"/>
    <n v="15802.5"/>
    <n v="3756.92"/>
    <n v="1224.05"/>
    <n v="453.26"/>
    <n v="158.03"/>
    <n v="521.85"/>
    <n v="1152.29"/>
    <n v="8536.1"/>
    <n v="0"/>
    <s v="None"/>
    <n v="31.31"/>
    <s v="Completed"/>
    <s v="Pending"/>
    <s v="Critical"/>
    <s v="M. Ahmed"/>
    <s v="Asia"/>
    <d v="2025-01-01T00:00:00"/>
    <x v="4"/>
  </r>
  <r>
    <x v="95"/>
    <s v="BK50619"/>
    <d v="2025-07-06T00:00:00"/>
    <d v="2025-07-08T00:00:00"/>
    <d v="2025-07-27T00:00:00"/>
    <s v="Toyota"/>
    <s v="Automotive"/>
    <s v="Japan"/>
    <s v="Shanghai"/>
    <s v="Rotterdam"/>
    <x v="1"/>
    <s v="Mary Maersk"/>
    <s v="High Cube"/>
    <n v="2"/>
    <s v="Auto Parts"/>
    <n v="15859.35"/>
    <n v="3752.72"/>
    <n v="716.46"/>
    <n v="387.92"/>
    <n v="158.59"/>
    <n v="793.74"/>
    <n v="1292.3900000000001"/>
    <n v="8757.5300000000007"/>
    <n v="24"/>
    <s v="Mechanical"/>
    <n v="31.27"/>
    <s v="Delayed"/>
    <s v="Paid"/>
    <s v="Critical"/>
    <s v="M. Ahmed"/>
    <s v="Asia"/>
    <d v="2025-07-01T00:00:00"/>
    <x v="11"/>
  </r>
  <r>
    <x v="96"/>
    <s v="BK50642"/>
    <d v="2025-12-31T00:00:00"/>
    <d v="2026-01-03T00:00:00"/>
    <d v="2026-01-26T00:00:00"/>
    <s v="IKEA"/>
    <s v="Retail"/>
    <s v="Sweden"/>
    <s v="Busan"/>
    <s v="Los Angeles"/>
    <x v="3"/>
    <s v="Madrid Maersk"/>
    <s v="20FT"/>
    <n v="1"/>
    <s v="Food"/>
    <n v="15885.06"/>
    <n v="3212.85"/>
    <n v="1219.92"/>
    <n v="199.18"/>
    <n v="158.85"/>
    <n v="795.02"/>
    <n v="1998.32"/>
    <n v="8300.92"/>
    <n v="0"/>
    <s v="None"/>
    <n v="26.77"/>
    <s v="Completed"/>
    <s v="Pending"/>
    <s v="High"/>
    <s v="R. Mehta"/>
    <s v="Middle East"/>
    <d v="2025-12-01T00:00:00"/>
    <x v="7"/>
  </r>
  <r>
    <x v="97"/>
    <s v="BK50124"/>
    <d v="2025-04-10T00:00:00"/>
    <d v="2025-04-11T00:00:00"/>
    <d v="2025-04-28T00:00:00"/>
    <s v="Pfizer"/>
    <s v="Pharma"/>
    <s v="USA"/>
    <s v="Jebel Ali"/>
    <s v="Nhava Sheva"/>
    <x v="0"/>
    <s v="Madrid Maersk"/>
    <s v="Reefer"/>
    <n v="1"/>
    <s v="Furniture"/>
    <n v="16090.92"/>
    <n v="3265.24"/>
    <n v="876.81"/>
    <n v="257.29000000000002"/>
    <n v="160.91"/>
    <n v="603.52"/>
    <n v="2327.16"/>
    <n v="8599.99"/>
    <n v="8"/>
    <s v="Mechanical"/>
    <n v="27.21"/>
    <s v="Delayed"/>
    <s v="Pending"/>
    <s v="Standard"/>
    <s v="A. Tan"/>
    <s v="North America"/>
    <d v="2025-04-01T00:00:00"/>
    <x v="18"/>
  </r>
  <r>
    <x v="98"/>
    <s v="BK50884"/>
    <d v="2025-10-27T00:00:00"/>
    <d v="2025-10-31T00:00:00"/>
    <d v="2025-11-10T00:00:00"/>
    <s v="IKEA"/>
    <s v="Retail"/>
    <s v="Sweden"/>
    <s v="Colombo"/>
    <s v="Singapore"/>
    <x v="4"/>
    <s v="Mary Maersk"/>
    <s v="20FT"/>
    <n v="1"/>
    <s v="Textiles"/>
    <n v="16095.38"/>
    <n v="2617.5500000000002"/>
    <n v="1268.95"/>
    <n v="259.41000000000003"/>
    <n v="160.94999999999999"/>
    <n v="590.35"/>
    <n v="2407.42"/>
    <n v="8790.75"/>
    <n v="0"/>
    <s v="None"/>
    <n v="21.81"/>
    <s v="Completed"/>
    <s v="Pending"/>
    <s v="Critical"/>
    <s v="J. Smith"/>
    <s v="North America"/>
    <d v="2025-10-01T00:00:00"/>
    <x v="15"/>
  </r>
  <r>
    <x v="99"/>
    <s v="BK50234"/>
    <d v="2025-10-14T00:00:00"/>
    <d v="2025-10-15T00:00:00"/>
    <d v="2025-11-11T00:00:00"/>
    <s v="Pfizer"/>
    <s v="Pharma"/>
    <s v="USA"/>
    <s v="Jebel Ali"/>
    <s v="Nhava Sheva"/>
    <x v="0"/>
    <s v="Ever Ace"/>
    <s v="40FT"/>
    <n v="1"/>
    <s v="Chemicals"/>
    <n v="16223.06"/>
    <n v="3624.39"/>
    <n v="971.9"/>
    <n v="480.09"/>
    <n v="162.22999999999999"/>
    <n v="217.72"/>
    <n v="591.66999999999996"/>
    <n v="10175.06"/>
    <n v="48"/>
    <s v="Customs"/>
    <n v="30.2"/>
    <s v="Delayed"/>
    <s v="Paid"/>
    <s v="High"/>
    <s v="L. Chen"/>
    <s v="Asia"/>
    <d v="2025-10-01T00:00:00"/>
    <x v="2"/>
  </r>
  <r>
    <x v="100"/>
    <s v="BK50638"/>
    <d v="2025-02-26T00:00:00"/>
    <d v="2025-02-27T00:00:00"/>
    <d v="2025-03-11T00:00:00"/>
    <s v="Siemens"/>
    <s v="Engineering"/>
    <s v="Germany"/>
    <s v="Nhava Sheva"/>
    <s v="Nhava Sheva"/>
    <x v="2"/>
    <s v="Mary Maersk"/>
    <s v="20FT"/>
    <n v="1"/>
    <s v="Electronics"/>
    <n v="16255.3"/>
    <n v="2858.29"/>
    <n v="1289.54"/>
    <n v="164.61"/>
    <n v="162.55000000000001"/>
    <n v="449.93"/>
    <n v="2362.8000000000002"/>
    <n v="8967.58"/>
    <n v="0"/>
    <s v="None"/>
    <n v="23.82"/>
    <s v="Completed"/>
    <s v="Pending"/>
    <s v="High"/>
    <s v="A. Tan"/>
    <s v="Europe"/>
    <d v="2025-02-01T00:00:00"/>
    <x v="12"/>
  </r>
  <r>
    <x v="101"/>
    <s v="BK50408"/>
    <d v="2025-12-23T00:00:00"/>
    <d v="2025-12-26T00:00:00"/>
    <d v="2026-01-05T00:00:00"/>
    <s v="Reliance"/>
    <s v="Retail"/>
    <s v="India"/>
    <s v="Rotterdam"/>
    <s v="Hamburg"/>
    <x v="2"/>
    <s v="MSC Gülsün"/>
    <s v="Reefer"/>
    <n v="2"/>
    <s v="Food"/>
    <n v="16278.69"/>
    <n v="3973.69"/>
    <n v="714.09"/>
    <n v="477.89"/>
    <n v="162.79"/>
    <n v="233.87"/>
    <n v="583.89"/>
    <n v="10132.469999999999"/>
    <n v="12"/>
    <s v="Customs"/>
    <n v="33.11"/>
    <s v="Delayed"/>
    <s v="Paid"/>
    <s v="Critical"/>
    <s v="R. Mehta"/>
    <s v="Middle East"/>
    <d v="2025-12-01T00:00:00"/>
    <x v="15"/>
  </r>
  <r>
    <x v="102"/>
    <s v="BK50908"/>
    <d v="2025-11-07T00:00:00"/>
    <d v="2025-11-10T00:00:00"/>
    <d v="2025-11-25T00:00:00"/>
    <s v="Siemens"/>
    <s v="Engineering"/>
    <s v="Germany"/>
    <s v="Jebel Ali"/>
    <s v="Nhava Sheva"/>
    <x v="0"/>
    <s v="MSC Gülsün"/>
    <s v="40FT"/>
    <n v="1"/>
    <s v="Auto Parts"/>
    <n v="16279.26"/>
    <n v="4328.2299999999996"/>
    <n v="1279.5"/>
    <n v="252.75"/>
    <n v="162.79"/>
    <n v="536.13"/>
    <n v="1619.71"/>
    <n v="8100.15"/>
    <n v="4"/>
    <s v="Weather"/>
    <n v="36.07"/>
    <s v="Delayed"/>
    <s v="Paid"/>
    <s v="Critical"/>
    <s v="M. Ahmed"/>
    <s v="Europe"/>
    <d v="2025-11-01T00:00:00"/>
    <x v="6"/>
  </r>
  <r>
    <x v="103"/>
    <s v="BK50704"/>
    <d v="2025-02-02T00:00:00"/>
    <d v="2025-02-03T00:00:00"/>
    <d v="2025-02-28T00:00:00"/>
    <s v="Adidas"/>
    <s v="Retail"/>
    <s v="Germany"/>
    <s v="Shanghai"/>
    <s v="Rotterdam"/>
    <x v="1"/>
    <s v="Monaco Maersk"/>
    <s v="40FT"/>
    <n v="1"/>
    <s v="Furniture"/>
    <n v="16282.94"/>
    <n v="4320.59"/>
    <n v="955.47"/>
    <n v="453.48"/>
    <n v="162.83000000000001"/>
    <n v="168.57"/>
    <n v="919.79"/>
    <n v="9302.2099999999991"/>
    <n v="0"/>
    <s v="None"/>
    <n v="36"/>
    <s v="Completed"/>
    <s v="Paid"/>
    <s v="High"/>
    <s v="L. Chen"/>
    <s v="North America"/>
    <d v="2025-02-01T00:00:00"/>
    <x v="10"/>
  </r>
  <r>
    <x v="104"/>
    <s v="BK50920"/>
    <d v="2025-11-22T00:00:00"/>
    <d v="2025-11-25T00:00:00"/>
    <d v="2025-12-06T00:00:00"/>
    <s v="Amazon"/>
    <s v="E-commerce"/>
    <s v="USA"/>
    <s v="Busan"/>
    <s v="Los Angeles"/>
    <x v="3"/>
    <s v="MSC Gülsün"/>
    <s v="40FT"/>
    <n v="2"/>
    <s v="Chemicals"/>
    <n v="16445.43"/>
    <n v="3229.56"/>
    <n v="976.03"/>
    <n v="383.12"/>
    <n v="164.45"/>
    <n v="140.19999999999999"/>
    <n v="1714.77"/>
    <n v="9837.2999999999993"/>
    <n v="0"/>
    <s v="None"/>
    <n v="26.91"/>
    <s v="Completed"/>
    <s v="Pending"/>
    <s v="Critical"/>
    <s v="A. Tan"/>
    <s v="Asia"/>
    <d v="2025-11-01T00:00:00"/>
    <x v="5"/>
  </r>
  <r>
    <x v="105"/>
    <s v="BK50359"/>
    <d v="2025-04-05T00:00:00"/>
    <d v="2025-04-08T00:00:00"/>
    <d v="2025-05-06T00:00:00"/>
    <s v="Toyota"/>
    <s v="Automotive"/>
    <s v="Japan"/>
    <s v="Busan"/>
    <s v="Los Angeles"/>
    <x v="3"/>
    <s v="MSC Gülsün"/>
    <s v="20FT"/>
    <n v="2"/>
    <s v="Textiles"/>
    <n v="16542.330000000002"/>
    <n v="3774.38"/>
    <n v="930.49"/>
    <n v="421.43"/>
    <n v="165.42"/>
    <n v="383.34"/>
    <n v="1674.52"/>
    <n v="9192.75"/>
    <n v="0"/>
    <s v="None"/>
    <n v="31.45"/>
    <s v="Completed"/>
    <s v="Paid"/>
    <s v="Standard"/>
    <s v="J. Smith"/>
    <s v="Middle East"/>
    <d v="2025-04-01T00:00:00"/>
    <x v="17"/>
  </r>
  <r>
    <x v="106"/>
    <s v="BK50672"/>
    <d v="2025-11-23T00:00:00"/>
    <d v="2025-11-25T00:00:00"/>
    <d v="2025-12-12T00:00:00"/>
    <s v="Adidas"/>
    <s v="Retail"/>
    <s v="Germany"/>
    <s v="Singapore"/>
    <s v="Rotterdam"/>
    <x v="1"/>
    <s v="OOCL Hong Kong"/>
    <s v="40FT"/>
    <n v="2"/>
    <s v="Food"/>
    <n v="16738.95"/>
    <n v="3367.19"/>
    <n v="1030.44"/>
    <n v="287.91000000000003"/>
    <n v="167.39"/>
    <n v="199.11"/>
    <n v="2415.7399999999998"/>
    <n v="9271.17"/>
    <n v="4"/>
    <s v="Labor Strike"/>
    <n v="28.06"/>
    <s v="Delayed"/>
    <s v="Paid"/>
    <s v="High"/>
    <s v="R. Mehta"/>
    <s v="Europe"/>
    <d v="2025-11-01T00:00:00"/>
    <x v="18"/>
  </r>
  <r>
    <x v="107"/>
    <s v="BK51000"/>
    <d v="2025-09-26T00:00:00"/>
    <d v="2025-09-28T00:00:00"/>
    <d v="2025-10-21T00:00:00"/>
    <s v="Siemens"/>
    <s v="Engineering"/>
    <s v="Germany"/>
    <s v="Singapore"/>
    <s v="Rotterdam"/>
    <x v="1"/>
    <s v="CMA CGM Jacques Saadé"/>
    <s v="High Cube"/>
    <n v="1"/>
    <s v="Electronics"/>
    <n v="16955.740000000002"/>
    <n v="2793.14"/>
    <n v="994.36"/>
    <n v="419.82"/>
    <n v="169.56"/>
    <n v="664.04"/>
    <n v="774.69"/>
    <n v="11140.13"/>
    <n v="48"/>
    <s v="Mechanical"/>
    <n v="23.28"/>
    <s v="Delayed"/>
    <s v="Pending"/>
    <s v="Critical"/>
    <s v="M. Ahmed"/>
    <s v="Europe"/>
    <d v="2025-09-01T00:00:00"/>
    <x v="7"/>
  </r>
  <r>
    <x v="108"/>
    <s v="BK50603"/>
    <d v="2025-06-29T00:00:00"/>
    <d v="2025-06-30T00:00:00"/>
    <d v="2025-07-12T00:00:00"/>
    <s v="Samsung"/>
    <s v="Electronics"/>
    <s v="South Korea"/>
    <s v="Singapore"/>
    <s v="Rotterdam"/>
    <x v="1"/>
    <s v="CMA CGM Jacques Saadé"/>
    <s v="High Cube"/>
    <n v="2"/>
    <s v="Furniture"/>
    <n v="16980.48"/>
    <n v="3208.73"/>
    <n v="884.19"/>
    <n v="241.45"/>
    <n v="169.8"/>
    <n v="395.54"/>
    <n v="1157.96"/>
    <n v="10922.81"/>
    <n v="0"/>
    <s v="None"/>
    <n v="26.74"/>
    <s v="Completed"/>
    <s v="Paid"/>
    <s v="High"/>
    <s v="R. Mehta"/>
    <s v="North America"/>
    <d v="2025-06-01T00:00:00"/>
    <x v="12"/>
  </r>
  <r>
    <x v="109"/>
    <s v="BK50870"/>
    <d v="2025-11-29T00:00:00"/>
    <d v="2025-12-02T00:00:00"/>
    <d v="2025-12-22T00:00:00"/>
    <s v="Toyota"/>
    <s v="Automotive"/>
    <s v="Japan"/>
    <s v="Jebel Ali"/>
    <s v="Nhava Sheva"/>
    <x v="0"/>
    <s v="Madrid Maersk"/>
    <s v="Reefer"/>
    <n v="1"/>
    <s v="Food"/>
    <n v="17193.88"/>
    <n v="2927.84"/>
    <n v="1219.46"/>
    <n v="329.05"/>
    <n v="171.94"/>
    <n v="596.20000000000005"/>
    <n v="1481.98"/>
    <n v="10467.41"/>
    <n v="0"/>
    <s v="None"/>
    <n v="24.4"/>
    <s v="Completed"/>
    <s v="Pending"/>
    <s v="Standard"/>
    <s v="M. Ahmed"/>
    <s v="Middle East"/>
    <d v="2025-11-01T00:00:00"/>
    <x v="16"/>
  </r>
  <r>
    <x v="110"/>
    <s v="BK50045"/>
    <d v="2025-04-27T00:00:00"/>
    <d v="2025-04-29T00:00:00"/>
    <d v="2025-05-22T00:00:00"/>
    <s v="Samsung"/>
    <s v="Electronics"/>
    <s v="South Korea"/>
    <s v="Jebel Ali"/>
    <s v="Jebel Ali"/>
    <x v="2"/>
    <s v="Mumbai Maersk"/>
    <s v="40FT"/>
    <n v="2"/>
    <s v="Food"/>
    <n v="17444.18"/>
    <n v="3675.9"/>
    <n v="901.35"/>
    <n v="283.12"/>
    <n v="174.44"/>
    <n v="692.77"/>
    <n v="945"/>
    <n v="10771.6"/>
    <n v="4"/>
    <s v="Weather"/>
    <n v="30.63"/>
    <s v="Delayed"/>
    <s v="Pending"/>
    <s v="Critical"/>
    <s v="R. Mehta"/>
    <s v="Europe"/>
    <d v="2025-04-01T00:00:00"/>
    <x v="7"/>
  </r>
  <r>
    <x v="111"/>
    <s v="BK50041"/>
    <d v="2025-03-24T00:00:00"/>
    <d v="2025-03-28T00:00:00"/>
    <d v="2025-04-14T00:00:00"/>
    <s v="Toyota"/>
    <s v="Automotive"/>
    <s v="Japan"/>
    <s v="Shanghai"/>
    <s v="Rotterdam"/>
    <x v="1"/>
    <s v="Madrid Maersk"/>
    <s v="40FT"/>
    <n v="2"/>
    <s v="Food"/>
    <n v="17572.900000000001"/>
    <n v="4201.7299999999996"/>
    <n v="912.58"/>
    <n v="452.94"/>
    <n v="175.73"/>
    <n v="810.49"/>
    <n v="1830.25"/>
    <n v="9189.18"/>
    <n v="12"/>
    <s v="Labor Strike"/>
    <n v="35.01"/>
    <s v="Delayed"/>
    <s v="Paid"/>
    <s v="High"/>
    <s v="A. Tan"/>
    <s v="North America"/>
    <d v="2025-03-01T00:00:00"/>
    <x v="18"/>
  </r>
  <r>
    <x v="112"/>
    <s v="BK50091"/>
    <d v="2025-02-12T00:00:00"/>
    <d v="2025-02-14T00:00:00"/>
    <d v="2025-03-04T00:00:00"/>
    <s v="Siemens"/>
    <s v="Engineering"/>
    <s v="Germany"/>
    <s v="Jebel Ali"/>
    <s v="Nhava Sheva"/>
    <x v="0"/>
    <s v="OOCL Hong Kong"/>
    <s v="Reefer"/>
    <n v="1"/>
    <s v="Electronics"/>
    <n v="17640.400000000001"/>
    <n v="4519.5600000000004"/>
    <n v="1006.62"/>
    <n v="359.47"/>
    <n v="176.4"/>
    <n v="730.01"/>
    <n v="2428.73"/>
    <n v="8419.61"/>
    <n v="0"/>
    <s v="None"/>
    <n v="37.659999999999997"/>
    <s v="Completed"/>
    <s v="Paid"/>
    <s v="High"/>
    <s v="A. Tan"/>
    <s v="Asia"/>
    <d v="2025-02-01T00:00:00"/>
    <x v="14"/>
  </r>
  <r>
    <x v="113"/>
    <s v="BK50894"/>
    <d v="2025-07-01T00:00:00"/>
    <d v="2025-07-04T00:00:00"/>
    <d v="2025-07-25T00:00:00"/>
    <s v="IKEA"/>
    <s v="Retail"/>
    <s v="Sweden"/>
    <s v="Shanghai"/>
    <s v="Rotterdam"/>
    <x v="1"/>
    <s v="Madrid Maersk"/>
    <s v="Reefer"/>
    <n v="1"/>
    <s v="Furniture"/>
    <n v="17853.3"/>
    <n v="4994.93"/>
    <n v="942.87"/>
    <n v="371.32"/>
    <n v="178.53"/>
    <n v="777.85"/>
    <n v="2119.59"/>
    <n v="8468.2099999999991"/>
    <n v="24"/>
    <s v="Labor Strike"/>
    <n v="41.62"/>
    <s v="Delayed"/>
    <s v="Paid"/>
    <s v="Critical"/>
    <s v="J. Smith"/>
    <s v="Asia"/>
    <d v="2025-07-01T00:00:00"/>
    <x v="9"/>
  </r>
  <r>
    <x v="114"/>
    <s v="BK50979"/>
    <d v="2025-01-10T00:00:00"/>
    <d v="2025-01-13T00:00:00"/>
    <d v="2025-01-30T00:00:00"/>
    <s v="Siemens"/>
    <s v="Engineering"/>
    <s v="Germany"/>
    <s v="Singapore"/>
    <s v="Rotterdam"/>
    <x v="1"/>
    <s v="Madrid Maersk"/>
    <s v="Reefer"/>
    <n v="1"/>
    <s v="Electronics"/>
    <n v="17867.45"/>
    <n v="4135.7700000000004"/>
    <n v="1196.22"/>
    <n v="349.13"/>
    <n v="178.67"/>
    <n v="735.46"/>
    <n v="1288.18"/>
    <n v="9984.02"/>
    <n v="48"/>
    <s v="Weather"/>
    <n v="34.46"/>
    <s v="Delayed"/>
    <s v="Paid"/>
    <s v="High"/>
    <s v="A. Tan"/>
    <s v="North America"/>
    <d v="2025-01-01T00:00:00"/>
    <x v="18"/>
  </r>
  <r>
    <x v="115"/>
    <s v="BK50650"/>
    <d v="2025-07-30T00:00:00"/>
    <d v="2025-07-31T00:00:00"/>
    <d v="2025-08-17T00:00:00"/>
    <s v="Siemens"/>
    <s v="Engineering"/>
    <s v="Germany"/>
    <s v="Busan"/>
    <s v="Los Angeles"/>
    <x v="3"/>
    <s v="Ever Ace"/>
    <s v="20FT"/>
    <n v="1"/>
    <s v="Furniture"/>
    <n v="17936.54"/>
    <n v="3853.75"/>
    <n v="1021.52"/>
    <n v="228.89"/>
    <n v="179.37"/>
    <n v="546.24"/>
    <n v="2176.79"/>
    <n v="9929.98"/>
    <n v="12"/>
    <s v="Labor Strike"/>
    <n v="32.11"/>
    <s v="Delayed"/>
    <s v="Paid"/>
    <s v="Standard"/>
    <s v="J. Smith"/>
    <s v="Asia"/>
    <d v="2025-07-01T00:00:00"/>
    <x v="18"/>
  </r>
  <r>
    <x v="116"/>
    <s v="BK50549"/>
    <d v="2025-02-13T00:00:00"/>
    <d v="2025-02-16T00:00:00"/>
    <d v="2025-03-01T00:00:00"/>
    <s v="Amazon"/>
    <s v="E-commerce"/>
    <s v="USA"/>
    <s v="Jebel Ali"/>
    <s v="Nhava Sheva"/>
    <x v="0"/>
    <s v="MSC Gülsün"/>
    <s v="High Cube"/>
    <n v="1"/>
    <s v="Electronics"/>
    <n v="17940.36"/>
    <n v="3185.61"/>
    <n v="1223.19"/>
    <n v="509.31"/>
    <n v="179.4"/>
    <n v="456.44"/>
    <n v="1945.35"/>
    <n v="10441.06"/>
    <n v="0"/>
    <s v="None"/>
    <n v="26.55"/>
    <s v="Completed"/>
    <s v="Paid"/>
    <s v="Critical"/>
    <s v="R. Mehta"/>
    <s v="North America"/>
    <d v="2025-02-01T00:00:00"/>
    <x v="13"/>
  </r>
  <r>
    <x v="117"/>
    <s v="BK50946"/>
    <d v="2025-11-23T00:00:00"/>
    <d v="2025-11-26T00:00:00"/>
    <d v="2025-12-06T00:00:00"/>
    <s v="Toyota"/>
    <s v="Automotive"/>
    <s v="Japan"/>
    <s v="Colombo"/>
    <s v="Singapore"/>
    <x v="4"/>
    <s v="Mary Maersk"/>
    <s v="40FT"/>
    <n v="1"/>
    <s v="Chemicals"/>
    <n v="18163.32"/>
    <n v="5365.23"/>
    <n v="777.19"/>
    <n v="281.60000000000002"/>
    <n v="181.63"/>
    <n v="380.69"/>
    <n v="551.78"/>
    <n v="10625.2"/>
    <n v="12"/>
    <s v="Port Congestion"/>
    <n v="44.71"/>
    <s v="Delayed"/>
    <s v="Paid"/>
    <s v="Standard"/>
    <s v="L. Chen"/>
    <s v="Middle East"/>
    <d v="2025-11-01T00:00:00"/>
    <x v="15"/>
  </r>
  <r>
    <x v="118"/>
    <s v="BK50914"/>
    <d v="2025-01-21T00:00:00"/>
    <d v="2025-01-22T00:00:00"/>
    <d v="2025-02-19T00:00:00"/>
    <s v="IKEA"/>
    <s v="Retail"/>
    <s v="Sweden"/>
    <s v="Shanghai"/>
    <s v="Rotterdam"/>
    <x v="1"/>
    <s v="OOCL Hong Kong"/>
    <s v="Reefer"/>
    <n v="1"/>
    <s v="Food"/>
    <n v="18268.810000000001"/>
    <n v="4307.3599999999997"/>
    <n v="1028.6099999999999"/>
    <n v="349.7"/>
    <n v="182.69"/>
    <n v="636.34"/>
    <n v="497.2"/>
    <n v="11266.91"/>
    <n v="0"/>
    <s v="None"/>
    <n v="35.89"/>
    <s v="Completed"/>
    <s v="Paid"/>
    <s v="High"/>
    <s v="A. Tan"/>
    <s v="Middle East"/>
    <d v="2025-01-01T00:00:00"/>
    <x v="17"/>
  </r>
  <r>
    <x v="119"/>
    <s v="BK50371"/>
    <d v="2025-01-31T00:00:00"/>
    <d v="2025-02-03T00:00:00"/>
    <d v="2025-02-15T00:00:00"/>
    <s v="Reliance"/>
    <s v="Retail"/>
    <s v="India"/>
    <s v="Singapore"/>
    <s v="Rotterdam"/>
    <x v="1"/>
    <s v="MSC Gülsün"/>
    <s v="20FT"/>
    <n v="1"/>
    <s v="Food"/>
    <n v="18352.849999999999"/>
    <n v="4401.49"/>
    <n v="1418.83"/>
    <n v="400.41"/>
    <n v="183.53"/>
    <n v="415.97"/>
    <n v="1558.63"/>
    <n v="9973.99"/>
    <n v="36"/>
    <s v="Weather"/>
    <n v="36.68"/>
    <s v="Delayed"/>
    <s v="Paid"/>
    <s v="High"/>
    <s v="A. Tan"/>
    <s v="Europe"/>
    <d v="2025-01-01T00:00:00"/>
    <x v="12"/>
  </r>
  <r>
    <x v="120"/>
    <s v="BK50789"/>
    <d v="2025-04-26T00:00:00"/>
    <d v="2025-04-27T00:00:00"/>
    <d v="2025-05-25T00:00:00"/>
    <s v="Adidas"/>
    <s v="Retail"/>
    <s v="Germany"/>
    <s v="Colombo"/>
    <s v="Singapore"/>
    <x v="4"/>
    <s v="OOCL Hong Kong"/>
    <s v="Reefer"/>
    <n v="2"/>
    <s v="Chemicals"/>
    <n v="18388.07"/>
    <n v="4867.59"/>
    <n v="768.17"/>
    <n v="342.81"/>
    <n v="183.88"/>
    <n v="555.15"/>
    <n v="2151.9299999999998"/>
    <n v="9518.5400000000009"/>
    <n v="4"/>
    <s v="Port Congestion"/>
    <n v="40.56"/>
    <s v="Delayed"/>
    <s v="Paid"/>
    <s v="High"/>
    <s v="R. Mehta"/>
    <s v="Europe"/>
    <d v="2025-04-01T00:00:00"/>
    <x v="17"/>
  </r>
  <r>
    <x v="121"/>
    <s v="BK50031"/>
    <d v="2025-12-18T00:00:00"/>
    <d v="2025-12-22T00:00:00"/>
    <d v="2026-01-07T00:00:00"/>
    <s v="Amazon"/>
    <s v="E-commerce"/>
    <s v="USA"/>
    <s v="Colombo"/>
    <s v="Singapore"/>
    <x v="4"/>
    <s v="Madrid Maersk"/>
    <s v="High Cube"/>
    <n v="2"/>
    <s v="Food"/>
    <n v="18593.64"/>
    <n v="4980.78"/>
    <n v="1072.5999999999999"/>
    <n v="213.11"/>
    <n v="185.94"/>
    <n v="736.59"/>
    <n v="1441.42"/>
    <n v="9963.2000000000007"/>
    <n v="0"/>
    <s v="None"/>
    <n v="41.51"/>
    <s v="Completed"/>
    <s v="Paid"/>
    <s v="High"/>
    <s v="L. Chen"/>
    <s v="Asia"/>
    <d v="2025-12-01T00:00:00"/>
    <x v="0"/>
  </r>
  <r>
    <x v="122"/>
    <s v="BK50001"/>
    <d v="2025-06-28T00:00:00"/>
    <d v="2025-07-02T00:00:00"/>
    <d v="2025-07-25T00:00:00"/>
    <s v="Reliance"/>
    <s v="Retail"/>
    <s v="India"/>
    <s v="Busan"/>
    <s v="Los Angeles"/>
    <x v="3"/>
    <s v="Mumbai Maersk"/>
    <s v="High Cube"/>
    <n v="2"/>
    <s v="Furniture"/>
    <n v="18690"/>
    <n v="5394.26"/>
    <n v="1311.49"/>
    <n v="221.44"/>
    <n v="186.9"/>
    <n v="801.45"/>
    <n v="2070.34"/>
    <n v="8704.1200000000008"/>
    <n v="24"/>
    <s v="Labor Strike"/>
    <n v="44.95"/>
    <s v="Delayed"/>
    <s v="Pending"/>
    <s v="Critical"/>
    <s v="R. Mehta"/>
    <s v="North America"/>
    <d v="2025-06-01T00:00:00"/>
    <x v="7"/>
  </r>
  <r>
    <x v="123"/>
    <s v="BK50253"/>
    <d v="2025-09-12T00:00:00"/>
    <d v="2025-09-14T00:00:00"/>
    <d v="2025-09-25T00:00:00"/>
    <s v="IKEA"/>
    <s v="Retail"/>
    <s v="Sweden"/>
    <s v="Colombo"/>
    <s v="Singapore"/>
    <x v="4"/>
    <s v="Ever Ace"/>
    <s v="40FT"/>
    <n v="1"/>
    <s v="Electronics"/>
    <n v="18763.25"/>
    <n v="3734.29"/>
    <n v="1344.14"/>
    <n v="464.46"/>
    <n v="187.63"/>
    <n v="737.44"/>
    <n v="310.7"/>
    <n v="11984.59"/>
    <n v="12"/>
    <s v="Mechanical"/>
    <n v="31.12"/>
    <s v="Delayed"/>
    <s v="Pending"/>
    <s v="High"/>
    <s v="J. Smith"/>
    <s v="Asia"/>
    <d v="2025-09-01T00:00:00"/>
    <x v="5"/>
  </r>
  <r>
    <x v="124"/>
    <s v="BK50930"/>
    <d v="2025-06-06T00:00:00"/>
    <d v="2025-06-10T00:00:00"/>
    <d v="2025-06-22T00:00:00"/>
    <s v="Unilever"/>
    <s v="FMCG"/>
    <s v="UK"/>
    <s v="Rotterdam"/>
    <s v="Shanghai"/>
    <x v="2"/>
    <s v="MSC Gülsün"/>
    <s v="High Cube"/>
    <n v="2"/>
    <s v="Textiles"/>
    <n v="18827.03"/>
    <n v="3330.42"/>
    <n v="877.09"/>
    <n v="296.66000000000003"/>
    <n v="188.27"/>
    <n v="308.44"/>
    <n v="866.51"/>
    <n v="12959.64"/>
    <n v="12"/>
    <s v="Weather"/>
    <n v="27.75"/>
    <s v="Delayed"/>
    <s v="Paid"/>
    <s v="Standard"/>
    <s v="M. Ahmed"/>
    <s v="Europe"/>
    <d v="2025-06-01T00:00:00"/>
    <x v="12"/>
  </r>
  <r>
    <x v="125"/>
    <s v="BK50327"/>
    <d v="2025-09-26T00:00:00"/>
    <d v="2025-09-29T00:00:00"/>
    <d v="2025-10-20T00:00:00"/>
    <s v="Samsung"/>
    <s v="Electronics"/>
    <s v="South Korea"/>
    <s v="Colombo"/>
    <s v="Singapore"/>
    <x v="4"/>
    <s v="Mary Maersk"/>
    <s v="High Cube"/>
    <n v="1"/>
    <s v="Auto Parts"/>
    <n v="18925.62"/>
    <n v="3766.19"/>
    <n v="1087.97"/>
    <n v="241.94"/>
    <n v="189.26"/>
    <n v="621.37"/>
    <n v="1864.76"/>
    <n v="11154.13"/>
    <n v="24"/>
    <s v="Mechanical"/>
    <n v="31.38"/>
    <s v="Delayed"/>
    <s v="Pending"/>
    <s v="Critical"/>
    <s v="A. Tan"/>
    <s v="Europe"/>
    <d v="2025-09-01T00:00:00"/>
    <x v="9"/>
  </r>
  <r>
    <x v="126"/>
    <s v="BK50951"/>
    <d v="2025-06-02T00:00:00"/>
    <d v="2025-06-05T00:00:00"/>
    <d v="2025-06-24T00:00:00"/>
    <s v="Unilever"/>
    <s v="FMCG"/>
    <s v="UK"/>
    <s v="Hamburg"/>
    <s v="Busan"/>
    <x v="2"/>
    <s v="Monaco Maersk"/>
    <s v="High Cube"/>
    <n v="1"/>
    <s v="Electronics"/>
    <n v="19128.36"/>
    <n v="4341.6499999999996"/>
    <n v="981.29"/>
    <n v="276.72000000000003"/>
    <n v="191.28"/>
    <n v="703.32"/>
    <n v="2479.8000000000002"/>
    <n v="10154.299999999999"/>
    <n v="24"/>
    <s v="Mechanical"/>
    <n v="36.18"/>
    <s v="Delayed"/>
    <s v="Pending"/>
    <s v="Standard"/>
    <s v="L. Chen"/>
    <s v="Middle East"/>
    <d v="2025-06-01T00:00:00"/>
    <x v="11"/>
  </r>
  <r>
    <x v="127"/>
    <s v="BK50097"/>
    <d v="2025-08-13T00:00:00"/>
    <d v="2025-08-17T00:00:00"/>
    <d v="2025-09-02T00:00:00"/>
    <s v="Pfizer"/>
    <s v="Pharma"/>
    <s v="USA"/>
    <s v="Colombo"/>
    <s v="Singapore"/>
    <x v="4"/>
    <s v="Monaco Maersk"/>
    <s v="20FT"/>
    <n v="1"/>
    <s v="Auto Parts"/>
    <n v="19160.18"/>
    <n v="5099.66"/>
    <n v="1406.94"/>
    <n v="295.10000000000002"/>
    <n v="191.6"/>
    <n v="783.72"/>
    <n v="1369.81"/>
    <n v="10013.35"/>
    <n v="0"/>
    <s v="None"/>
    <n v="42.5"/>
    <s v="Completed"/>
    <s v="Pending"/>
    <s v="High"/>
    <s v="J. Smith"/>
    <s v="Asia"/>
    <d v="2025-08-01T00:00:00"/>
    <x v="0"/>
  </r>
  <r>
    <x v="128"/>
    <s v="BK50578"/>
    <d v="2025-02-28T00:00:00"/>
    <d v="2025-03-01T00:00:00"/>
    <d v="2025-03-17T00:00:00"/>
    <s v="Siemens"/>
    <s v="Engineering"/>
    <s v="Germany"/>
    <s v="Shanghai"/>
    <s v="Rotterdam"/>
    <x v="1"/>
    <s v="Mumbai Maersk"/>
    <s v="20FT"/>
    <n v="2"/>
    <s v="Food"/>
    <n v="19449.560000000001"/>
    <n v="5811.7"/>
    <n v="1331.18"/>
    <n v="324.14"/>
    <n v="194.5"/>
    <n v="843.61"/>
    <n v="826.21"/>
    <n v="10118.219999999999"/>
    <n v="4"/>
    <s v="Port Congestion"/>
    <n v="48.43"/>
    <s v="Delayed"/>
    <s v="Pending"/>
    <s v="High"/>
    <s v="J. Smith"/>
    <s v="Europe"/>
    <d v="2025-02-01T00:00:00"/>
    <x v="0"/>
  </r>
  <r>
    <x v="129"/>
    <s v="BK50913"/>
    <d v="2025-07-07T00:00:00"/>
    <d v="2025-07-10T00:00:00"/>
    <d v="2025-07-24T00:00:00"/>
    <s v="Bosch"/>
    <s v="Manufacturing"/>
    <s v="Germany"/>
    <s v="Colombo"/>
    <s v="Singapore"/>
    <x v="4"/>
    <s v="OOCL Hong Kong"/>
    <s v="40FT"/>
    <n v="1"/>
    <s v="Electronics"/>
    <n v="19641.53"/>
    <n v="4436.5200000000004"/>
    <n v="1345.13"/>
    <n v="258.45999999999998"/>
    <n v="196.42"/>
    <n v="250.04"/>
    <n v="2499.9499999999998"/>
    <n v="10655.01"/>
    <n v="36"/>
    <s v="Labor Strike"/>
    <n v="36.97"/>
    <s v="Delayed"/>
    <s v="Paid"/>
    <s v="High"/>
    <s v="L. Chen"/>
    <s v="Middle East"/>
    <d v="2025-07-01T00:00:00"/>
    <x v="1"/>
  </r>
  <r>
    <x v="130"/>
    <s v="BK50390"/>
    <d v="2025-06-24T00:00:00"/>
    <d v="2025-06-26T00:00:00"/>
    <d v="2025-07-26T00:00:00"/>
    <s v="Toyota"/>
    <s v="Automotive"/>
    <s v="Japan"/>
    <s v="Shanghai"/>
    <s v="Rotterdam"/>
    <x v="1"/>
    <s v="Ever Ace"/>
    <s v="20FT"/>
    <n v="2"/>
    <s v="Machinery"/>
    <n v="19782.63"/>
    <n v="3750.28"/>
    <n v="1574.65"/>
    <n v="320.82"/>
    <n v="197.83"/>
    <n v="682.25"/>
    <n v="1188.75"/>
    <n v="12068.05"/>
    <n v="48"/>
    <s v="Port Congestion"/>
    <n v="31.25"/>
    <s v="Delayed"/>
    <s v="Paid"/>
    <s v="Standard"/>
    <s v="M. Ahmed"/>
    <s v="Middle East"/>
    <d v="2025-06-01T00:00:00"/>
    <x v="19"/>
  </r>
  <r>
    <x v="131"/>
    <s v="BK50623"/>
    <d v="2025-06-06T00:00:00"/>
    <d v="2025-06-10T00:00:00"/>
    <d v="2025-06-29T00:00:00"/>
    <s v="Adidas"/>
    <s v="Retail"/>
    <s v="Germany"/>
    <s v="Colombo"/>
    <s v="Singapore"/>
    <x v="4"/>
    <s v="Mumbai Maersk"/>
    <s v="Reefer"/>
    <n v="1"/>
    <s v="Auto Parts"/>
    <n v="19791.740000000002"/>
    <n v="5227.28"/>
    <n v="1231.3499999999999"/>
    <n v="207.59"/>
    <n v="197.92"/>
    <n v="861.55"/>
    <n v="2026.18"/>
    <n v="10039.870000000001"/>
    <n v="8"/>
    <s v="Customs"/>
    <n v="43.56"/>
    <s v="Delayed"/>
    <s v="Paid"/>
    <s v="Standard"/>
    <s v="A. Tan"/>
    <s v="North America"/>
    <d v="2025-06-01T00:00:00"/>
    <x v="11"/>
  </r>
  <r>
    <x v="132"/>
    <s v="BK50816"/>
    <d v="2025-06-25T00:00:00"/>
    <d v="2025-06-28T00:00:00"/>
    <d v="2025-07-24T00:00:00"/>
    <s v="Reliance"/>
    <s v="Retail"/>
    <s v="India"/>
    <s v="Jebel Ali"/>
    <s v="Nhava Sheva"/>
    <x v="0"/>
    <s v="Madrid Maersk"/>
    <s v="20FT"/>
    <n v="2"/>
    <s v="Textiles"/>
    <n v="19888.439999999999"/>
    <n v="5862.39"/>
    <n v="1034.7"/>
    <n v="222.83"/>
    <n v="198.88"/>
    <n v="385.92"/>
    <n v="776.76"/>
    <n v="11406.96"/>
    <n v="48"/>
    <s v="Mechanical"/>
    <n v="48.85"/>
    <s v="Delayed"/>
    <s v="Paid"/>
    <s v="Standard"/>
    <s v="A. Tan"/>
    <s v="Middle East"/>
    <d v="2025-06-01T00:00:00"/>
    <x v="3"/>
  </r>
  <r>
    <x v="133"/>
    <s v="BK50039"/>
    <d v="2025-04-06T00:00:00"/>
    <d v="2025-04-09T00:00:00"/>
    <d v="2025-04-23T00:00:00"/>
    <s v="Siemens"/>
    <s v="Engineering"/>
    <s v="Germany"/>
    <s v="Shanghai"/>
    <s v="Rotterdam"/>
    <x v="1"/>
    <s v="Monaco Maersk"/>
    <s v="Reefer"/>
    <n v="2"/>
    <s v="Electronics"/>
    <n v="20005.150000000001"/>
    <n v="3447.11"/>
    <n v="836.62"/>
    <n v="281.95"/>
    <n v="200.05"/>
    <n v="415.96"/>
    <n v="978.42"/>
    <n v="13845.04"/>
    <n v="0"/>
    <s v="None"/>
    <n v="28.73"/>
    <s v="Completed"/>
    <s v="Pending"/>
    <s v="High"/>
    <s v="J. Smith"/>
    <s v="Asia"/>
    <d v="2025-04-01T00:00:00"/>
    <x v="1"/>
  </r>
  <r>
    <x v="134"/>
    <s v="BK50563"/>
    <d v="2025-09-19T00:00:00"/>
    <d v="2025-09-22T00:00:00"/>
    <d v="2025-10-14T00:00:00"/>
    <s v="Unilever"/>
    <s v="FMCG"/>
    <s v="UK"/>
    <s v="Colombo"/>
    <s v="New York"/>
    <x v="2"/>
    <s v="MSC Gülsün"/>
    <s v="Reefer"/>
    <n v="2"/>
    <s v="Machinery"/>
    <n v="20014.189999999999"/>
    <n v="4576.26"/>
    <n v="1134.32"/>
    <n v="238.4"/>
    <n v="200.14"/>
    <n v="121.82"/>
    <n v="1838.51"/>
    <n v="11904.74"/>
    <n v="48"/>
    <s v="Customs"/>
    <n v="38.14"/>
    <s v="Delayed"/>
    <s v="Pending"/>
    <s v="Standard"/>
    <s v="L. Chen"/>
    <s v="Middle East"/>
    <d v="2025-09-01T00:00:00"/>
    <x v="4"/>
  </r>
  <r>
    <x v="135"/>
    <s v="BK50854"/>
    <d v="2025-06-04T00:00:00"/>
    <d v="2025-06-05T00:00:00"/>
    <d v="2025-06-21T00:00:00"/>
    <s v="Pfizer"/>
    <s v="Pharma"/>
    <s v="USA"/>
    <s v="Shanghai"/>
    <s v="Rotterdam"/>
    <x v="1"/>
    <s v="MSC Gülsün"/>
    <s v="Reefer"/>
    <n v="2"/>
    <s v="Furniture"/>
    <n v="20242.98"/>
    <n v="5852.84"/>
    <n v="969.76"/>
    <n v="366.75"/>
    <n v="202.43"/>
    <n v="473.21"/>
    <n v="787.7"/>
    <n v="11590.29"/>
    <n v="24"/>
    <s v="Weather"/>
    <n v="48.77"/>
    <s v="Delayed"/>
    <s v="Paid"/>
    <s v="High"/>
    <s v="L. Chen"/>
    <s v="Middle East"/>
    <d v="2025-06-01T00:00:00"/>
    <x v="0"/>
  </r>
  <r>
    <x v="136"/>
    <s v="BK50213"/>
    <d v="2025-08-02T00:00:00"/>
    <d v="2025-08-04T00:00:00"/>
    <d v="2025-08-20T00:00:00"/>
    <s v="Toyota"/>
    <s v="Automotive"/>
    <s v="Japan"/>
    <s v="Colombo"/>
    <s v="Singapore"/>
    <x v="4"/>
    <s v="Ever Ace"/>
    <s v="40FT"/>
    <n v="1"/>
    <s v="Furniture"/>
    <n v="20276.63"/>
    <n v="6048.06"/>
    <n v="1467.58"/>
    <n v="215.86"/>
    <n v="202.77"/>
    <n v="175.42"/>
    <n v="1726.6"/>
    <n v="10440.34"/>
    <n v="24"/>
    <s v="Mechanical"/>
    <n v="50.4"/>
    <s v="Delayed"/>
    <s v="Paid"/>
    <s v="Standard"/>
    <s v="M. Ahmed"/>
    <s v="Europe"/>
    <d v="2025-08-01T00:00:00"/>
    <x v="0"/>
  </r>
  <r>
    <x v="137"/>
    <s v="BK50055"/>
    <d v="2025-12-04T00:00:00"/>
    <d v="2025-12-05T00:00:00"/>
    <d v="2025-12-24T00:00:00"/>
    <s v="LG"/>
    <s v="Electronics"/>
    <s v="South Korea"/>
    <s v="Busan"/>
    <s v="Los Angeles"/>
    <x v="3"/>
    <s v="Mary Maersk"/>
    <s v="Reefer"/>
    <n v="1"/>
    <s v="Furniture"/>
    <n v="20328.48"/>
    <n v="5294.13"/>
    <n v="1331.37"/>
    <n v="326.81"/>
    <n v="203.28"/>
    <n v="590.48"/>
    <n v="2067.5"/>
    <n v="10514.91"/>
    <n v="12"/>
    <s v="Labor Strike"/>
    <n v="44.12"/>
    <s v="Delayed"/>
    <s v="Paid"/>
    <s v="Critical"/>
    <s v="L. Chen"/>
    <s v="Asia"/>
    <d v="2025-12-01T00:00:00"/>
    <x v="11"/>
  </r>
  <r>
    <x v="138"/>
    <s v="BK50896"/>
    <d v="2025-09-05T00:00:00"/>
    <d v="2025-09-09T00:00:00"/>
    <d v="2025-09-24T00:00:00"/>
    <s v="Adidas"/>
    <s v="Retail"/>
    <s v="Germany"/>
    <s v="Singapore"/>
    <s v="Rotterdam"/>
    <x v="1"/>
    <s v="Madrid Maersk"/>
    <s v="Reefer"/>
    <n v="1"/>
    <s v="Auto Parts"/>
    <n v="20408"/>
    <n v="5925.09"/>
    <n v="1148.1300000000001"/>
    <n v="464.72"/>
    <n v="204.08"/>
    <n v="733.39"/>
    <n v="2095.6799999999998"/>
    <n v="9836.91"/>
    <n v="4"/>
    <s v="Weather"/>
    <n v="49.38"/>
    <s v="Delayed"/>
    <s v="Paid"/>
    <s v="Critical"/>
    <s v="L. Chen"/>
    <s v="North America"/>
    <d v="2025-09-01T00:00:00"/>
    <x v="6"/>
  </r>
  <r>
    <x v="139"/>
    <s v="BK50835"/>
    <d v="2025-03-14T00:00:00"/>
    <d v="2025-03-16T00:00:00"/>
    <d v="2025-03-30T00:00:00"/>
    <s v="Bosch"/>
    <s v="Manufacturing"/>
    <s v="Germany"/>
    <s v="Singapore"/>
    <s v="Rotterdam"/>
    <x v="1"/>
    <s v="CMA CGM Jacques Saadé"/>
    <s v="40FT"/>
    <n v="1"/>
    <s v="Chemicals"/>
    <n v="20483.509999999998"/>
    <n v="3336.72"/>
    <n v="1286.53"/>
    <n v="469.33"/>
    <n v="204.84"/>
    <n v="499.42"/>
    <n v="2297.9699999999998"/>
    <n v="12388.7"/>
    <n v="36"/>
    <s v="Mechanical"/>
    <n v="27.81"/>
    <s v="Delayed"/>
    <s v="Paid"/>
    <s v="Standard"/>
    <s v="M. Ahmed"/>
    <s v="North America"/>
    <d v="2025-03-01T00:00:00"/>
    <x v="1"/>
  </r>
  <r>
    <x v="140"/>
    <s v="BK50149"/>
    <d v="2025-08-10T00:00:00"/>
    <d v="2025-08-11T00:00:00"/>
    <d v="2025-09-08T00:00:00"/>
    <s v="Samsung"/>
    <s v="Electronics"/>
    <s v="South Korea"/>
    <s v="Busan"/>
    <s v="Los Angeles"/>
    <x v="3"/>
    <s v="Mary Maersk"/>
    <s v="High Cube"/>
    <n v="2"/>
    <s v="Electronics"/>
    <n v="20650.38"/>
    <n v="4110.3"/>
    <n v="1139.3800000000001"/>
    <n v="577.03"/>
    <n v="206.5"/>
    <n v="321.54000000000002"/>
    <n v="1600.13"/>
    <n v="12695.5"/>
    <n v="4"/>
    <s v="Mechanical"/>
    <n v="34.25"/>
    <s v="Delayed"/>
    <s v="Paid"/>
    <s v="High"/>
    <s v="R. Mehta"/>
    <s v="Middle East"/>
    <d v="2025-08-01T00:00:00"/>
    <x v="17"/>
  </r>
  <r>
    <x v="141"/>
    <s v="BK50768"/>
    <d v="2025-07-27T00:00:00"/>
    <d v="2025-07-29T00:00:00"/>
    <d v="2025-08-25T00:00:00"/>
    <s v="Bosch"/>
    <s v="Manufacturing"/>
    <s v="Germany"/>
    <s v="Busan"/>
    <s v="Los Angeles"/>
    <x v="3"/>
    <s v="OOCL Hong Kong"/>
    <s v="40FT"/>
    <n v="1"/>
    <s v="Food"/>
    <n v="20738.599999999999"/>
    <n v="3983.15"/>
    <n v="903.99"/>
    <n v="386.23"/>
    <n v="207.39"/>
    <n v="698.72"/>
    <n v="724.85"/>
    <n v="13834.27"/>
    <n v="0"/>
    <s v="None"/>
    <n v="33.19"/>
    <s v="Completed"/>
    <s v="Pending"/>
    <s v="High"/>
    <s v="J. Smith"/>
    <s v="Europe"/>
    <d v="2025-07-01T00:00:00"/>
    <x v="2"/>
  </r>
  <r>
    <x v="142"/>
    <s v="BK50573"/>
    <d v="2025-04-10T00:00:00"/>
    <d v="2025-04-13T00:00:00"/>
    <d v="2025-05-08T00:00:00"/>
    <s v="Toyota"/>
    <s v="Automotive"/>
    <s v="Japan"/>
    <s v="Colombo"/>
    <s v="New York"/>
    <x v="2"/>
    <s v="Monaco Maersk"/>
    <s v="Reefer"/>
    <n v="1"/>
    <s v="Auto Parts"/>
    <n v="20818.48"/>
    <n v="5562.69"/>
    <n v="967.04"/>
    <n v="602.04999999999995"/>
    <n v="208.18"/>
    <n v="300.36"/>
    <n v="2335.4899999999998"/>
    <n v="10842.67"/>
    <n v="8"/>
    <s v="Customs"/>
    <n v="46.36"/>
    <s v="Delayed"/>
    <s v="Pending"/>
    <s v="Standard"/>
    <s v="M. Ahmed"/>
    <s v="North America"/>
    <d v="2025-04-01T00:00:00"/>
    <x v="10"/>
  </r>
  <r>
    <x v="143"/>
    <s v="BK50823"/>
    <d v="2025-03-22T00:00:00"/>
    <d v="2025-03-23T00:00:00"/>
    <d v="2025-04-04T00:00:00"/>
    <s v="IKEA"/>
    <s v="Retail"/>
    <s v="Sweden"/>
    <s v="Shanghai"/>
    <s v="Rotterdam"/>
    <x v="1"/>
    <s v="Monaco Maersk"/>
    <s v="High Cube"/>
    <n v="2"/>
    <s v="Textiles"/>
    <n v="20905.66"/>
    <n v="5275.86"/>
    <n v="1588.5"/>
    <n v="397.39"/>
    <n v="209.06"/>
    <n v="114.88"/>
    <n v="1294.3399999999999"/>
    <n v="12025.63"/>
    <n v="8"/>
    <s v="Labor Strike"/>
    <n v="43.97"/>
    <s v="Delayed"/>
    <s v="Pending"/>
    <s v="Critical"/>
    <s v="M. Ahmed"/>
    <s v="North America"/>
    <d v="2025-03-01T00:00:00"/>
    <x v="12"/>
  </r>
  <r>
    <x v="144"/>
    <s v="BK50256"/>
    <d v="2025-03-19T00:00:00"/>
    <d v="2025-03-23T00:00:00"/>
    <d v="2025-04-13T00:00:00"/>
    <s v="Bosch"/>
    <s v="Manufacturing"/>
    <s v="Germany"/>
    <s v="Rotterdam"/>
    <s v="Shanghai"/>
    <x v="2"/>
    <s v="MSC Gülsün"/>
    <s v="40FT"/>
    <n v="2"/>
    <s v="Auto Parts"/>
    <n v="20948.669999999998"/>
    <n v="5178.97"/>
    <n v="999.8"/>
    <n v="475.7"/>
    <n v="209.49"/>
    <n v="196.16"/>
    <n v="1908.31"/>
    <n v="11980.24"/>
    <n v="0"/>
    <s v="None"/>
    <n v="43.16"/>
    <s v="Completed"/>
    <s v="Pending"/>
    <s v="High"/>
    <s v="M. Ahmed"/>
    <s v="North America"/>
    <d v="2025-03-01T00:00:00"/>
    <x v="9"/>
  </r>
  <r>
    <x v="145"/>
    <s v="BK50367"/>
    <d v="2025-08-09T00:00:00"/>
    <d v="2025-08-10T00:00:00"/>
    <d v="2025-08-23T00:00:00"/>
    <s v="Samsung"/>
    <s v="Electronics"/>
    <s v="South Korea"/>
    <s v="Shanghai"/>
    <s v="Rotterdam"/>
    <x v="1"/>
    <s v="Monaco Maersk"/>
    <s v="High Cube"/>
    <n v="2"/>
    <s v="Chemicals"/>
    <n v="21107.919999999998"/>
    <n v="5665.07"/>
    <n v="1102.3599999999999"/>
    <n v="233.93"/>
    <n v="211.08"/>
    <n v="734.33"/>
    <n v="2162.77"/>
    <n v="10998.38"/>
    <n v="24"/>
    <s v="Mechanical"/>
    <n v="47.21"/>
    <s v="Delayed"/>
    <s v="Pending"/>
    <s v="High"/>
    <s v="R. Mehta"/>
    <s v="Europe"/>
    <d v="2025-08-01T00:00:00"/>
    <x v="13"/>
  </r>
  <r>
    <x v="146"/>
    <s v="BK50769"/>
    <d v="2025-01-19T00:00:00"/>
    <d v="2025-01-23T00:00:00"/>
    <d v="2025-02-10T00:00:00"/>
    <s v="Siemens"/>
    <s v="Engineering"/>
    <s v="Germany"/>
    <s v="Shanghai"/>
    <s v="New York"/>
    <x v="2"/>
    <s v="CMA CGM Jacques Saadé"/>
    <s v="High Cube"/>
    <n v="1"/>
    <s v="Auto Parts"/>
    <n v="21139.23"/>
    <n v="3640.77"/>
    <n v="1521.24"/>
    <n v="281.13"/>
    <n v="211.39"/>
    <n v="141.4"/>
    <n v="2010.04"/>
    <n v="13333.26"/>
    <n v="0"/>
    <s v="None"/>
    <n v="30.34"/>
    <s v="Completed"/>
    <s v="Pending"/>
    <s v="Standard"/>
    <s v="R. Mehta"/>
    <s v="Asia"/>
    <d v="2025-01-01T00:00:00"/>
    <x v="14"/>
  </r>
  <r>
    <x v="147"/>
    <s v="BK50049"/>
    <d v="2025-08-29T00:00:00"/>
    <d v="2025-08-30T00:00:00"/>
    <d v="2025-09-25T00:00:00"/>
    <s v="IKEA"/>
    <s v="Retail"/>
    <s v="Sweden"/>
    <s v="Singapore"/>
    <s v="Rotterdam"/>
    <x v="1"/>
    <s v="Mumbai Maersk"/>
    <s v="High Cube"/>
    <n v="2"/>
    <s v="Furniture"/>
    <n v="21164.45"/>
    <n v="4042.24"/>
    <n v="1253.18"/>
    <n v="455.25"/>
    <n v="211.64"/>
    <n v="130.22999999999999"/>
    <n v="1196.05"/>
    <n v="13875.86"/>
    <n v="48"/>
    <s v="Weather"/>
    <n v="33.69"/>
    <s v="Delayed"/>
    <s v="Paid"/>
    <s v="Standard"/>
    <s v="R. Mehta"/>
    <s v="Asia"/>
    <d v="2025-08-01T00:00:00"/>
    <x v="3"/>
  </r>
  <r>
    <x v="148"/>
    <s v="BK50527"/>
    <d v="2025-04-18T00:00:00"/>
    <d v="2025-04-21T00:00:00"/>
    <d v="2025-05-17T00:00:00"/>
    <s v="Amazon"/>
    <s v="E-commerce"/>
    <s v="USA"/>
    <s v="Colombo"/>
    <s v="Hamburg"/>
    <x v="2"/>
    <s v="Monaco Maersk"/>
    <s v="Reefer"/>
    <n v="2"/>
    <s v="Machinery"/>
    <n v="21528.81"/>
    <n v="3579.86"/>
    <n v="1377.99"/>
    <n v="618.04999999999995"/>
    <n v="215.29"/>
    <n v="820.96"/>
    <n v="646.62"/>
    <n v="14270.04"/>
    <n v="36"/>
    <s v="Customs"/>
    <n v="29.83"/>
    <s v="Delayed"/>
    <s v="Pending"/>
    <s v="High"/>
    <s v="L. Chen"/>
    <s v="North America"/>
    <d v="2025-04-01T00:00:00"/>
    <x v="3"/>
  </r>
  <r>
    <x v="149"/>
    <s v="BK50472"/>
    <d v="2025-02-06T00:00:00"/>
    <d v="2025-02-08T00:00:00"/>
    <d v="2025-03-08T00:00:00"/>
    <s v="Nestlé"/>
    <s v="Food"/>
    <s v="Switzerland"/>
    <s v="Shanghai"/>
    <s v="Rotterdam"/>
    <x v="1"/>
    <s v="CMA CGM Jacques Saadé"/>
    <s v="20FT"/>
    <n v="1"/>
    <s v="Machinery"/>
    <n v="21533.67"/>
    <n v="3886.93"/>
    <n v="1681.82"/>
    <n v="351.63"/>
    <n v="215.34"/>
    <n v="783.64"/>
    <n v="1380.71"/>
    <n v="13233.6"/>
    <n v="0"/>
    <s v="None"/>
    <n v="32.39"/>
    <s v="Completed"/>
    <s v="Pending"/>
    <s v="High"/>
    <s v="R. Mehta"/>
    <s v="North America"/>
    <d v="2025-02-01T00:00:00"/>
    <x v="17"/>
  </r>
  <r>
    <x v="150"/>
    <s v="BK50090"/>
    <d v="2025-01-01T00:00:00"/>
    <d v="2025-01-04T00:00:00"/>
    <d v="2025-01-27T00:00:00"/>
    <s v="Nestlé"/>
    <s v="Food"/>
    <s v="Switzerland"/>
    <s v="Colombo"/>
    <s v="Singapore"/>
    <x v="4"/>
    <s v="OOCL Hong Kong"/>
    <s v="20FT"/>
    <n v="1"/>
    <s v="Chemicals"/>
    <n v="21591.19"/>
    <n v="4173.34"/>
    <n v="1023.26"/>
    <n v="464.09"/>
    <n v="215.91"/>
    <n v="438.15"/>
    <n v="1616.95"/>
    <n v="13659.49"/>
    <n v="0"/>
    <s v="None"/>
    <n v="34.78"/>
    <s v="Completed"/>
    <s v="Paid"/>
    <s v="High"/>
    <s v="R. Mehta"/>
    <s v="North America"/>
    <d v="2025-01-01T00:00:00"/>
    <x v="7"/>
  </r>
  <r>
    <x v="151"/>
    <s v="BK50495"/>
    <d v="2025-01-27T00:00:00"/>
    <d v="2025-01-29T00:00:00"/>
    <d v="2025-02-17T00:00:00"/>
    <s v="LG"/>
    <s v="Electronics"/>
    <s v="South Korea"/>
    <s v="Busan"/>
    <s v="Los Angeles"/>
    <x v="3"/>
    <s v="Mumbai Maersk"/>
    <s v="Reefer"/>
    <n v="1"/>
    <s v="Electronics"/>
    <n v="21660.560000000001"/>
    <n v="4060.24"/>
    <n v="883.29"/>
    <n v="271.95"/>
    <n v="216.61"/>
    <n v="348.7"/>
    <n v="774.5"/>
    <n v="15105.27"/>
    <n v="0"/>
    <s v="None"/>
    <n v="33.840000000000003"/>
    <s v="Completed"/>
    <s v="Paid"/>
    <s v="High"/>
    <s v="J. Smith"/>
    <s v="North America"/>
    <d v="2025-01-01T00:00:00"/>
    <x v="11"/>
  </r>
  <r>
    <x v="152"/>
    <s v="BK50193"/>
    <d v="2025-04-01T00:00:00"/>
    <d v="2025-04-03T00:00:00"/>
    <d v="2025-04-17T00:00:00"/>
    <s v="Reliance"/>
    <s v="Retail"/>
    <s v="India"/>
    <s v="Jebel Ali"/>
    <s v="Nhava Sheva"/>
    <x v="0"/>
    <s v="Ever Ace"/>
    <s v="Reefer"/>
    <n v="2"/>
    <s v="Chemicals"/>
    <n v="21668.61"/>
    <n v="4178.18"/>
    <n v="1414.25"/>
    <n v="256.95"/>
    <n v="216.69"/>
    <n v="210.25"/>
    <n v="2461.4299999999998"/>
    <n v="12930.86"/>
    <n v="24"/>
    <s v="Customs"/>
    <n v="34.82"/>
    <s v="Delayed"/>
    <s v="Paid"/>
    <s v="High"/>
    <s v="R. Mehta"/>
    <s v="North America"/>
    <d v="2025-04-01T00:00:00"/>
    <x v="1"/>
  </r>
  <r>
    <x v="153"/>
    <s v="BK50018"/>
    <d v="2025-03-28T00:00:00"/>
    <d v="2025-03-31T00:00:00"/>
    <d v="2025-04-12T00:00:00"/>
    <s v="Adidas"/>
    <s v="Retail"/>
    <s v="Germany"/>
    <s v="Rotterdam"/>
    <s v="Colombo"/>
    <x v="2"/>
    <s v="CMA CGM Jacques Saadé"/>
    <s v="High Cube"/>
    <n v="2"/>
    <s v="Furniture"/>
    <n v="21713.85"/>
    <n v="5945.2"/>
    <n v="1205.9100000000001"/>
    <n v="302.70999999999998"/>
    <n v="217.14"/>
    <n v="767.97"/>
    <n v="1388.37"/>
    <n v="11886.55"/>
    <n v="36"/>
    <s v="Port Congestion"/>
    <n v="49.54"/>
    <s v="Delayed"/>
    <s v="Pending"/>
    <s v="Standard"/>
    <s v="M. Ahmed"/>
    <s v="Middle East"/>
    <d v="2025-03-01T00:00:00"/>
    <x v="12"/>
  </r>
  <r>
    <x v="154"/>
    <s v="BK50685"/>
    <d v="2025-10-08T00:00:00"/>
    <d v="2025-10-10T00:00:00"/>
    <d v="2025-10-20T00:00:00"/>
    <s v="Siemens"/>
    <s v="Engineering"/>
    <s v="Germany"/>
    <s v="Colombo"/>
    <s v="Singapore"/>
    <x v="4"/>
    <s v="MSC Gülsün"/>
    <s v="20FT"/>
    <n v="2"/>
    <s v="Food"/>
    <n v="21801.23"/>
    <n v="4737.41"/>
    <n v="1499.31"/>
    <n v="515.12"/>
    <n v="218.01"/>
    <n v="792.07"/>
    <n v="537.54999999999995"/>
    <n v="13501.76"/>
    <n v="0"/>
    <s v="None"/>
    <n v="39.479999999999997"/>
    <s v="Completed"/>
    <s v="Paid"/>
    <s v="Critical"/>
    <s v="M. Ahmed"/>
    <s v="North America"/>
    <d v="2025-10-01T00:00:00"/>
    <x v="15"/>
  </r>
  <r>
    <x v="155"/>
    <s v="BK50379"/>
    <d v="2025-10-06T00:00:00"/>
    <d v="2025-10-07T00:00:00"/>
    <d v="2025-11-05T00:00:00"/>
    <s v="Samsung"/>
    <s v="Electronics"/>
    <s v="South Korea"/>
    <s v="Shanghai"/>
    <s v="Rotterdam"/>
    <x v="1"/>
    <s v="Monaco Maersk"/>
    <s v="40FT"/>
    <n v="2"/>
    <s v="Electronics"/>
    <n v="21915.17"/>
    <n v="5197.57"/>
    <n v="1024.18"/>
    <n v="401.22"/>
    <n v="219.15"/>
    <n v="166.79"/>
    <n v="1382.72"/>
    <n v="13523.54"/>
    <n v="24"/>
    <s v="Customs"/>
    <n v="43.31"/>
    <s v="Delayed"/>
    <s v="Paid"/>
    <s v="High"/>
    <s v="L. Chen"/>
    <s v="Middle East"/>
    <d v="2025-10-01T00:00:00"/>
    <x v="20"/>
  </r>
  <r>
    <x v="156"/>
    <s v="BK50333"/>
    <d v="2025-09-08T00:00:00"/>
    <d v="2025-09-11T00:00:00"/>
    <d v="2025-09-22T00:00:00"/>
    <s v="Amazon"/>
    <s v="E-commerce"/>
    <s v="USA"/>
    <s v="Shanghai"/>
    <s v="Jebel Ali"/>
    <x v="2"/>
    <s v="OOCL Hong Kong"/>
    <s v="High Cube"/>
    <n v="1"/>
    <s v="Chemicals"/>
    <n v="22095.77"/>
    <n v="5542.93"/>
    <n v="1120.55"/>
    <n v="577.16999999999996"/>
    <n v="220.96"/>
    <n v="871.47"/>
    <n v="2142.35"/>
    <n v="11620.34"/>
    <n v="0"/>
    <s v="None"/>
    <n v="46.19"/>
    <s v="Completed"/>
    <s v="Pending"/>
    <s v="High"/>
    <s v="R. Mehta"/>
    <s v="Middle East"/>
    <d v="2025-09-01T00:00:00"/>
    <x v="5"/>
  </r>
  <r>
    <x v="157"/>
    <s v="BK50565"/>
    <d v="2025-08-24T00:00:00"/>
    <d v="2025-08-25T00:00:00"/>
    <d v="2025-09-18T00:00:00"/>
    <s v="Siemens"/>
    <s v="Engineering"/>
    <s v="Germany"/>
    <s v="Singapore"/>
    <s v="Busan"/>
    <x v="2"/>
    <s v="Monaco Maersk"/>
    <s v="20FT"/>
    <n v="2"/>
    <s v="Auto Parts"/>
    <n v="22257.08"/>
    <n v="3995.17"/>
    <n v="1456.54"/>
    <n v="604.78"/>
    <n v="222.57"/>
    <n v="625.95000000000005"/>
    <n v="556.5"/>
    <n v="14795.57"/>
    <n v="8"/>
    <s v="Customs"/>
    <n v="33.29"/>
    <s v="Delayed"/>
    <s v="Pending"/>
    <s v="Standard"/>
    <s v="L. Chen"/>
    <s v="Europe"/>
    <d v="2025-08-01T00:00:00"/>
    <x v="8"/>
  </r>
  <r>
    <x v="158"/>
    <s v="BK50510"/>
    <d v="2025-09-08T00:00:00"/>
    <d v="2025-09-09T00:00:00"/>
    <d v="2025-09-21T00:00:00"/>
    <s v="Unilever"/>
    <s v="FMCG"/>
    <s v="UK"/>
    <s v="Colombo"/>
    <s v="Singapore"/>
    <x v="4"/>
    <s v="CMA CGM Jacques Saadé"/>
    <s v="High Cube"/>
    <n v="2"/>
    <s v="Electronics"/>
    <n v="22257.73"/>
    <n v="4818.8100000000004"/>
    <n v="1095.17"/>
    <n v="584.89"/>
    <n v="222.58"/>
    <n v="542.19000000000005"/>
    <n v="1020.64"/>
    <n v="13973.45"/>
    <n v="24"/>
    <s v="Customs"/>
    <n v="40.159999999999997"/>
    <s v="Delayed"/>
    <s v="Paid"/>
    <s v="Critical"/>
    <s v="M. Ahmed"/>
    <s v="Middle East"/>
    <d v="2025-09-01T00:00:00"/>
    <x v="12"/>
  </r>
  <r>
    <x v="159"/>
    <s v="BK50548"/>
    <d v="2025-12-18T00:00:00"/>
    <d v="2025-12-20T00:00:00"/>
    <d v="2026-01-10T00:00:00"/>
    <s v="Pfizer"/>
    <s v="Pharma"/>
    <s v="USA"/>
    <s v="Colombo"/>
    <s v="Hamburg"/>
    <x v="2"/>
    <s v="MSC Gülsün"/>
    <s v="High Cube"/>
    <n v="1"/>
    <s v="Textiles"/>
    <n v="22306.080000000002"/>
    <n v="4340.8100000000004"/>
    <n v="998.44"/>
    <n v="290.45999999999998"/>
    <n v="223.06"/>
    <n v="387.91"/>
    <n v="1590.31"/>
    <n v="14475.09"/>
    <n v="36"/>
    <s v="Labor Strike"/>
    <n v="36.17"/>
    <s v="Delayed"/>
    <s v="Paid"/>
    <s v="Standard"/>
    <s v="J. Smith"/>
    <s v="Middle East"/>
    <d v="2025-12-01T00:00:00"/>
    <x v="9"/>
  </r>
  <r>
    <x v="160"/>
    <s v="BK50707"/>
    <d v="2025-06-14T00:00:00"/>
    <d v="2025-06-16T00:00:00"/>
    <d v="2025-07-02T00:00:00"/>
    <s v="Pfizer"/>
    <s v="Pharma"/>
    <s v="USA"/>
    <s v="Singapore"/>
    <s v="Shanghai"/>
    <x v="2"/>
    <s v="Mary Maersk"/>
    <s v="High Cube"/>
    <n v="1"/>
    <s v="Furniture"/>
    <n v="22379.7"/>
    <n v="5441.39"/>
    <n v="1298.8"/>
    <n v="625.1"/>
    <n v="223.8"/>
    <n v="615.46"/>
    <n v="2214.98"/>
    <n v="11960.17"/>
    <n v="12"/>
    <s v="Mechanical"/>
    <n v="45.34"/>
    <s v="Delayed"/>
    <s v="Paid"/>
    <s v="High"/>
    <s v="M. Ahmed"/>
    <s v="Europe"/>
    <d v="2025-06-01T00:00:00"/>
    <x v="0"/>
  </r>
  <r>
    <x v="161"/>
    <s v="BK50093"/>
    <d v="2025-02-21T00:00:00"/>
    <d v="2025-02-24T00:00:00"/>
    <d v="2025-03-18T00:00:00"/>
    <s v="Unilever"/>
    <s v="FMCG"/>
    <s v="UK"/>
    <s v="Jebel Ali"/>
    <s v="Nhava Sheva"/>
    <x v="0"/>
    <s v="Mumbai Maersk"/>
    <s v="High Cube"/>
    <n v="1"/>
    <s v="Auto Parts"/>
    <n v="22503.47"/>
    <n v="4659.72"/>
    <n v="1671.42"/>
    <n v="290.43"/>
    <n v="225.03"/>
    <n v="406.32"/>
    <n v="1083.5899999999999"/>
    <n v="14166.96"/>
    <n v="4"/>
    <s v="Weather"/>
    <n v="38.83"/>
    <s v="Delayed"/>
    <s v="Paid"/>
    <s v="Critical"/>
    <s v="R. Mehta"/>
    <s v="North America"/>
    <d v="2025-02-01T00:00:00"/>
    <x v="4"/>
  </r>
  <r>
    <x v="162"/>
    <s v="BK50726"/>
    <d v="2025-05-18T00:00:00"/>
    <d v="2025-05-19T00:00:00"/>
    <d v="2025-05-29T00:00:00"/>
    <s v="Amazon"/>
    <s v="E-commerce"/>
    <s v="USA"/>
    <s v="Shanghai"/>
    <s v="Hamburg"/>
    <x v="2"/>
    <s v="MSC Gülsün"/>
    <s v="High Cube"/>
    <n v="1"/>
    <s v="Textiles"/>
    <n v="22529.8"/>
    <n v="4430.43"/>
    <n v="1110.96"/>
    <n v="262.66000000000003"/>
    <n v="225.3"/>
    <n v="716.99"/>
    <n v="2333.8200000000002"/>
    <n v="13449.64"/>
    <n v="8"/>
    <s v="Weather"/>
    <n v="36.92"/>
    <s v="Delayed"/>
    <s v="Pending"/>
    <s v="Standard"/>
    <s v="A. Tan"/>
    <s v="Middle East"/>
    <d v="2025-05-01T00:00:00"/>
    <x v="15"/>
  </r>
  <r>
    <x v="163"/>
    <s v="BK50919"/>
    <d v="2025-04-24T00:00:00"/>
    <d v="2025-04-27T00:00:00"/>
    <d v="2025-05-22T00:00:00"/>
    <s v="Pfizer"/>
    <s v="Pharma"/>
    <s v="USA"/>
    <s v="Jebel Ali"/>
    <s v="Nhava Sheva"/>
    <x v="0"/>
    <s v="Monaco Maersk"/>
    <s v="40FT"/>
    <n v="1"/>
    <s v="Food"/>
    <n v="22870.47"/>
    <n v="4831.84"/>
    <n v="1560.14"/>
    <n v="586.79"/>
    <n v="228.7"/>
    <n v="545.64"/>
    <n v="996.45"/>
    <n v="14120.91"/>
    <n v="0"/>
    <s v="None"/>
    <n v="40.270000000000003"/>
    <s v="Completed"/>
    <s v="Pending"/>
    <s v="High"/>
    <s v="L. Chen"/>
    <s v="North America"/>
    <d v="2025-04-01T00:00:00"/>
    <x v="10"/>
  </r>
  <r>
    <x v="164"/>
    <s v="BK50641"/>
    <d v="2025-11-18T00:00:00"/>
    <d v="2025-11-19T00:00:00"/>
    <d v="2025-12-16T00:00:00"/>
    <s v="Toyota"/>
    <s v="Automotive"/>
    <s v="Japan"/>
    <s v="Busan"/>
    <s v="Los Angeles"/>
    <x v="3"/>
    <s v="OOCL Hong Kong"/>
    <s v="Reefer"/>
    <n v="1"/>
    <s v="Machinery"/>
    <n v="22926.77"/>
    <n v="5392.04"/>
    <n v="1660.26"/>
    <n v="293.10000000000002"/>
    <n v="229.27"/>
    <n v="415.57"/>
    <n v="2253.9"/>
    <n v="12682.63"/>
    <n v="0"/>
    <s v="None"/>
    <n v="44.93"/>
    <s v="Completed"/>
    <s v="Paid"/>
    <s v="High"/>
    <s v="L. Chen"/>
    <s v="Asia"/>
    <d v="2025-11-01T00:00:00"/>
    <x v="2"/>
  </r>
  <r>
    <x v="165"/>
    <s v="BK50190"/>
    <d v="2025-12-19T00:00:00"/>
    <d v="2025-12-20T00:00:00"/>
    <d v="2026-01-11T00:00:00"/>
    <s v="Pfizer"/>
    <s v="Pharma"/>
    <s v="USA"/>
    <s v="Shanghai"/>
    <s v="Rotterdam"/>
    <x v="1"/>
    <s v="CMA CGM Jacques Saadé"/>
    <s v="Reefer"/>
    <n v="1"/>
    <s v="Textiles"/>
    <n v="22936.34"/>
    <n v="4032.74"/>
    <n v="936.07"/>
    <n v="440.44"/>
    <n v="229.36"/>
    <n v="648.55999999999995"/>
    <n v="1343"/>
    <n v="15306.17"/>
    <n v="48"/>
    <s v="Weather"/>
    <n v="33.61"/>
    <s v="Delayed"/>
    <s v="Paid"/>
    <s v="High"/>
    <s v="A. Tan"/>
    <s v="North America"/>
    <d v="2025-12-01T00:00:00"/>
    <x v="4"/>
  </r>
  <r>
    <x v="166"/>
    <s v="BK50007"/>
    <d v="2025-03-26T00:00:00"/>
    <d v="2025-03-30T00:00:00"/>
    <d v="2025-04-26T00:00:00"/>
    <s v="Nestlé"/>
    <s v="Food"/>
    <s v="Switzerland"/>
    <s v="Jebel Ali"/>
    <s v="New York"/>
    <x v="2"/>
    <s v="CMA CGM Jacques Saadé"/>
    <s v="40FT"/>
    <n v="2"/>
    <s v="Electronics"/>
    <n v="23004.7"/>
    <n v="6214.21"/>
    <n v="1594.33"/>
    <n v="564.61"/>
    <n v="230.05"/>
    <n v="522.48"/>
    <n v="1800.25"/>
    <n v="12078.77"/>
    <n v="0"/>
    <s v="None"/>
    <n v="51.79"/>
    <s v="Completed"/>
    <s v="Pending"/>
    <s v="Critical"/>
    <s v="A. Tan"/>
    <s v="Asia"/>
    <d v="2025-03-01T00:00:00"/>
    <x v="2"/>
  </r>
  <r>
    <x v="167"/>
    <s v="BK50153"/>
    <d v="2025-10-17T00:00:00"/>
    <d v="2025-10-19T00:00:00"/>
    <d v="2025-11-11T00:00:00"/>
    <s v="Pfizer"/>
    <s v="Pharma"/>
    <s v="USA"/>
    <s v="Shanghai"/>
    <s v="Hamburg"/>
    <x v="2"/>
    <s v="Ever Ace"/>
    <s v="40FT"/>
    <n v="1"/>
    <s v="Auto Parts"/>
    <n v="23121.05"/>
    <n v="4979.18"/>
    <n v="1761.12"/>
    <n v="651.42999999999995"/>
    <n v="231.21"/>
    <n v="256.01"/>
    <n v="2188.0500000000002"/>
    <n v="13054.05"/>
    <n v="36"/>
    <s v="Customs"/>
    <n v="41.49"/>
    <s v="Delayed"/>
    <s v="Pending"/>
    <s v="Standard"/>
    <s v="J. Smith"/>
    <s v="North America"/>
    <d v="2025-10-01T00:00:00"/>
    <x v="7"/>
  </r>
  <r>
    <x v="168"/>
    <s v="BK50744"/>
    <d v="2025-11-21T00:00:00"/>
    <d v="2025-11-24T00:00:00"/>
    <d v="2025-12-04T00:00:00"/>
    <s v="LG"/>
    <s v="Electronics"/>
    <s v="South Korea"/>
    <s v="Nhava Sheva"/>
    <s v="New York"/>
    <x v="2"/>
    <s v="Mary Maersk"/>
    <s v="20FT"/>
    <n v="1"/>
    <s v="Auto Parts"/>
    <n v="23148.720000000001"/>
    <n v="6833.19"/>
    <n v="1341.31"/>
    <n v="634.09"/>
    <n v="231.49"/>
    <n v="490.29"/>
    <n v="2104.25"/>
    <n v="11514.1"/>
    <n v="12"/>
    <s v="Weather"/>
    <n v="56.94"/>
    <s v="Delayed"/>
    <s v="Paid"/>
    <s v="Standard"/>
    <s v="A. Tan"/>
    <s v="Middle East"/>
    <d v="2025-11-01T00:00:00"/>
    <x v="15"/>
  </r>
  <r>
    <x v="169"/>
    <s v="BK50967"/>
    <d v="2025-10-27T00:00:00"/>
    <d v="2025-10-28T00:00:00"/>
    <d v="2025-11-20T00:00:00"/>
    <s v="IKEA"/>
    <s v="Retail"/>
    <s v="Sweden"/>
    <s v="Singapore"/>
    <s v="Nhava Sheva"/>
    <x v="2"/>
    <s v="OOCL Hong Kong"/>
    <s v="Reefer"/>
    <n v="2"/>
    <s v="Furniture"/>
    <n v="23161.88"/>
    <n v="5754.79"/>
    <n v="1509.7"/>
    <n v="452.81"/>
    <n v="231.62"/>
    <n v="294.14999999999998"/>
    <n v="980.28"/>
    <n v="13938.53"/>
    <n v="24"/>
    <s v="Labor Strike"/>
    <n v="47.96"/>
    <s v="Delayed"/>
    <s v="Paid"/>
    <s v="Critical"/>
    <s v="A. Tan"/>
    <s v="Middle East"/>
    <d v="2025-10-01T00:00:00"/>
    <x v="7"/>
  </r>
  <r>
    <x v="170"/>
    <s v="BK50509"/>
    <d v="2025-01-17T00:00:00"/>
    <d v="2025-01-19T00:00:00"/>
    <d v="2025-02-13T00:00:00"/>
    <s v="Unilever"/>
    <s v="FMCG"/>
    <s v="UK"/>
    <s v="Busan"/>
    <s v="Los Angeles"/>
    <x v="3"/>
    <s v="Ever Ace"/>
    <s v="Reefer"/>
    <n v="2"/>
    <s v="Auto Parts"/>
    <n v="23166.080000000002"/>
    <n v="4245.45"/>
    <n v="1537.53"/>
    <n v="575.41999999999996"/>
    <n v="231.66"/>
    <n v="162.56"/>
    <n v="574.64"/>
    <n v="15838.82"/>
    <n v="0"/>
    <s v="None"/>
    <n v="35.380000000000003"/>
    <s v="Completed"/>
    <s v="Paid"/>
    <s v="Critical"/>
    <s v="J. Smith"/>
    <s v="North America"/>
    <d v="2025-01-01T00:00:00"/>
    <x v="10"/>
  </r>
  <r>
    <x v="171"/>
    <s v="BK50401"/>
    <d v="2025-04-22T00:00:00"/>
    <d v="2025-04-23T00:00:00"/>
    <d v="2025-05-12T00:00:00"/>
    <s v="LG"/>
    <s v="Electronics"/>
    <s v="South Korea"/>
    <s v="Busan"/>
    <s v="Nhava Sheva"/>
    <x v="2"/>
    <s v="Ever Ace"/>
    <s v="40FT"/>
    <n v="1"/>
    <s v="Textiles"/>
    <n v="23268.74"/>
    <n v="6847.1"/>
    <n v="1410.76"/>
    <n v="696.78"/>
    <n v="232.69"/>
    <n v="628.20000000000005"/>
    <n v="2276.4499999999998"/>
    <n v="11176.76"/>
    <n v="8"/>
    <s v="Mechanical"/>
    <n v="57.06"/>
    <s v="Delayed"/>
    <s v="Paid"/>
    <s v="Standard"/>
    <s v="A. Tan"/>
    <s v="Asia"/>
    <d v="2025-04-01T00:00:00"/>
    <x v="11"/>
  </r>
  <r>
    <x v="172"/>
    <s v="BK50976"/>
    <d v="2025-12-16T00:00:00"/>
    <d v="2025-12-19T00:00:00"/>
    <d v="2026-01-13T00:00:00"/>
    <s v="IKEA"/>
    <s v="Retail"/>
    <s v="Sweden"/>
    <s v="Jebel Ali"/>
    <s v="Nhava Sheva"/>
    <x v="0"/>
    <s v="Ever Ace"/>
    <s v="20FT"/>
    <n v="1"/>
    <s v="Chemicals"/>
    <n v="23338.11"/>
    <n v="4890.66"/>
    <n v="1203.44"/>
    <n v="457.66"/>
    <n v="233.38"/>
    <n v="492.23"/>
    <n v="942.27"/>
    <n v="15118.47"/>
    <n v="0"/>
    <s v="None"/>
    <n v="40.76"/>
    <s v="Completed"/>
    <s v="Paid"/>
    <s v="Critical"/>
    <s v="R. Mehta"/>
    <s v="North America"/>
    <d v="2025-12-01T00:00:00"/>
    <x v="10"/>
  </r>
  <r>
    <x v="173"/>
    <s v="BK50719"/>
    <d v="2025-08-05T00:00:00"/>
    <d v="2025-08-07T00:00:00"/>
    <d v="2025-09-03T00:00:00"/>
    <s v="Unilever"/>
    <s v="FMCG"/>
    <s v="UK"/>
    <s v="Hamburg"/>
    <s v="Jebel Ali"/>
    <x v="2"/>
    <s v="OOCL Hong Kong"/>
    <s v="20FT"/>
    <n v="2"/>
    <s v="Electronics"/>
    <n v="23379.03"/>
    <n v="6401.14"/>
    <n v="984.33"/>
    <n v="317.10000000000002"/>
    <n v="233.79"/>
    <n v="845.61"/>
    <n v="2062.17"/>
    <n v="12534.89"/>
    <n v="8"/>
    <s v="Weather"/>
    <n v="53.34"/>
    <s v="Delayed"/>
    <s v="Pending"/>
    <s v="Critical"/>
    <s v="R. Mehta"/>
    <s v="Middle East"/>
    <d v="2025-08-01T00:00:00"/>
    <x v="2"/>
  </r>
  <r>
    <x v="174"/>
    <s v="BK50402"/>
    <d v="2025-11-23T00:00:00"/>
    <d v="2025-11-25T00:00:00"/>
    <d v="2025-12-21T00:00:00"/>
    <s v="Nestlé"/>
    <s v="Food"/>
    <s v="Switzerland"/>
    <s v="Colombo"/>
    <s v="Singapore"/>
    <x v="4"/>
    <s v="OOCL Hong Kong"/>
    <s v="High Cube"/>
    <n v="2"/>
    <s v="Chemicals"/>
    <n v="23513.66"/>
    <n v="4530.88"/>
    <n v="1005.1"/>
    <n v="547.03"/>
    <n v="235.14"/>
    <n v="436.13"/>
    <n v="2216.66"/>
    <n v="14542.72"/>
    <n v="0"/>
    <s v="None"/>
    <n v="37.76"/>
    <s v="Completed"/>
    <s v="Paid"/>
    <s v="High"/>
    <s v="M. Ahmed"/>
    <s v="Asia"/>
    <d v="2025-11-01T00:00:00"/>
    <x v="3"/>
  </r>
  <r>
    <x v="175"/>
    <s v="BK50570"/>
    <d v="2025-01-26T00:00:00"/>
    <d v="2025-01-28T00:00:00"/>
    <d v="2025-02-11T00:00:00"/>
    <s v="Pfizer"/>
    <s v="Pharma"/>
    <s v="USA"/>
    <s v="Singapore"/>
    <s v="Rotterdam"/>
    <x v="1"/>
    <s v="Mary Maersk"/>
    <s v="20FT"/>
    <n v="1"/>
    <s v="Food"/>
    <n v="23516.73"/>
    <n v="6036.28"/>
    <n v="1175.01"/>
    <n v="382.58"/>
    <n v="235.17"/>
    <n v="373.25"/>
    <n v="2137.46"/>
    <n v="13176.98"/>
    <n v="0"/>
    <s v="None"/>
    <n v="50.3"/>
    <s v="Completed"/>
    <s v="Paid"/>
    <s v="Critical"/>
    <s v="J. Smith"/>
    <s v="Asia"/>
    <d v="2025-01-01T00:00:00"/>
    <x v="1"/>
  </r>
  <r>
    <x v="176"/>
    <s v="BK50400"/>
    <d v="2025-04-15T00:00:00"/>
    <d v="2025-04-18T00:00:00"/>
    <d v="2025-05-14T00:00:00"/>
    <s v="Adidas"/>
    <s v="Retail"/>
    <s v="Germany"/>
    <s v="Busan"/>
    <s v="Los Angeles"/>
    <x v="3"/>
    <s v="Mumbai Maersk"/>
    <s v="40FT"/>
    <n v="1"/>
    <s v="Textiles"/>
    <n v="23527.24"/>
    <n v="5536.14"/>
    <n v="1170.17"/>
    <n v="347.68"/>
    <n v="235.27"/>
    <n v="788.11"/>
    <n v="1431.94"/>
    <n v="14017.93"/>
    <n v="0"/>
    <s v="None"/>
    <n v="46.13"/>
    <s v="Completed"/>
    <s v="Pending"/>
    <s v="Critical"/>
    <s v="A. Tan"/>
    <s v="Europe"/>
    <d v="2025-04-01T00:00:00"/>
    <x v="3"/>
  </r>
  <r>
    <x v="177"/>
    <s v="BK50066"/>
    <d v="2025-08-16T00:00:00"/>
    <d v="2025-08-17T00:00:00"/>
    <d v="2025-09-10T00:00:00"/>
    <s v="IKEA"/>
    <s v="Retail"/>
    <s v="Sweden"/>
    <s v="Busan"/>
    <s v="Los Angeles"/>
    <x v="3"/>
    <s v="MSC Gülsün"/>
    <s v="High Cube"/>
    <n v="1"/>
    <s v="Textiles"/>
    <n v="23576.99"/>
    <n v="5585.4"/>
    <n v="1525.39"/>
    <n v="643.13"/>
    <n v="235.77"/>
    <n v="182.25"/>
    <n v="1084.6600000000001"/>
    <n v="14320.39"/>
    <n v="0"/>
    <s v="None"/>
    <n v="46.54"/>
    <s v="Completed"/>
    <s v="Paid"/>
    <s v="High"/>
    <s v="J. Smith"/>
    <s v="Europe"/>
    <d v="2025-08-01T00:00:00"/>
    <x v="8"/>
  </r>
  <r>
    <x v="178"/>
    <s v="BK50314"/>
    <d v="2025-06-22T00:00:00"/>
    <d v="2025-06-24T00:00:00"/>
    <d v="2025-07-22T00:00:00"/>
    <s v="Unilever"/>
    <s v="FMCG"/>
    <s v="UK"/>
    <s v="Busan"/>
    <s v="Los Angeles"/>
    <x v="3"/>
    <s v="Ever Ace"/>
    <s v="20FT"/>
    <n v="1"/>
    <s v="Chemicals"/>
    <n v="23599.05"/>
    <n v="4157.3900000000003"/>
    <n v="1667.75"/>
    <n v="443.87"/>
    <n v="235.99"/>
    <n v="804.91"/>
    <n v="2298"/>
    <n v="13991.14"/>
    <n v="0"/>
    <s v="None"/>
    <n v="34.64"/>
    <s v="Completed"/>
    <s v="Pending"/>
    <s v="Critical"/>
    <s v="J. Smith"/>
    <s v="North America"/>
    <d v="2025-06-01T00:00:00"/>
    <x v="17"/>
  </r>
  <r>
    <x v="179"/>
    <s v="BK50512"/>
    <d v="2025-05-22T00:00:00"/>
    <d v="2025-05-24T00:00:00"/>
    <d v="2025-06-20T00:00:00"/>
    <s v="Unilever"/>
    <s v="FMCG"/>
    <s v="UK"/>
    <s v="Shanghai"/>
    <s v="Rotterdam"/>
    <x v="1"/>
    <s v="Mumbai Maersk"/>
    <s v="40FT"/>
    <n v="1"/>
    <s v="Electronics"/>
    <n v="23631.03"/>
    <n v="6567.62"/>
    <n v="1603.16"/>
    <n v="333.37"/>
    <n v="236.31"/>
    <n v="374.09"/>
    <n v="1037.1199999999999"/>
    <n v="13479.36"/>
    <n v="48"/>
    <s v="Port Congestion"/>
    <n v="54.73"/>
    <s v="Delayed"/>
    <s v="Paid"/>
    <s v="Standard"/>
    <s v="R. Mehta"/>
    <s v="North America"/>
    <d v="2025-05-01T00:00:00"/>
    <x v="2"/>
  </r>
  <r>
    <x v="180"/>
    <s v="BK50391"/>
    <d v="2025-05-23T00:00:00"/>
    <d v="2025-05-25T00:00:00"/>
    <d v="2025-06-06T00:00:00"/>
    <s v="Unilever"/>
    <s v="FMCG"/>
    <s v="UK"/>
    <s v="Singapore"/>
    <s v="New York"/>
    <x v="2"/>
    <s v="Mumbai Maersk"/>
    <s v="20FT"/>
    <n v="1"/>
    <s v="Auto Parts"/>
    <n v="23834.57"/>
    <n v="6417.03"/>
    <n v="1838.16"/>
    <n v="595.65"/>
    <n v="238.35"/>
    <n v="205.67"/>
    <n v="1766.65"/>
    <n v="12773.06"/>
    <n v="12"/>
    <s v="Weather"/>
    <n v="53.48"/>
    <s v="Delayed"/>
    <s v="Pending"/>
    <s v="Standard"/>
    <s v="R. Mehta"/>
    <s v="Europe"/>
    <d v="2025-05-01T00:00:00"/>
    <x v="12"/>
  </r>
  <r>
    <x v="181"/>
    <s v="BK50388"/>
    <d v="2025-04-19T00:00:00"/>
    <d v="2025-04-21T00:00:00"/>
    <d v="2025-05-02T00:00:00"/>
    <s v="Samsung"/>
    <s v="Electronics"/>
    <s v="South Korea"/>
    <s v="Rotterdam"/>
    <s v="Busan"/>
    <x v="2"/>
    <s v="Mumbai Maersk"/>
    <s v="40FT"/>
    <n v="1"/>
    <s v="Electronics"/>
    <n v="24096.05"/>
    <n v="7043.33"/>
    <n v="1003.2"/>
    <n v="671.53"/>
    <n v="240.96"/>
    <n v="493.6"/>
    <n v="381.6"/>
    <n v="14261.83"/>
    <n v="4"/>
    <s v="Customs"/>
    <n v="58.69"/>
    <s v="Delayed"/>
    <s v="Paid"/>
    <s v="Standard"/>
    <s v="J. Smith"/>
    <s v="North America"/>
    <d v="2025-04-01T00:00:00"/>
    <x v="5"/>
  </r>
  <r>
    <x v="182"/>
    <s v="BK50385"/>
    <d v="2025-04-04T00:00:00"/>
    <d v="2025-04-07T00:00:00"/>
    <d v="2025-04-27T00:00:00"/>
    <s v="Toyota"/>
    <s v="Automotive"/>
    <s v="Japan"/>
    <s v="Jebel Ali"/>
    <s v="Nhava Sheva"/>
    <x v="0"/>
    <s v="Ever Ace"/>
    <s v="20FT"/>
    <n v="1"/>
    <s v="Electronics"/>
    <n v="24153.46"/>
    <n v="6134.2"/>
    <n v="1101.9100000000001"/>
    <n v="679.7"/>
    <n v="241.53"/>
    <n v="708.97"/>
    <n v="2318.77"/>
    <n v="12968.38"/>
    <n v="0"/>
    <s v="None"/>
    <n v="51.12"/>
    <s v="Completed"/>
    <s v="Paid"/>
    <s v="Standard"/>
    <s v="L. Chen"/>
    <s v="Middle East"/>
    <d v="2025-04-01T00:00:00"/>
    <x v="16"/>
  </r>
  <r>
    <x v="183"/>
    <s v="BK50027"/>
    <d v="2025-08-03T00:00:00"/>
    <d v="2025-08-05T00:00:00"/>
    <d v="2025-08-30T00:00:00"/>
    <s v="Samsung"/>
    <s v="Electronics"/>
    <s v="South Korea"/>
    <s v="Shanghai"/>
    <s v="Rotterdam"/>
    <x v="1"/>
    <s v="Ever Ace"/>
    <s v="40FT"/>
    <n v="1"/>
    <s v="Food"/>
    <n v="24286.98"/>
    <n v="5524.66"/>
    <n v="1068.28"/>
    <n v="353.86"/>
    <n v="242.87"/>
    <n v="382.18"/>
    <n v="364.25"/>
    <n v="16350.88"/>
    <n v="0"/>
    <s v="None"/>
    <n v="46.04"/>
    <s v="Completed"/>
    <s v="Pending"/>
    <s v="High"/>
    <s v="J. Smith"/>
    <s v="Europe"/>
    <d v="2025-08-01T00:00:00"/>
    <x v="10"/>
  </r>
  <r>
    <x v="184"/>
    <s v="BK50725"/>
    <d v="2025-01-03T00:00:00"/>
    <d v="2025-01-04T00:00:00"/>
    <d v="2025-01-25T00:00:00"/>
    <s v="Toyota"/>
    <s v="Automotive"/>
    <s v="Japan"/>
    <s v="Nhava Sheva"/>
    <s v="Colombo"/>
    <x v="2"/>
    <s v="OOCL Hong Kong"/>
    <s v="40FT"/>
    <n v="2"/>
    <s v="Textiles"/>
    <n v="24381.03"/>
    <n v="4792.7299999999996"/>
    <n v="1231.07"/>
    <n v="530.4"/>
    <n v="243.81"/>
    <n v="244.49"/>
    <n v="2081.11"/>
    <n v="15257.42"/>
    <n v="36"/>
    <s v="Customs"/>
    <n v="39.94"/>
    <s v="Delayed"/>
    <s v="Pending"/>
    <s v="Critical"/>
    <s v="J. Smith"/>
    <s v="Middle East"/>
    <d v="2025-01-01T00:00:00"/>
    <x v="9"/>
  </r>
  <r>
    <x v="185"/>
    <s v="BK50755"/>
    <d v="2025-09-01T00:00:00"/>
    <d v="2025-09-04T00:00:00"/>
    <d v="2025-09-29T00:00:00"/>
    <s v="Toyota"/>
    <s v="Automotive"/>
    <s v="Japan"/>
    <s v="New York"/>
    <s v="Hamburg"/>
    <x v="2"/>
    <s v="Madrid Maersk"/>
    <s v="20FT"/>
    <n v="4"/>
    <s v="Textiles"/>
    <n v="24478.54"/>
    <n v="6126.96"/>
    <n v="1687.99"/>
    <n v="319.38"/>
    <n v="244.79"/>
    <n v="626.63"/>
    <n v="1660.38"/>
    <n v="13812.41"/>
    <n v="0"/>
    <s v="None"/>
    <n v="51.06"/>
    <s v="Completed"/>
    <s v="Pending"/>
    <s v="High"/>
    <s v="L. Chen"/>
    <s v="Middle East"/>
    <d v="2025-09-01T00:00:00"/>
    <x v="10"/>
  </r>
  <r>
    <x v="186"/>
    <s v="BK50096"/>
    <d v="2025-09-12T00:00:00"/>
    <d v="2025-09-14T00:00:00"/>
    <d v="2025-09-29T00:00:00"/>
    <s v="Nestlé"/>
    <s v="Food"/>
    <s v="Switzerland"/>
    <s v="Busan"/>
    <s v="Los Angeles"/>
    <x v="3"/>
    <s v="Monaco Maersk"/>
    <s v="High Cube"/>
    <n v="2"/>
    <s v="Food"/>
    <n v="24510.37"/>
    <n v="5922.21"/>
    <n v="1875.19"/>
    <n v="366.96"/>
    <n v="245.1"/>
    <n v="543.51"/>
    <n v="1228.21"/>
    <n v="14329.19"/>
    <n v="12"/>
    <s v="Customs"/>
    <n v="49.35"/>
    <s v="Delayed"/>
    <s v="Paid"/>
    <s v="High"/>
    <s v="R. Mehta"/>
    <s v="Europe"/>
    <d v="2025-09-01T00:00:00"/>
    <x v="6"/>
  </r>
  <r>
    <x v="187"/>
    <s v="BK50251"/>
    <d v="2025-08-13T00:00:00"/>
    <d v="2025-08-14T00:00:00"/>
    <d v="2025-08-30T00:00:00"/>
    <s v="Pfizer"/>
    <s v="Pharma"/>
    <s v="USA"/>
    <s v="Shanghai"/>
    <s v="Nhava Sheva"/>
    <x v="2"/>
    <s v="Mumbai Maersk"/>
    <s v="40FT"/>
    <n v="4"/>
    <s v="Food"/>
    <n v="24755"/>
    <n v="5210.1000000000004"/>
    <n v="1004.35"/>
    <n v="712.95"/>
    <n v="247.55"/>
    <n v="152.75"/>
    <n v="1972.75"/>
    <n v="15454.55"/>
    <n v="48"/>
    <s v="Weather"/>
    <n v="43.42"/>
    <s v="Delayed"/>
    <s v="Pending"/>
    <s v="Critical"/>
    <s v="L. Chen"/>
    <s v="Middle East"/>
    <d v="2025-08-01T00:00:00"/>
    <x v="0"/>
  </r>
  <r>
    <x v="188"/>
    <s v="BK50945"/>
    <d v="2025-06-12T00:00:00"/>
    <d v="2025-06-16T00:00:00"/>
    <d v="2025-07-08T00:00:00"/>
    <s v="Samsung"/>
    <s v="Electronics"/>
    <s v="South Korea"/>
    <s v="Singapore"/>
    <s v="Singapore"/>
    <x v="2"/>
    <s v="OOCL Hong Kong"/>
    <s v="High Cube"/>
    <n v="2"/>
    <s v="Food"/>
    <n v="24818.91"/>
    <n v="5922.09"/>
    <n v="1425.31"/>
    <n v="293.99"/>
    <n v="248.19"/>
    <n v="228.68"/>
    <n v="1167.95"/>
    <n v="15532.7"/>
    <n v="0"/>
    <s v="None"/>
    <n v="49.35"/>
    <s v="Completed"/>
    <s v="Paid"/>
    <s v="Critical"/>
    <s v="L. Chen"/>
    <s v="Asia"/>
    <d v="2025-06-01T00:00:00"/>
    <x v="4"/>
  </r>
  <r>
    <x v="189"/>
    <s v="BK50795"/>
    <d v="2025-01-17T00:00:00"/>
    <d v="2025-01-19T00:00:00"/>
    <d v="2025-02-15T00:00:00"/>
    <s v="Reliance"/>
    <s v="Retail"/>
    <s v="India"/>
    <s v="Singapore"/>
    <s v="Rotterdam"/>
    <x v="1"/>
    <s v="OOCL Hong Kong"/>
    <s v="High Cube"/>
    <n v="2"/>
    <s v="Furniture"/>
    <n v="24889.05"/>
    <n v="7131.84"/>
    <n v="1501.18"/>
    <n v="718.73"/>
    <n v="248.89"/>
    <n v="687.47"/>
    <n v="2282.23"/>
    <n v="12318.71"/>
    <n v="48"/>
    <s v="Mechanical"/>
    <n v="59.43"/>
    <s v="Delayed"/>
    <s v="Paid"/>
    <s v="High"/>
    <s v="L. Chen"/>
    <s v="Europe"/>
    <d v="2025-01-01T00:00:00"/>
    <x v="2"/>
  </r>
  <r>
    <x v="190"/>
    <s v="BK50443"/>
    <d v="2025-08-29T00:00:00"/>
    <d v="2025-09-02T00:00:00"/>
    <d v="2025-09-21T00:00:00"/>
    <s v="Amazon"/>
    <s v="E-commerce"/>
    <s v="USA"/>
    <s v="Colombo"/>
    <s v="Jebel Ali"/>
    <x v="2"/>
    <s v="Madrid Maersk"/>
    <s v="20FT"/>
    <n v="2"/>
    <s v="Textiles"/>
    <n v="24936.38"/>
    <n v="5893.77"/>
    <n v="1869.74"/>
    <n v="608.38"/>
    <n v="249.36"/>
    <n v="633.12"/>
    <n v="2467.88"/>
    <n v="13214.13"/>
    <n v="24"/>
    <s v="Port Congestion"/>
    <n v="49.11"/>
    <s v="Delayed"/>
    <s v="Paid"/>
    <s v="Standard"/>
    <s v="J. Smith"/>
    <s v="Asia"/>
    <d v="2025-08-01T00:00:00"/>
    <x v="11"/>
  </r>
  <r>
    <x v="191"/>
    <s v="BK50452"/>
    <d v="2025-08-12T00:00:00"/>
    <d v="2025-08-15T00:00:00"/>
    <d v="2025-08-31T00:00:00"/>
    <s v="Reliance"/>
    <s v="Retail"/>
    <s v="India"/>
    <s v="Busan"/>
    <s v="Los Angeles"/>
    <x v="3"/>
    <s v="MSC Gülsün"/>
    <s v="High Cube"/>
    <n v="1"/>
    <s v="Electronics"/>
    <n v="25573.08"/>
    <n v="6931.01"/>
    <n v="1144.4100000000001"/>
    <n v="392.91"/>
    <n v="255.73"/>
    <n v="559.74"/>
    <n v="887.28"/>
    <n v="15402"/>
    <n v="36"/>
    <s v="Labor Strike"/>
    <n v="57.76"/>
    <s v="Delayed"/>
    <s v="Paid"/>
    <s v="Critical"/>
    <s v="J. Smith"/>
    <s v="Asia"/>
    <d v="2025-08-01T00:00:00"/>
    <x v="0"/>
  </r>
  <r>
    <x v="192"/>
    <s v="BK50357"/>
    <d v="2025-12-17T00:00:00"/>
    <d v="2025-12-21T00:00:00"/>
    <d v="2026-01-12T00:00:00"/>
    <s v="Reliance"/>
    <s v="Retail"/>
    <s v="India"/>
    <s v="Shanghai"/>
    <s v="Rotterdam"/>
    <x v="1"/>
    <s v="CMA CGM Jacques Saadé"/>
    <s v="40FT"/>
    <n v="2"/>
    <s v="Food"/>
    <n v="25703.64"/>
    <n v="7375.15"/>
    <n v="1711.99"/>
    <n v="371.39"/>
    <n v="257.04000000000002"/>
    <n v="527.14"/>
    <n v="433.63"/>
    <n v="15027.3"/>
    <n v="12"/>
    <s v="Labor Strike"/>
    <n v="61.46"/>
    <s v="Delayed"/>
    <s v="Pending"/>
    <s v="Standard"/>
    <s v="J. Smith"/>
    <s v="Middle East"/>
    <d v="2025-12-01T00:00:00"/>
    <x v="4"/>
  </r>
  <r>
    <x v="193"/>
    <s v="BK50893"/>
    <d v="2025-03-01T00:00:00"/>
    <d v="2025-03-03T00:00:00"/>
    <d v="2025-03-30T00:00:00"/>
    <s v="Pfizer"/>
    <s v="Pharma"/>
    <s v="USA"/>
    <s v="Shanghai"/>
    <s v="Rotterdam"/>
    <x v="1"/>
    <s v="Mary Maersk"/>
    <s v="Reefer"/>
    <n v="2"/>
    <s v="Food"/>
    <n v="25796.73"/>
    <n v="6825.72"/>
    <n v="1416.73"/>
    <n v="400.59"/>
    <n v="257.97000000000003"/>
    <n v="115.16"/>
    <n v="1571.09"/>
    <n v="15209.47"/>
    <n v="8"/>
    <s v="Port Congestion"/>
    <n v="56.88"/>
    <s v="Delayed"/>
    <s v="Pending"/>
    <s v="High"/>
    <s v="J. Smith"/>
    <s v="Europe"/>
    <d v="2025-03-01T00:00:00"/>
    <x v="2"/>
  </r>
  <r>
    <x v="194"/>
    <s v="BK50310"/>
    <d v="2025-05-17T00:00:00"/>
    <d v="2025-05-19T00:00:00"/>
    <d v="2025-06-13T00:00:00"/>
    <s v="Unilever"/>
    <s v="FMCG"/>
    <s v="UK"/>
    <s v="Colombo"/>
    <s v="Singapore"/>
    <x v="4"/>
    <s v="Mumbai Maersk"/>
    <s v="20FT"/>
    <n v="1"/>
    <s v="Machinery"/>
    <n v="25811.18"/>
    <n v="5286.35"/>
    <n v="1789.56"/>
    <n v="264.11"/>
    <n v="258.11"/>
    <n v="683.25"/>
    <n v="1564.6"/>
    <n v="15965.2"/>
    <n v="8"/>
    <s v="Labor Strike"/>
    <n v="44.05"/>
    <s v="Delayed"/>
    <s v="Pending"/>
    <s v="Standard"/>
    <s v="J. Smith"/>
    <s v="Asia"/>
    <d v="2025-05-01T00:00:00"/>
    <x v="10"/>
  </r>
  <r>
    <x v="195"/>
    <s v="BK50060"/>
    <d v="2025-12-18T00:00:00"/>
    <d v="2025-12-21T00:00:00"/>
    <d v="2026-01-08T00:00:00"/>
    <s v="LG"/>
    <s v="Electronics"/>
    <s v="South Korea"/>
    <s v="Busan"/>
    <s v="Los Angeles"/>
    <x v="3"/>
    <s v="Ever Ace"/>
    <s v="High Cube"/>
    <n v="2"/>
    <s v="Machinery"/>
    <n v="25988.73"/>
    <n v="7709.04"/>
    <n v="1214.05"/>
    <n v="706.44"/>
    <n v="259.89"/>
    <n v="311.26"/>
    <n v="2109.9899999999998"/>
    <n v="13678.06"/>
    <n v="0"/>
    <s v="None"/>
    <n v="64.239999999999995"/>
    <s v="Completed"/>
    <s v="Paid"/>
    <s v="High"/>
    <s v="L. Chen"/>
    <s v="Middle East"/>
    <d v="2025-12-01T00:00:00"/>
    <x v="14"/>
  </r>
  <r>
    <x v="196"/>
    <s v="BK50189"/>
    <d v="2025-07-08T00:00:00"/>
    <d v="2025-07-09T00:00:00"/>
    <d v="2025-08-03T00:00:00"/>
    <s v="Nestlé"/>
    <s v="Food"/>
    <s v="Switzerland"/>
    <s v="Busan"/>
    <s v="Los Angeles"/>
    <x v="3"/>
    <s v="Mumbai Maersk"/>
    <s v="20FT"/>
    <n v="1"/>
    <s v="Electronics"/>
    <n v="26013.02"/>
    <n v="7347.59"/>
    <n v="1873.39"/>
    <n v="495.72"/>
    <n v="260.13"/>
    <n v="498.49"/>
    <n v="1225.1199999999999"/>
    <n v="14312.58"/>
    <n v="0"/>
    <s v="None"/>
    <n v="61.23"/>
    <s v="Completed"/>
    <s v="Pending"/>
    <s v="Critical"/>
    <s v="A. Tan"/>
    <s v="Europe"/>
    <d v="2025-07-01T00:00:00"/>
    <x v="10"/>
  </r>
  <r>
    <x v="197"/>
    <s v="BK50606"/>
    <d v="2025-06-30T00:00:00"/>
    <d v="2025-07-01T00:00:00"/>
    <d v="2025-07-27T00:00:00"/>
    <s v="Bosch"/>
    <s v="Manufacturing"/>
    <s v="Germany"/>
    <s v="Colombo"/>
    <s v="Singapore"/>
    <x v="4"/>
    <s v="OOCL Hong Kong"/>
    <s v="High Cube"/>
    <n v="4"/>
    <s v="Electronics"/>
    <n v="26042.13"/>
    <n v="5266.96"/>
    <n v="1240.3399999999999"/>
    <n v="725.8"/>
    <n v="260.42"/>
    <n v="229.73"/>
    <n v="1064.3399999999999"/>
    <n v="17254.54"/>
    <n v="24"/>
    <s v="Labor Strike"/>
    <n v="43.89"/>
    <s v="Delayed"/>
    <s v="Paid"/>
    <s v="High"/>
    <s v="J. Smith"/>
    <s v="Europe"/>
    <d v="2025-06-01T00:00:00"/>
    <x v="3"/>
  </r>
  <r>
    <x v="198"/>
    <s v="BK50262"/>
    <d v="2025-10-24T00:00:00"/>
    <d v="2025-10-28T00:00:00"/>
    <d v="2025-11-10T00:00:00"/>
    <s v="Bosch"/>
    <s v="Manufacturing"/>
    <s v="Germany"/>
    <s v="Jebel Ali"/>
    <s v="Nhava Sheva"/>
    <x v="0"/>
    <s v="Madrid Maersk"/>
    <s v="40FT"/>
    <n v="2"/>
    <s v="Electronics"/>
    <n v="26048.14"/>
    <n v="6434.89"/>
    <n v="1845.9"/>
    <n v="720.25"/>
    <n v="260.48"/>
    <n v="291.92"/>
    <n v="1796.4"/>
    <n v="14698.3"/>
    <n v="12"/>
    <s v="Port Congestion"/>
    <n v="53.62"/>
    <s v="Delayed"/>
    <s v="Paid"/>
    <s v="High"/>
    <s v="J. Smith"/>
    <s v="Asia"/>
    <d v="2025-10-01T00:00:00"/>
    <x v="13"/>
  </r>
  <r>
    <x v="199"/>
    <s v="BK50787"/>
    <d v="2025-02-22T00:00:00"/>
    <d v="2025-02-25T00:00:00"/>
    <d v="2025-03-12T00:00:00"/>
    <s v="Adidas"/>
    <s v="Retail"/>
    <s v="Germany"/>
    <s v="Singapore"/>
    <s v="Rotterdam"/>
    <x v="1"/>
    <s v="Monaco Maersk"/>
    <s v="40FT"/>
    <n v="2"/>
    <s v="Furniture"/>
    <n v="26087.22"/>
    <n v="7444.45"/>
    <n v="1805.99"/>
    <n v="469.66"/>
    <n v="260.87"/>
    <n v="286.08999999999997"/>
    <n v="1168.32"/>
    <n v="14651.84"/>
    <n v="0"/>
    <s v="None"/>
    <n v="62.04"/>
    <s v="Completed"/>
    <s v="Pending"/>
    <s v="Standard"/>
    <s v="J. Smith"/>
    <s v="Asia"/>
    <d v="2025-02-01T00:00:00"/>
    <x v="6"/>
  </r>
  <r>
    <x v="200"/>
    <s v="BK50229"/>
    <d v="2025-11-19T00:00:00"/>
    <d v="2025-11-21T00:00:00"/>
    <d v="2025-12-15T00:00:00"/>
    <s v="Reliance"/>
    <s v="Retail"/>
    <s v="India"/>
    <s v="Singapore"/>
    <s v="Nhava Sheva"/>
    <x v="2"/>
    <s v="OOCL Hong Kong"/>
    <s v="40FT"/>
    <n v="1"/>
    <s v="Furniture"/>
    <n v="26093.43"/>
    <n v="5869.93"/>
    <n v="1413.29"/>
    <n v="472.04"/>
    <n v="260.93"/>
    <n v="509.6"/>
    <n v="1192.47"/>
    <n v="16375.17"/>
    <n v="36"/>
    <s v="Labor Strike"/>
    <n v="48.92"/>
    <s v="Delayed"/>
    <s v="Pending"/>
    <s v="High"/>
    <s v="R. Mehta"/>
    <s v="Asia"/>
    <d v="2025-11-01T00:00:00"/>
    <x v="8"/>
  </r>
  <r>
    <x v="201"/>
    <s v="BK50820"/>
    <d v="2025-09-11T00:00:00"/>
    <d v="2025-09-15T00:00:00"/>
    <d v="2025-10-08T00:00:00"/>
    <s v="Bosch"/>
    <s v="Manufacturing"/>
    <s v="Germany"/>
    <s v="Singapore"/>
    <s v="Rotterdam"/>
    <x v="1"/>
    <s v="Mumbai Maersk"/>
    <s v="40FT"/>
    <n v="1"/>
    <s v="Chemicals"/>
    <n v="26107.62"/>
    <n v="7237.69"/>
    <n v="1895.4"/>
    <n v="738.76"/>
    <n v="261.08"/>
    <n v="868.66"/>
    <n v="793.82"/>
    <n v="14312.21"/>
    <n v="4"/>
    <s v="Port Congestion"/>
    <n v="60.31"/>
    <s v="Delayed"/>
    <s v="Paid"/>
    <s v="Critical"/>
    <s v="A. Tan"/>
    <s v="Middle East"/>
    <d v="2025-09-01T00:00:00"/>
    <x v="7"/>
  </r>
  <r>
    <x v="202"/>
    <s v="BK50916"/>
    <d v="2025-09-07T00:00:00"/>
    <d v="2025-09-08T00:00:00"/>
    <d v="2025-09-25T00:00:00"/>
    <s v="Amazon"/>
    <s v="E-commerce"/>
    <s v="USA"/>
    <s v="Singapore"/>
    <s v="Hamburg"/>
    <x v="2"/>
    <s v="Ever Ace"/>
    <s v="Reefer"/>
    <n v="4"/>
    <s v="Textiles"/>
    <n v="26427.39"/>
    <n v="7576.9"/>
    <n v="1999.81"/>
    <n v="434.65"/>
    <n v="264.27"/>
    <n v="425.85"/>
    <n v="1490.62"/>
    <n v="14235.29"/>
    <n v="24"/>
    <s v="Mechanical"/>
    <n v="63.14"/>
    <s v="Delayed"/>
    <s v="Paid"/>
    <s v="Standard"/>
    <s v="L. Chen"/>
    <s v="Asia"/>
    <d v="2025-09-01T00:00:00"/>
    <x v="18"/>
  </r>
  <r>
    <x v="203"/>
    <s v="BK50735"/>
    <d v="2025-12-04T00:00:00"/>
    <d v="2025-12-05T00:00:00"/>
    <d v="2025-12-22T00:00:00"/>
    <s v="Nestlé"/>
    <s v="Food"/>
    <s v="Switzerland"/>
    <s v="Colombo"/>
    <s v="Singapore"/>
    <x v="4"/>
    <s v="Ever Ace"/>
    <s v="High Cube"/>
    <n v="2"/>
    <s v="Chemicals"/>
    <n v="26530.37"/>
    <n v="4776.05"/>
    <n v="1746.62"/>
    <n v="383.11"/>
    <n v="265.3"/>
    <n v="767.6"/>
    <n v="2277.36"/>
    <n v="16314.33"/>
    <n v="0"/>
    <s v="None"/>
    <n v="39.799999999999997"/>
    <s v="Completed"/>
    <s v="Pending"/>
    <s v="Standard"/>
    <s v="A. Tan"/>
    <s v="Europe"/>
    <d v="2025-12-01T00:00:00"/>
    <x v="18"/>
  </r>
  <r>
    <x v="204"/>
    <s v="BK50626"/>
    <d v="2025-05-24T00:00:00"/>
    <d v="2025-05-25T00:00:00"/>
    <d v="2025-06-19T00:00:00"/>
    <s v="Nestlé"/>
    <s v="Food"/>
    <s v="Switzerland"/>
    <s v="Shanghai"/>
    <s v="Colombo"/>
    <x v="2"/>
    <s v="Ever Ace"/>
    <s v="20FT"/>
    <n v="4"/>
    <s v="Chemicals"/>
    <n v="26571.01"/>
    <n v="4335.04"/>
    <n v="1359.94"/>
    <n v="384.35"/>
    <n v="265.70999999999998"/>
    <n v="863.22"/>
    <n v="551.30999999999995"/>
    <n v="18811.439999999999"/>
    <n v="48"/>
    <s v="Customs"/>
    <n v="36.130000000000003"/>
    <s v="Delayed"/>
    <s v="Pending"/>
    <s v="Standard"/>
    <s v="L. Chen"/>
    <s v="Asia"/>
    <d v="2025-05-01T00:00:00"/>
    <x v="10"/>
  </r>
  <r>
    <x v="205"/>
    <s v="BK50134"/>
    <d v="2025-07-09T00:00:00"/>
    <d v="2025-07-11T00:00:00"/>
    <d v="2025-07-22T00:00:00"/>
    <s v="Toyota"/>
    <s v="Automotive"/>
    <s v="Japan"/>
    <s v="Busan"/>
    <s v="Los Angeles"/>
    <x v="3"/>
    <s v="MSC Gülsün"/>
    <s v="High Cube"/>
    <n v="1"/>
    <s v="Machinery"/>
    <n v="26660.39"/>
    <n v="4468.03"/>
    <n v="2124.17"/>
    <n v="323.52999999999997"/>
    <n v="266.60000000000002"/>
    <n v="811.82"/>
    <n v="380.21"/>
    <n v="18286.03"/>
    <n v="24"/>
    <s v="Customs"/>
    <n v="37.229999999999997"/>
    <s v="Delayed"/>
    <s v="Paid"/>
    <s v="Standard"/>
    <s v="L. Chen"/>
    <s v="Europe"/>
    <d v="2025-07-01T00:00:00"/>
    <x v="5"/>
  </r>
  <r>
    <x v="206"/>
    <s v="BK50396"/>
    <d v="2025-09-03T00:00:00"/>
    <d v="2025-09-04T00:00:00"/>
    <d v="2025-09-27T00:00:00"/>
    <s v="Reliance"/>
    <s v="Retail"/>
    <s v="India"/>
    <s v="Busan"/>
    <s v="Los Angeles"/>
    <x v="3"/>
    <s v="OOCL Hong Kong"/>
    <s v="High Cube"/>
    <n v="1"/>
    <s v="Electronics"/>
    <n v="26669.43"/>
    <n v="7043.45"/>
    <n v="1660.62"/>
    <n v="435.49"/>
    <n v="266.69"/>
    <n v="898.31"/>
    <n v="318.35000000000002"/>
    <n v="16046.52"/>
    <n v="12"/>
    <s v="Labor Strike"/>
    <n v="58.7"/>
    <s v="Delayed"/>
    <s v="Paid"/>
    <s v="Standard"/>
    <s v="J. Smith"/>
    <s v="Middle East"/>
    <d v="2025-09-01T00:00:00"/>
    <x v="7"/>
  </r>
  <r>
    <x v="207"/>
    <s v="BK50130"/>
    <d v="2025-11-21T00:00:00"/>
    <d v="2025-11-24T00:00:00"/>
    <d v="2025-12-19T00:00:00"/>
    <s v="Bosch"/>
    <s v="Manufacturing"/>
    <s v="Germany"/>
    <s v="Singapore"/>
    <s v="Rotterdam"/>
    <x v="1"/>
    <s v="Mary Maersk"/>
    <s v="20FT"/>
    <n v="1"/>
    <s v="Furniture"/>
    <n v="26836.43"/>
    <n v="6748.24"/>
    <n v="1935.05"/>
    <n v="402.13"/>
    <n v="268.36"/>
    <n v="741.08"/>
    <n v="2063.0300000000002"/>
    <n v="14678.54"/>
    <n v="0"/>
    <s v="None"/>
    <n v="56.24"/>
    <s v="Completed"/>
    <s v="Pending"/>
    <s v="High"/>
    <s v="L. Chen"/>
    <s v="Middle East"/>
    <d v="2025-11-01T00:00:00"/>
    <x v="10"/>
  </r>
  <r>
    <x v="208"/>
    <s v="BK50997"/>
    <d v="2025-12-09T00:00:00"/>
    <d v="2025-12-10T00:00:00"/>
    <d v="2026-01-05T00:00:00"/>
    <s v="Reliance"/>
    <s v="Retail"/>
    <s v="India"/>
    <s v="Colombo"/>
    <s v="Singapore"/>
    <x v="4"/>
    <s v="Mary Maersk"/>
    <s v="High Cube"/>
    <n v="2"/>
    <s v="Machinery"/>
    <n v="26846.6"/>
    <n v="4299.1099999999997"/>
    <n v="1964.36"/>
    <n v="779.4"/>
    <n v="268.47000000000003"/>
    <n v="726.49"/>
    <n v="1610.11"/>
    <n v="17198.66"/>
    <n v="12"/>
    <s v="Port Congestion"/>
    <n v="35.83"/>
    <s v="Delayed"/>
    <s v="Paid"/>
    <s v="Standard"/>
    <s v="R. Mehta"/>
    <s v="North America"/>
    <d v="2025-12-01T00:00:00"/>
    <x v="3"/>
  </r>
  <r>
    <x v="209"/>
    <s v="BK50270"/>
    <d v="2025-06-15T00:00:00"/>
    <d v="2025-06-16T00:00:00"/>
    <d v="2025-07-02T00:00:00"/>
    <s v="Bosch"/>
    <s v="Manufacturing"/>
    <s v="Germany"/>
    <s v="Hamburg"/>
    <s v="Rotterdam"/>
    <x v="2"/>
    <s v="Mary Maersk"/>
    <s v="Reefer"/>
    <n v="1"/>
    <s v="Electronics"/>
    <n v="26905.14"/>
    <n v="5690.21"/>
    <n v="1522.16"/>
    <n v="572.02"/>
    <n v="269.05"/>
    <n v="841.12"/>
    <n v="1260.1400000000001"/>
    <n v="16750.439999999999"/>
    <n v="0"/>
    <s v="None"/>
    <n v="47.42"/>
    <s v="Completed"/>
    <s v="Paid"/>
    <s v="Critical"/>
    <s v="A. Tan"/>
    <s v="Middle East"/>
    <d v="2025-06-01T00:00:00"/>
    <x v="0"/>
  </r>
  <r>
    <x v="210"/>
    <s v="BK50030"/>
    <d v="2025-11-12T00:00:00"/>
    <d v="2025-11-15T00:00:00"/>
    <d v="2025-11-28T00:00:00"/>
    <s v="Reliance"/>
    <s v="Retail"/>
    <s v="India"/>
    <s v="Singapore"/>
    <s v="Rotterdam"/>
    <x v="1"/>
    <s v="CMA CGM Jacques Saadé"/>
    <s v="High Cube"/>
    <n v="2"/>
    <s v="Chemicals"/>
    <n v="26954.39"/>
    <n v="4690.57"/>
    <n v="1209.3800000000001"/>
    <n v="548.46"/>
    <n v="269.54000000000002"/>
    <n v="264.79000000000002"/>
    <n v="1798.05"/>
    <n v="18173.599999999999"/>
    <n v="0"/>
    <s v="None"/>
    <n v="39.090000000000003"/>
    <s v="Completed"/>
    <s v="Paid"/>
    <s v="High"/>
    <s v="A. Tan"/>
    <s v="Asia"/>
    <d v="2025-11-01T00:00:00"/>
    <x v="13"/>
  </r>
  <r>
    <x v="211"/>
    <s v="BK50668"/>
    <d v="2025-10-25T00:00:00"/>
    <d v="2025-10-28T00:00:00"/>
    <d v="2025-11-19T00:00:00"/>
    <s v="Nestlé"/>
    <s v="Food"/>
    <s v="Switzerland"/>
    <s v="Jebel Ali"/>
    <s v="Jebel Ali"/>
    <x v="2"/>
    <s v="Mumbai Maersk"/>
    <s v="40FT"/>
    <n v="2"/>
    <s v="Textiles"/>
    <n v="27017.87"/>
    <n v="7047.67"/>
    <n v="1719.13"/>
    <n v="558.5"/>
    <n v="270.18"/>
    <n v="826.42"/>
    <n v="1786.12"/>
    <n v="14809.85"/>
    <n v="0"/>
    <s v="None"/>
    <n v="58.73"/>
    <s v="Completed"/>
    <s v="Pending"/>
    <s v="High"/>
    <s v="A. Tan"/>
    <s v="Asia"/>
    <d v="2025-10-01T00:00:00"/>
    <x v="4"/>
  </r>
  <r>
    <x v="212"/>
    <s v="BK50701"/>
    <d v="2025-12-19T00:00:00"/>
    <d v="2025-12-23T00:00:00"/>
    <d v="2026-01-09T00:00:00"/>
    <s v="Siemens"/>
    <s v="Engineering"/>
    <s v="Germany"/>
    <s v="Shanghai"/>
    <s v="Rotterdam"/>
    <x v="1"/>
    <s v="Ever Ace"/>
    <s v="40FT"/>
    <n v="1"/>
    <s v="Electronics"/>
    <n v="27046.23"/>
    <n v="6373.31"/>
    <n v="1257.77"/>
    <n v="557.16999999999996"/>
    <n v="270.45999999999998"/>
    <n v="636.26"/>
    <n v="1321.79"/>
    <n v="16629.47"/>
    <n v="0"/>
    <s v="None"/>
    <n v="53.11"/>
    <s v="Completed"/>
    <s v="Paid"/>
    <s v="Standard"/>
    <s v="L. Chen"/>
    <s v="Asia"/>
    <d v="2025-12-01T00:00:00"/>
    <x v="18"/>
  </r>
  <r>
    <x v="213"/>
    <s v="BK50687"/>
    <d v="2025-05-31T00:00:00"/>
    <d v="2025-06-01T00:00:00"/>
    <d v="2025-06-22T00:00:00"/>
    <s v="Nestlé"/>
    <s v="Food"/>
    <s v="Switzerland"/>
    <s v="Los Angeles"/>
    <s v="Rotterdam"/>
    <x v="2"/>
    <s v="Monaco Maersk"/>
    <s v="Reefer"/>
    <n v="2"/>
    <s v="Textiles"/>
    <n v="27054.05"/>
    <n v="5790.92"/>
    <n v="1783.89"/>
    <n v="571.15"/>
    <n v="270.54000000000002"/>
    <n v="862.33"/>
    <n v="1523.27"/>
    <n v="16251.95"/>
    <n v="0"/>
    <s v="None"/>
    <n v="48.26"/>
    <s v="Completed"/>
    <s v="Paid"/>
    <s v="High"/>
    <s v="R. Mehta"/>
    <s v="Europe"/>
    <d v="2025-05-01T00:00:00"/>
    <x v="9"/>
  </r>
  <r>
    <x v="214"/>
    <s v="BK50741"/>
    <d v="2025-08-03T00:00:00"/>
    <d v="2025-08-06T00:00:00"/>
    <d v="2025-08-28T00:00:00"/>
    <s v="Samsung"/>
    <s v="Electronics"/>
    <s v="South Korea"/>
    <s v="New York"/>
    <s v="Busan"/>
    <x v="2"/>
    <s v="MSC Gülsün"/>
    <s v="Reefer"/>
    <n v="2"/>
    <s v="Machinery"/>
    <n v="27135.42"/>
    <n v="7159.82"/>
    <n v="1870.45"/>
    <n v="569.79999999999995"/>
    <n v="271.35000000000002"/>
    <n v="814.2"/>
    <n v="1861.08"/>
    <n v="14588.72"/>
    <n v="48"/>
    <s v="Labor Strike"/>
    <n v="59.67"/>
    <s v="Delayed"/>
    <s v="Paid"/>
    <s v="Standard"/>
    <s v="M. Ahmed"/>
    <s v="Asia"/>
    <d v="2025-08-01T00:00:00"/>
    <x v="4"/>
  </r>
  <r>
    <x v="215"/>
    <s v="BK50947"/>
    <d v="2025-10-09T00:00:00"/>
    <d v="2025-10-12T00:00:00"/>
    <d v="2025-10-27T00:00:00"/>
    <s v="Siemens"/>
    <s v="Engineering"/>
    <s v="Germany"/>
    <s v="New York"/>
    <s v="Hamburg"/>
    <x v="2"/>
    <s v="Mumbai Maersk"/>
    <s v="40FT"/>
    <n v="2"/>
    <s v="Furniture"/>
    <n v="27140.86"/>
    <n v="7813.92"/>
    <n v="1722.26"/>
    <n v="761.42"/>
    <n v="271.41000000000003"/>
    <n v="230.03"/>
    <n v="933.99"/>
    <n v="15407.83"/>
    <n v="0"/>
    <s v="None"/>
    <n v="65.12"/>
    <s v="Completed"/>
    <s v="Pending"/>
    <s v="Critical"/>
    <s v="J. Smith"/>
    <s v="Asia"/>
    <d v="2025-10-01T00:00:00"/>
    <x v="6"/>
  </r>
  <r>
    <x v="216"/>
    <s v="BK50104"/>
    <d v="2025-11-25T00:00:00"/>
    <d v="2025-11-27T00:00:00"/>
    <d v="2025-12-20T00:00:00"/>
    <s v="Siemens"/>
    <s v="Engineering"/>
    <s v="Germany"/>
    <s v="Colombo"/>
    <s v="Singapore"/>
    <x v="4"/>
    <s v="Monaco Maersk"/>
    <s v="40FT"/>
    <n v="2"/>
    <s v="Electronics"/>
    <n v="27178.61"/>
    <n v="6374.89"/>
    <n v="2088.77"/>
    <n v="405.13"/>
    <n v="271.79000000000002"/>
    <n v="341.09"/>
    <n v="1559.25"/>
    <n v="16137.69"/>
    <n v="24"/>
    <s v="Labor Strike"/>
    <n v="53.12"/>
    <s v="Delayed"/>
    <s v="Paid"/>
    <s v="Standard"/>
    <s v="M. Ahmed"/>
    <s v="Middle East"/>
    <d v="2025-11-01T00:00:00"/>
    <x v="7"/>
  </r>
  <r>
    <x v="217"/>
    <s v="BK50972"/>
    <d v="2025-02-20T00:00:00"/>
    <d v="2025-02-23T00:00:00"/>
    <d v="2025-03-10T00:00:00"/>
    <s v="Unilever"/>
    <s v="FMCG"/>
    <s v="UK"/>
    <s v="Busan"/>
    <s v="Los Angeles"/>
    <x v="3"/>
    <s v="Mumbai Maersk"/>
    <s v="40FT"/>
    <n v="1"/>
    <s v="Textiles"/>
    <n v="27182.68"/>
    <n v="7233.87"/>
    <n v="1337.18"/>
    <n v="423.24"/>
    <n v="271.83"/>
    <n v="384.2"/>
    <n v="872.07"/>
    <n v="16660.29"/>
    <n v="0"/>
    <s v="None"/>
    <n v="60.28"/>
    <s v="Completed"/>
    <s v="Paid"/>
    <s v="High"/>
    <s v="M. Ahmed"/>
    <s v="North America"/>
    <d v="2025-02-01T00:00:00"/>
    <x v="6"/>
  </r>
  <r>
    <x v="218"/>
    <s v="BK50959"/>
    <d v="2025-01-16T00:00:00"/>
    <d v="2025-01-17T00:00:00"/>
    <d v="2025-02-11T00:00:00"/>
    <s v="Toyota"/>
    <s v="Automotive"/>
    <s v="Japan"/>
    <s v="Nhava Sheva"/>
    <s v="Hamburg"/>
    <x v="2"/>
    <s v="OOCL Hong Kong"/>
    <s v="40FT"/>
    <n v="1"/>
    <s v="Machinery"/>
    <n v="27307.69"/>
    <n v="5289.99"/>
    <n v="1556.74"/>
    <n v="694.9"/>
    <n v="273.08"/>
    <n v="300.07"/>
    <n v="2088.5700000000002"/>
    <n v="17104.34"/>
    <n v="8"/>
    <s v="Labor Strike"/>
    <n v="44.08"/>
    <s v="Delayed"/>
    <s v="Paid"/>
    <s v="Standard"/>
    <s v="R. Mehta"/>
    <s v="Europe"/>
    <d v="2025-01-01T00:00:00"/>
    <x v="10"/>
  </r>
  <r>
    <x v="219"/>
    <s v="BK50779"/>
    <d v="2025-05-31T00:00:00"/>
    <d v="2025-06-01T00:00:00"/>
    <d v="2025-06-18T00:00:00"/>
    <s v="Unilever"/>
    <s v="FMCG"/>
    <s v="UK"/>
    <s v="Singapore"/>
    <s v="Rotterdam"/>
    <x v="1"/>
    <s v="OOCL Hong Kong"/>
    <s v="20FT"/>
    <n v="2"/>
    <s v="Furniture"/>
    <n v="27347.32"/>
    <n v="6201.58"/>
    <n v="1589.78"/>
    <n v="449.07"/>
    <n v="273.47000000000003"/>
    <n v="426.77"/>
    <n v="2336.02"/>
    <n v="16070.63"/>
    <n v="12"/>
    <s v="Mechanical"/>
    <n v="51.68"/>
    <s v="Delayed"/>
    <s v="Paid"/>
    <s v="Standard"/>
    <s v="R. Mehta"/>
    <s v="Middle East"/>
    <d v="2025-05-01T00:00:00"/>
    <x v="18"/>
  </r>
  <r>
    <x v="220"/>
    <s v="BK50205"/>
    <d v="2025-06-11T00:00:00"/>
    <d v="2025-06-15T00:00:00"/>
    <d v="2025-07-09T00:00:00"/>
    <s v="LG"/>
    <s v="Electronics"/>
    <s v="South Korea"/>
    <s v="New York"/>
    <s v="Busan"/>
    <x v="2"/>
    <s v="Mumbai Maersk"/>
    <s v="Reefer"/>
    <n v="4"/>
    <s v="Electronics"/>
    <n v="27424.01"/>
    <n v="4819.6000000000004"/>
    <n v="1403.95"/>
    <n v="324.37"/>
    <n v="274.24"/>
    <n v="749.15"/>
    <n v="632.54999999999995"/>
    <n v="19220.150000000001"/>
    <n v="0"/>
    <s v="None"/>
    <n v="40.159999999999997"/>
    <s v="Completed"/>
    <s v="Paid"/>
    <s v="Critical"/>
    <s v="L. Chen"/>
    <s v="Middle East"/>
    <d v="2025-06-01T00:00:00"/>
    <x v="8"/>
  </r>
  <r>
    <x v="221"/>
    <s v="BK50278"/>
    <d v="2025-10-16T00:00:00"/>
    <d v="2025-10-20T00:00:00"/>
    <d v="2025-11-10T00:00:00"/>
    <s v="Bosch"/>
    <s v="Manufacturing"/>
    <s v="Germany"/>
    <s v="Jebel Ali"/>
    <s v="Nhava Sheva"/>
    <x v="0"/>
    <s v="OOCL Hong Kong"/>
    <s v="High Cube"/>
    <n v="1"/>
    <s v="Furniture"/>
    <n v="27522.76"/>
    <n v="8114.41"/>
    <n v="1665.48"/>
    <n v="595.9"/>
    <n v="275.23"/>
    <n v="343.84"/>
    <n v="2154.19"/>
    <n v="14373.71"/>
    <n v="0"/>
    <s v="None"/>
    <n v="67.62"/>
    <s v="Completed"/>
    <s v="Paid"/>
    <s v="Critical"/>
    <s v="L. Chen"/>
    <s v="Middle East"/>
    <d v="2025-10-01T00:00:00"/>
    <x v="9"/>
  </r>
  <r>
    <x v="222"/>
    <s v="BK50182"/>
    <d v="2025-03-26T00:00:00"/>
    <d v="2025-03-29T00:00:00"/>
    <d v="2025-04-23T00:00:00"/>
    <s v="Nestlé"/>
    <s v="Food"/>
    <s v="Switzerland"/>
    <s v="Colombo"/>
    <s v="Singapore"/>
    <x v="4"/>
    <s v="CMA CGM Jacques Saadé"/>
    <s v="Reefer"/>
    <n v="1"/>
    <s v="Auto Parts"/>
    <n v="27584.58"/>
    <n v="6381.23"/>
    <n v="1256.3"/>
    <n v="482.65"/>
    <n v="275.85000000000002"/>
    <n v="886.35"/>
    <n v="490.12"/>
    <n v="17812.080000000002"/>
    <n v="48"/>
    <s v="Weather"/>
    <n v="53.18"/>
    <s v="Delayed"/>
    <s v="Pending"/>
    <s v="High"/>
    <s v="R. Mehta"/>
    <s v="Asia"/>
    <d v="2025-03-01T00:00:00"/>
    <x v="10"/>
  </r>
  <r>
    <x v="223"/>
    <s v="BK50797"/>
    <d v="2025-07-02T00:00:00"/>
    <d v="2025-07-03T00:00:00"/>
    <d v="2025-07-20T00:00:00"/>
    <s v="Amazon"/>
    <s v="E-commerce"/>
    <s v="USA"/>
    <s v="Colombo"/>
    <s v="Rotterdam"/>
    <x v="2"/>
    <s v="Ever Ace"/>
    <s v="20FT"/>
    <n v="2"/>
    <s v="Furniture"/>
    <n v="27588.11"/>
    <n v="7482.36"/>
    <n v="2061.79"/>
    <n v="682.89"/>
    <n v="275.88"/>
    <n v="508.02"/>
    <n v="1421.94"/>
    <n v="15155.23"/>
    <n v="0"/>
    <s v="None"/>
    <n v="62.35"/>
    <s v="Completed"/>
    <s v="Paid"/>
    <s v="Critical"/>
    <s v="J. Smith"/>
    <s v="North America"/>
    <d v="2025-07-01T00:00:00"/>
    <x v="18"/>
  </r>
  <r>
    <x v="224"/>
    <s v="BK50432"/>
    <d v="2025-12-09T00:00:00"/>
    <d v="2025-12-12T00:00:00"/>
    <d v="2026-01-09T00:00:00"/>
    <s v="Siemens"/>
    <s v="Engineering"/>
    <s v="Germany"/>
    <s v="Jebel Ali"/>
    <s v="Nhava Sheva"/>
    <x v="0"/>
    <s v="Mumbai Maersk"/>
    <s v="40FT"/>
    <n v="1"/>
    <s v="Machinery"/>
    <n v="27684.53"/>
    <n v="6530.29"/>
    <n v="1717.65"/>
    <n v="440.89"/>
    <n v="276.85000000000002"/>
    <n v="184.51"/>
    <n v="2248.27"/>
    <n v="16286.07"/>
    <n v="0"/>
    <s v="None"/>
    <n v="54.42"/>
    <s v="Completed"/>
    <s v="Paid"/>
    <s v="High"/>
    <s v="A. Tan"/>
    <s v="Middle East"/>
    <d v="2025-12-01T00:00:00"/>
    <x v="17"/>
  </r>
  <r>
    <x v="225"/>
    <s v="BK50558"/>
    <d v="2025-05-03T00:00:00"/>
    <d v="2025-05-06T00:00:00"/>
    <d v="2025-06-03T00:00:00"/>
    <s v="LG"/>
    <s v="Electronics"/>
    <s v="South Korea"/>
    <s v="Shanghai"/>
    <s v="Rotterdam"/>
    <x v="1"/>
    <s v="Mary Maersk"/>
    <s v="High Cube"/>
    <n v="2"/>
    <s v="Machinery"/>
    <n v="27807.54"/>
    <n v="7490.58"/>
    <n v="1337.68"/>
    <n v="403.09"/>
    <n v="278.08"/>
    <n v="883.35"/>
    <n v="1222.23"/>
    <n v="16192.53"/>
    <n v="12"/>
    <s v="Port Congestion"/>
    <n v="62.42"/>
    <s v="Delayed"/>
    <s v="Paid"/>
    <s v="Critical"/>
    <s v="J. Smith"/>
    <s v="Europe"/>
    <d v="2025-05-01T00:00:00"/>
    <x v="17"/>
  </r>
  <r>
    <x v="226"/>
    <s v="BK50087"/>
    <d v="2025-01-04T00:00:00"/>
    <d v="2025-01-06T00:00:00"/>
    <d v="2025-01-20T00:00:00"/>
    <s v="Amazon"/>
    <s v="E-commerce"/>
    <s v="USA"/>
    <s v="Busan"/>
    <s v="Busan"/>
    <x v="2"/>
    <s v="Madrid Maersk"/>
    <s v="High Cube"/>
    <n v="1"/>
    <s v="Auto Parts"/>
    <n v="27812.18"/>
    <n v="6919.33"/>
    <n v="2088.37"/>
    <n v="315.38"/>
    <n v="278.12"/>
    <n v="849.76"/>
    <n v="1910.19"/>
    <n v="15451.03"/>
    <n v="0"/>
    <s v="None"/>
    <n v="57.66"/>
    <s v="Completed"/>
    <s v="Paid"/>
    <s v="High"/>
    <s v="M. Ahmed"/>
    <s v="North America"/>
    <d v="2025-01-01T00:00:00"/>
    <x v="1"/>
  </r>
  <r>
    <x v="227"/>
    <s v="BK50112"/>
    <d v="2025-01-13T00:00:00"/>
    <d v="2025-01-14T00:00:00"/>
    <d v="2025-01-26T00:00:00"/>
    <s v="IKEA"/>
    <s v="Retail"/>
    <s v="Sweden"/>
    <s v="Singapore"/>
    <s v="Rotterdam"/>
    <x v="1"/>
    <s v="Mary Maersk"/>
    <s v="20FT"/>
    <n v="4"/>
    <s v="Textiles"/>
    <n v="28074.82"/>
    <n v="6551.31"/>
    <n v="2137.7800000000002"/>
    <n v="408.72"/>
    <n v="280.75"/>
    <n v="607.08000000000004"/>
    <n v="2402.2199999999998"/>
    <n v="15686.96"/>
    <n v="8"/>
    <s v="Customs"/>
    <n v="54.59"/>
    <s v="Delayed"/>
    <s v="Pending"/>
    <s v="Critical"/>
    <s v="L. Chen"/>
    <s v="Middle East"/>
    <d v="2025-01-01T00:00:00"/>
    <x v="12"/>
  </r>
  <r>
    <x v="228"/>
    <s v="BK50323"/>
    <d v="2025-04-09T00:00:00"/>
    <d v="2025-04-11T00:00:00"/>
    <d v="2025-05-03T00:00:00"/>
    <s v="Nestlé"/>
    <s v="Food"/>
    <s v="Switzerland"/>
    <s v="Singapore"/>
    <s v="Rotterdam"/>
    <x v="1"/>
    <s v="Mumbai Maersk"/>
    <s v="40FT"/>
    <n v="2"/>
    <s v="Textiles"/>
    <n v="28102.76"/>
    <n v="4635.8"/>
    <n v="1414.52"/>
    <n v="398.38"/>
    <n v="281.02999999999997"/>
    <n v="318.08"/>
    <n v="1038.3399999999999"/>
    <n v="20016.61"/>
    <n v="0"/>
    <s v="None"/>
    <n v="38.630000000000003"/>
    <s v="Completed"/>
    <s v="Paid"/>
    <s v="Critical"/>
    <s v="J. Smith"/>
    <s v="Asia"/>
    <d v="2025-04-01T00:00:00"/>
    <x v="4"/>
  </r>
  <r>
    <x v="229"/>
    <s v="BK50839"/>
    <d v="2025-09-11T00:00:00"/>
    <d v="2025-09-14T00:00:00"/>
    <d v="2025-10-06T00:00:00"/>
    <s v="LG"/>
    <s v="Electronics"/>
    <s v="South Korea"/>
    <s v="Busan"/>
    <s v="Los Angeles"/>
    <x v="3"/>
    <s v="CMA CGM Jacques Saadé"/>
    <s v="High Cube"/>
    <n v="1"/>
    <s v="Furniture"/>
    <n v="28120.97"/>
    <n v="7648.89"/>
    <n v="1374.6"/>
    <n v="635.69000000000005"/>
    <n v="281.20999999999998"/>
    <n v="320.29000000000002"/>
    <n v="442.51"/>
    <n v="17417.78"/>
    <n v="0"/>
    <s v="None"/>
    <n v="63.74"/>
    <s v="Completed"/>
    <s v="Pending"/>
    <s v="Critical"/>
    <s v="J. Smith"/>
    <s v="Europe"/>
    <d v="2025-09-01T00:00:00"/>
    <x v="4"/>
  </r>
  <r>
    <x v="230"/>
    <s v="BK50926"/>
    <d v="2025-02-15T00:00:00"/>
    <d v="2025-02-19T00:00:00"/>
    <d v="2025-03-11T00:00:00"/>
    <s v="Bosch"/>
    <s v="Manufacturing"/>
    <s v="Germany"/>
    <s v="Busan"/>
    <s v="Los Angeles"/>
    <x v="3"/>
    <s v="Ever Ace"/>
    <s v="High Cube"/>
    <n v="1"/>
    <s v="Food"/>
    <n v="28130.98"/>
    <n v="6623.02"/>
    <n v="1758.53"/>
    <n v="648.27"/>
    <n v="281.31"/>
    <n v="412.96"/>
    <n v="1683.02"/>
    <n v="16723.87"/>
    <n v="48"/>
    <s v="Customs"/>
    <n v="55.19"/>
    <s v="Delayed"/>
    <s v="Pending"/>
    <s v="Critical"/>
    <s v="M. Ahmed"/>
    <s v="Middle East"/>
    <d v="2025-02-01T00:00:00"/>
    <x v="16"/>
  </r>
  <r>
    <x v="231"/>
    <s v="BK50838"/>
    <d v="2025-06-24T00:00:00"/>
    <d v="2025-06-28T00:00:00"/>
    <d v="2025-07-23T00:00:00"/>
    <s v="Toyota"/>
    <s v="Automotive"/>
    <s v="Japan"/>
    <s v="Jebel Ali"/>
    <s v="Busan"/>
    <x v="2"/>
    <s v="Madrid Maersk"/>
    <s v="Reefer"/>
    <n v="4"/>
    <s v="Textiles"/>
    <n v="28140.799999999999"/>
    <n v="5504.68"/>
    <n v="1736.19"/>
    <n v="687.43"/>
    <n v="281.41000000000003"/>
    <n v="236.89"/>
    <n v="2364.11"/>
    <n v="17330.09"/>
    <n v="0"/>
    <s v="None"/>
    <n v="45.87"/>
    <s v="Completed"/>
    <s v="Pending"/>
    <s v="Standard"/>
    <s v="R. Mehta"/>
    <s v="North America"/>
    <d v="2025-06-01T00:00:00"/>
    <x v="10"/>
  </r>
  <r>
    <x v="232"/>
    <s v="BK50364"/>
    <d v="2025-07-12T00:00:00"/>
    <d v="2025-07-16T00:00:00"/>
    <d v="2025-08-14T00:00:00"/>
    <s v="Unilever"/>
    <s v="FMCG"/>
    <s v="UK"/>
    <s v="Jebel Ali"/>
    <s v="Nhava Sheva"/>
    <x v="0"/>
    <s v="OOCL Hong Kong"/>
    <s v="Reefer"/>
    <n v="2"/>
    <s v="Food"/>
    <n v="28174.6"/>
    <n v="7728.22"/>
    <n v="1442.73"/>
    <n v="766.62"/>
    <n v="281.75"/>
    <n v="574.23"/>
    <n v="2444.42"/>
    <n v="14936.63"/>
    <n v="48"/>
    <s v="Weather"/>
    <n v="64.400000000000006"/>
    <s v="Delayed"/>
    <s v="Paid"/>
    <s v="Critical"/>
    <s v="A. Tan"/>
    <s v="Middle East"/>
    <d v="2025-07-01T00:00:00"/>
    <x v="20"/>
  </r>
  <r>
    <x v="233"/>
    <s v="BK50711"/>
    <d v="2025-09-15T00:00:00"/>
    <d v="2025-09-18T00:00:00"/>
    <d v="2025-10-11T00:00:00"/>
    <s v="Amazon"/>
    <s v="E-commerce"/>
    <s v="USA"/>
    <s v="Jebel Ali"/>
    <s v="Nhava Sheva"/>
    <x v="0"/>
    <s v="Mumbai Maersk"/>
    <s v="High Cube"/>
    <n v="2"/>
    <s v="Furniture"/>
    <n v="28197.45"/>
    <n v="6742.64"/>
    <n v="2086.64"/>
    <n v="649.77"/>
    <n v="281.97000000000003"/>
    <n v="348.22"/>
    <n v="1668.84"/>
    <n v="16419.37"/>
    <n v="36"/>
    <s v="Labor Strike"/>
    <n v="56.19"/>
    <s v="Delayed"/>
    <s v="Paid"/>
    <s v="Critical"/>
    <s v="M. Ahmed"/>
    <s v="Asia"/>
    <d v="2025-09-01T00:00:00"/>
    <x v="7"/>
  </r>
  <r>
    <x v="234"/>
    <s v="BK50424"/>
    <d v="2025-07-13T00:00:00"/>
    <d v="2025-07-17T00:00:00"/>
    <d v="2025-08-01T00:00:00"/>
    <s v="Pfizer"/>
    <s v="Pharma"/>
    <s v="USA"/>
    <s v="Shanghai"/>
    <s v="Rotterdam"/>
    <x v="1"/>
    <s v="Mumbai Maersk"/>
    <s v="40FT"/>
    <n v="2"/>
    <s v="Food"/>
    <n v="28217.91"/>
    <n v="6179.75"/>
    <n v="1657.87"/>
    <n v="366.62"/>
    <n v="282.18"/>
    <n v="793.51"/>
    <n v="1858.22"/>
    <n v="17079.759999999998"/>
    <n v="0"/>
    <s v="None"/>
    <n v="51.5"/>
    <s v="Completed"/>
    <s v="Pending"/>
    <s v="Critical"/>
    <s v="A. Tan"/>
    <s v="Europe"/>
    <d v="2025-07-01T00:00:00"/>
    <x v="6"/>
  </r>
  <r>
    <x v="235"/>
    <s v="BK50999"/>
    <d v="2025-03-14T00:00:00"/>
    <d v="2025-03-15T00:00:00"/>
    <d v="2025-04-12T00:00:00"/>
    <s v="Bosch"/>
    <s v="Manufacturing"/>
    <s v="Germany"/>
    <s v="Shanghai"/>
    <s v="Rotterdam"/>
    <x v="1"/>
    <s v="Ever Ace"/>
    <s v="40FT"/>
    <n v="1"/>
    <s v="Auto Parts"/>
    <n v="28409.74"/>
    <n v="6430.08"/>
    <n v="1628.26"/>
    <n v="802.71"/>
    <n v="284.10000000000002"/>
    <n v="125.37"/>
    <n v="1921.35"/>
    <n v="17217.87"/>
    <n v="24"/>
    <s v="Port Congestion"/>
    <n v="53.58"/>
    <s v="Delayed"/>
    <s v="Paid"/>
    <s v="Critical"/>
    <s v="A. Tan"/>
    <s v="Europe"/>
    <d v="2025-03-01T00:00:00"/>
    <x v="17"/>
  </r>
  <r>
    <x v="236"/>
    <s v="BK50758"/>
    <d v="2025-03-29T00:00:00"/>
    <d v="2025-04-02T00:00:00"/>
    <d v="2025-04-23T00:00:00"/>
    <s v="Reliance"/>
    <s v="Retail"/>
    <s v="India"/>
    <s v="Colombo"/>
    <s v="Singapore"/>
    <x v="4"/>
    <s v="MSC Gülsün"/>
    <s v="40FT"/>
    <n v="2"/>
    <s v="Electronics"/>
    <n v="28561.45"/>
    <n v="7231.68"/>
    <n v="1284.56"/>
    <n v="837.35"/>
    <n v="285.61"/>
    <n v="346.56"/>
    <n v="1003.9"/>
    <n v="17571.79"/>
    <n v="4"/>
    <s v="Mechanical"/>
    <n v="60.26"/>
    <s v="Delayed"/>
    <s v="Pending"/>
    <s v="Critical"/>
    <s v="A. Tan"/>
    <s v="Asia"/>
    <d v="2025-03-01T00:00:00"/>
    <x v="9"/>
  </r>
  <r>
    <x v="237"/>
    <s v="BK50566"/>
    <d v="2025-03-28T00:00:00"/>
    <d v="2025-03-30T00:00:00"/>
    <d v="2025-04-11T00:00:00"/>
    <s v="Reliance"/>
    <s v="Retail"/>
    <s v="India"/>
    <s v="Shanghai"/>
    <s v="Rotterdam"/>
    <x v="1"/>
    <s v="Ever Ace"/>
    <s v="Reefer"/>
    <n v="1"/>
    <s v="Machinery"/>
    <n v="28626.83"/>
    <n v="4678.7700000000004"/>
    <n v="1355.56"/>
    <n v="456.76"/>
    <n v="286.27"/>
    <n v="803.14"/>
    <n v="2454.31"/>
    <n v="18592.02"/>
    <n v="36"/>
    <s v="Mechanical"/>
    <n v="38.99"/>
    <s v="Delayed"/>
    <s v="Paid"/>
    <s v="Critical"/>
    <s v="M. Ahmed"/>
    <s v="Middle East"/>
    <d v="2025-03-01T00:00:00"/>
    <x v="12"/>
  </r>
  <r>
    <x v="238"/>
    <s v="BK50479"/>
    <d v="2025-08-08T00:00:00"/>
    <d v="2025-08-12T00:00:00"/>
    <d v="2025-08-23T00:00:00"/>
    <s v="Pfizer"/>
    <s v="Pharma"/>
    <s v="USA"/>
    <s v="Nhava Sheva"/>
    <s v="Los Angeles"/>
    <x v="2"/>
    <s v="Monaco Maersk"/>
    <s v="40FT"/>
    <n v="2"/>
    <s v="Electronics"/>
    <n v="28767.61"/>
    <n v="8371.75"/>
    <n v="1822"/>
    <n v="781.31"/>
    <n v="287.68"/>
    <n v="712.09"/>
    <n v="844.16"/>
    <n v="15948.62"/>
    <n v="4"/>
    <s v="Weather"/>
    <n v="69.760000000000005"/>
    <s v="Delayed"/>
    <s v="Pending"/>
    <s v="Standard"/>
    <s v="A. Tan"/>
    <s v="Middle East"/>
    <d v="2025-08-01T00:00:00"/>
    <x v="5"/>
  </r>
  <r>
    <x v="239"/>
    <s v="BK50663"/>
    <d v="2025-10-13T00:00:00"/>
    <d v="2025-10-16T00:00:00"/>
    <d v="2025-11-04T00:00:00"/>
    <s v="Siemens"/>
    <s v="Engineering"/>
    <s v="Germany"/>
    <s v="Rotterdam"/>
    <s v="Colombo"/>
    <x v="2"/>
    <s v="Madrid Maersk"/>
    <s v="20FT"/>
    <n v="4"/>
    <s v="Auto Parts"/>
    <n v="28770.400000000001"/>
    <n v="4610.47"/>
    <n v="1322.15"/>
    <n v="461.76"/>
    <n v="287.7"/>
    <n v="882.64"/>
    <n v="476.03"/>
    <n v="20729.650000000001"/>
    <n v="4"/>
    <s v="Customs"/>
    <n v="38.42"/>
    <s v="Delayed"/>
    <s v="Paid"/>
    <s v="High"/>
    <s v="L. Chen"/>
    <s v="North America"/>
    <d v="2025-10-01T00:00:00"/>
    <x v="11"/>
  </r>
  <r>
    <x v="240"/>
    <s v="BK50939"/>
    <d v="2025-04-29T00:00:00"/>
    <d v="2025-05-02T00:00:00"/>
    <d v="2025-05-13T00:00:00"/>
    <s v="Reliance"/>
    <s v="Retail"/>
    <s v="India"/>
    <s v="Busan"/>
    <s v="Los Angeles"/>
    <x v="3"/>
    <s v="Monaco Maersk"/>
    <s v="High Cube"/>
    <n v="1"/>
    <s v="Electronics"/>
    <n v="28861.42"/>
    <n v="5151.3"/>
    <n v="1841.37"/>
    <n v="792.88"/>
    <n v="288.61"/>
    <n v="793.91"/>
    <n v="2446.94"/>
    <n v="17546.41"/>
    <n v="0"/>
    <s v="None"/>
    <n v="42.93"/>
    <s v="Completed"/>
    <s v="Pending"/>
    <s v="High"/>
    <s v="R. Mehta"/>
    <s v="North America"/>
    <d v="2025-04-01T00:00:00"/>
    <x v="5"/>
  </r>
  <r>
    <x v="241"/>
    <s v="BK50587"/>
    <d v="2025-11-07T00:00:00"/>
    <d v="2025-11-10T00:00:00"/>
    <d v="2025-11-25T00:00:00"/>
    <s v="Toyota"/>
    <s v="Automotive"/>
    <s v="Japan"/>
    <s v="Colombo"/>
    <s v="Singapore"/>
    <x v="4"/>
    <s v="Mary Maersk"/>
    <s v="Reefer"/>
    <n v="1"/>
    <s v="Auto Parts"/>
    <n v="28911.79"/>
    <n v="6837.37"/>
    <n v="1622.31"/>
    <n v="814.49"/>
    <n v="289.12"/>
    <n v="166.23"/>
    <n v="2165.2199999999998"/>
    <n v="17017.05"/>
    <n v="0"/>
    <s v="None"/>
    <n v="56.98"/>
    <s v="Completed"/>
    <s v="Paid"/>
    <s v="Standard"/>
    <s v="M. Ahmed"/>
    <s v="Europe"/>
    <d v="2025-11-01T00:00:00"/>
    <x v="6"/>
  </r>
  <r>
    <x v="242"/>
    <s v="BK50417"/>
    <d v="2025-02-11T00:00:00"/>
    <d v="2025-02-14T00:00:00"/>
    <d v="2025-03-03T00:00:00"/>
    <s v="Toyota"/>
    <s v="Automotive"/>
    <s v="Japan"/>
    <s v="Jebel Ali"/>
    <s v="Nhava Sheva"/>
    <x v="0"/>
    <s v="Mumbai Maersk"/>
    <s v="40FT"/>
    <n v="1"/>
    <s v="Auto Parts"/>
    <n v="29001.81"/>
    <n v="5406.62"/>
    <n v="1930.26"/>
    <n v="798.05"/>
    <n v="290.02"/>
    <n v="520.6"/>
    <n v="795.63"/>
    <n v="19260.63"/>
    <n v="36"/>
    <s v="Weather"/>
    <n v="45.06"/>
    <s v="Delayed"/>
    <s v="Paid"/>
    <s v="Critical"/>
    <s v="J. Smith"/>
    <s v="Middle East"/>
    <d v="2025-02-01T00:00:00"/>
    <x v="18"/>
  </r>
  <r>
    <x v="243"/>
    <s v="BK50948"/>
    <d v="2025-03-24T00:00:00"/>
    <d v="2025-03-26T00:00:00"/>
    <d v="2025-04-08T00:00:00"/>
    <s v="Reliance"/>
    <s v="Retail"/>
    <s v="India"/>
    <s v="Los Angeles"/>
    <s v="Colombo"/>
    <x v="2"/>
    <s v="MSC Gülsün"/>
    <s v="40FT"/>
    <n v="1"/>
    <s v="Food"/>
    <n v="29187.24"/>
    <n v="7963.21"/>
    <n v="1334.31"/>
    <n v="313.14999999999998"/>
    <n v="291.87"/>
    <n v="884.14"/>
    <n v="957.18"/>
    <n v="17443.38"/>
    <n v="0"/>
    <s v="None"/>
    <n v="66.36"/>
    <s v="Completed"/>
    <s v="Paid"/>
    <s v="High"/>
    <s v="A. Tan"/>
    <s v="Europe"/>
    <d v="2025-03-01T00:00:00"/>
    <x v="13"/>
  </r>
  <r>
    <x v="244"/>
    <s v="BK50048"/>
    <d v="2025-07-14T00:00:00"/>
    <d v="2025-07-18T00:00:00"/>
    <d v="2025-08-10T00:00:00"/>
    <s v="Samsung"/>
    <s v="Electronics"/>
    <s v="South Korea"/>
    <s v="Shanghai"/>
    <s v="Rotterdam"/>
    <x v="1"/>
    <s v="Ever Ace"/>
    <s v="40FT"/>
    <n v="1"/>
    <s v="Chemicals"/>
    <n v="29210.67"/>
    <n v="7799.79"/>
    <n v="1624.31"/>
    <n v="437.6"/>
    <n v="292.11"/>
    <n v="443.3"/>
    <n v="1372"/>
    <n v="17241.560000000001"/>
    <n v="0"/>
    <s v="None"/>
    <n v="65"/>
    <s v="Completed"/>
    <s v="Pending"/>
    <s v="Critical"/>
    <s v="A. Tan"/>
    <s v="Middle East"/>
    <d v="2025-07-01T00:00:00"/>
    <x v="7"/>
  </r>
  <r>
    <x v="245"/>
    <s v="BK50215"/>
    <d v="2025-08-29T00:00:00"/>
    <d v="2025-08-30T00:00:00"/>
    <d v="2025-09-17T00:00:00"/>
    <s v="Toyota"/>
    <s v="Automotive"/>
    <s v="Japan"/>
    <s v="Jebel Ali"/>
    <s v="Nhava Sheva"/>
    <x v="0"/>
    <s v="Mumbai Maersk"/>
    <s v="20FT"/>
    <n v="2"/>
    <s v="Electronics"/>
    <n v="29357.94"/>
    <n v="7923.52"/>
    <n v="2211.52"/>
    <n v="424.53"/>
    <n v="293.58"/>
    <n v="254.35"/>
    <n v="1776.43"/>
    <n v="16474.009999999998"/>
    <n v="0"/>
    <s v="None"/>
    <n v="66.03"/>
    <s v="Completed"/>
    <s v="Paid"/>
    <s v="Critical"/>
    <s v="A. Tan"/>
    <s v="North America"/>
    <d v="2025-08-01T00:00:00"/>
    <x v="14"/>
  </r>
  <r>
    <x v="246"/>
    <s v="BK50261"/>
    <d v="2025-03-11T00:00:00"/>
    <d v="2025-03-14T00:00:00"/>
    <d v="2025-04-10T00:00:00"/>
    <s v="Adidas"/>
    <s v="Retail"/>
    <s v="Germany"/>
    <s v="Jebel Ali"/>
    <s v="Nhava Sheva"/>
    <x v="0"/>
    <s v="CMA CGM Jacques Saadé"/>
    <s v="High Cube"/>
    <n v="2"/>
    <s v="Chemicals"/>
    <n v="29362.94"/>
    <n v="5497.2"/>
    <n v="1797.7"/>
    <n v="758.55"/>
    <n v="293.63"/>
    <n v="785.44"/>
    <n v="1758.44"/>
    <n v="18471.98"/>
    <n v="0"/>
    <s v="None"/>
    <n v="45.81"/>
    <s v="Completed"/>
    <s v="Pending"/>
    <s v="Standard"/>
    <s v="M. Ahmed"/>
    <s v="Middle East"/>
    <d v="2025-03-01T00:00:00"/>
    <x v="2"/>
  </r>
  <r>
    <x v="247"/>
    <s v="BK50315"/>
    <d v="2025-08-01T00:00:00"/>
    <d v="2025-08-02T00:00:00"/>
    <d v="2025-08-23T00:00:00"/>
    <s v="Samsung"/>
    <s v="Electronics"/>
    <s v="South Korea"/>
    <s v="Busan"/>
    <s v="Singapore"/>
    <x v="2"/>
    <s v="OOCL Hong Kong"/>
    <s v="40FT"/>
    <n v="2"/>
    <s v="Machinery"/>
    <n v="29420.17"/>
    <n v="5299.55"/>
    <n v="2129.66"/>
    <n v="518.46"/>
    <n v="294.2"/>
    <n v="881.4"/>
    <n v="1321.71"/>
    <n v="18975.189999999999"/>
    <n v="12"/>
    <s v="Mechanical"/>
    <n v="44.16"/>
    <s v="Delayed"/>
    <s v="Pending"/>
    <s v="High"/>
    <s v="L. Chen"/>
    <s v="North America"/>
    <d v="2025-08-01T00:00:00"/>
    <x v="9"/>
  </r>
  <r>
    <x v="248"/>
    <s v="BK50792"/>
    <d v="2025-11-22T00:00:00"/>
    <d v="2025-11-25T00:00:00"/>
    <d v="2025-12-06T00:00:00"/>
    <s v="Adidas"/>
    <s v="Retail"/>
    <s v="Germany"/>
    <s v="Shanghai"/>
    <s v="Rotterdam"/>
    <x v="1"/>
    <s v="OOCL Hong Kong"/>
    <s v="Reefer"/>
    <n v="2"/>
    <s v="Textiles"/>
    <n v="29510.7"/>
    <n v="7953.22"/>
    <n v="1865.99"/>
    <n v="768.48"/>
    <n v="295.11"/>
    <n v="586.52"/>
    <n v="816.21"/>
    <n v="17225.169999999998"/>
    <n v="0"/>
    <s v="None"/>
    <n v="66.28"/>
    <s v="Completed"/>
    <s v="Pending"/>
    <s v="High"/>
    <s v="J. Smith"/>
    <s v="Middle East"/>
    <d v="2025-11-01T00:00:00"/>
    <x v="5"/>
  </r>
  <r>
    <x v="249"/>
    <s v="BK50540"/>
    <d v="2025-10-22T00:00:00"/>
    <d v="2025-10-24T00:00:00"/>
    <d v="2025-11-06T00:00:00"/>
    <s v="Unilever"/>
    <s v="FMCG"/>
    <s v="UK"/>
    <s v="Busan"/>
    <s v="Los Angeles"/>
    <x v="3"/>
    <s v="Madrid Maersk"/>
    <s v="High Cube"/>
    <n v="1"/>
    <s v="Auto Parts"/>
    <n v="29588.86"/>
    <n v="7410.44"/>
    <n v="2300.4899999999998"/>
    <n v="513.01"/>
    <n v="295.89"/>
    <n v="812.83"/>
    <n v="1790.47"/>
    <n v="16465.73"/>
    <n v="12"/>
    <s v="Port Congestion"/>
    <n v="61.75"/>
    <s v="Delayed"/>
    <s v="Paid"/>
    <s v="Standard"/>
    <s v="R. Mehta"/>
    <s v="Asia"/>
    <d v="2025-10-01T00:00:00"/>
    <x v="13"/>
  </r>
  <r>
    <x v="250"/>
    <s v="BK50208"/>
    <d v="2025-09-01T00:00:00"/>
    <d v="2025-09-02T00:00:00"/>
    <d v="2025-09-16T00:00:00"/>
    <s v="Pfizer"/>
    <s v="Pharma"/>
    <s v="USA"/>
    <s v="Busan"/>
    <s v="Shanghai"/>
    <x v="2"/>
    <s v="Mary Maersk"/>
    <s v="20FT"/>
    <n v="1"/>
    <s v="Food"/>
    <n v="29735.69"/>
    <n v="5549.59"/>
    <n v="1885.66"/>
    <n v="659.53"/>
    <n v="297.36"/>
    <n v="348.07"/>
    <n v="1644.34"/>
    <n v="19351.14"/>
    <n v="8"/>
    <s v="Weather"/>
    <n v="46.25"/>
    <s v="Delayed"/>
    <s v="Paid"/>
    <s v="Critical"/>
    <s v="A. Tan"/>
    <s v="Middle East"/>
    <d v="2025-09-01T00:00:00"/>
    <x v="1"/>
  </r>
  <r>
    <x v="251"/>
    <s v="BK50772"/>
    <d v="2025-11-04T00:00:00"/>
    <d v="2025-11-05T00:00:00"/>
    <d v="2025-12-04T00:00:00"/>
    <s v="Adidas"/>
    <s v="Retail"/>
    <s v="Germany"/>
    <s v="Jebel Ali"/>
    <s v="Nhava Sheva"/>
    <x v="0"/>
    <s v="CMA CGM Jacques Saadé"/>
    <s v="High Cube"/>
    <n v="2"/>
    <s v="Machinery"/>
    <n v="29754.01"/>
    <n v="6104.07"/>
    <n v="1300.21"/>
    <n v="512.63"/>
    <n v="297.54000000000002"/>
    <n v="642.95000000000005"/>
    <n v="1500.46"/>
    <n v="19396.150000000001"/>
    <n v="24"/>
    <s v="Mechanical"/>
    <n v="50.87"/>
    <s v="Delayed"/>
    <s v="Paid"/>
    <s v="Standard"/>
    <s v="M. Ahmed"/>
    <s v="Middle East"/>
    <d v="2025-11-01T00:00:00"/>
    <x v="20"/>
  </r>
  <r>
    <x v="252"/>
    <s v="BK50332"/>
    <d v="2025-03-22T00:00:00"/>
    <d v="2025-03-24T00:00:00"/>
    <d v="2025-04-14T00:00:00"/>
    <s v="Siemens"/>
    <s v="Engineering"/>
    <s v="Germany"/>
    <s v="Jebel Ali"/>
    <s v="Nhava Sheva"/>
    <x v="0"/>
    <s v="OOCL Hong Kong"/>
    <s v="High Cube"/>
    <n v="1"/>
    <s v="Textiles"/>
    <n v="29759.15"/>
    <n v="7991.68"/>
    <n v="2241.2600000000002"/>
    <n v="878.94"/>
    <n v="297.58999999999997"/>
    <n v="550.94000000000005"/>
    <n v="2412.88"/>
    <n v="15385.86"/>
    <n v="24"/>
    <s v="Weather"/>
    <n v="66.599999999999994"/>
    <s v="Delayed"/>
    <s v="Pending"/>
    <s v="Standard"/>
    <s v="M. Ahmed"/>
    <s v="Asia"/>
    <d v="2025-03-01T00:00:00"/>
    <x v="9"/>
  </r>
  <r>
    <x v="253"/>
    <s v="BK50969"/>
    <d v="2025-11-08T00:00:00"/>
    <d v="2025-11-10T00:00:00"/>
    <d v="2025-11-25T00:00:00"/>
    <s v="Samsung"/>
    <s v="Electronics"/>
    <s v="South Korea"/>
    <s v="Shanghai"/>
    <s v="Hamburg"/>
    <x v="2"/>
    <s v="Monaco Maersk"/>
    <s v="High Cube"/>
    <n v="1"/>
    <s v="Electronics"/>
    <n v="29813.14"/>
    <n v="6465.27"/>
    <n v="2180.38"/>
    <n v="317.92"/>
    <n v="298.13"/>
    <n v="850.62"/>
    <n v="369.64"/>
    <n v="19331.18"/>
    <n v="12"/>
    <s v="Mechanical"/>
    <n v="53.88"/>
    <s v="Delayed"/>
    <s v="Pending"/>
    <s v="High"/>
    <s v="A. Tan"/>
    <s v="North America"/>
    <d v="2025-11-01T00:00:00"/>
    <x v="6"/>
  </r>
  <r>
    <x v="254"/>
    <s v="BK50561"/>
    <d v="2025-04-15T00:00:00"/>
    <d v="2025-04-18T00:00:00"/>
    <d v="2025-04-30T00:00:00"/>
    <s v="Samsung"/>
    <s v="Electronics"/>
    <s v="South Korea"/>
    <s v="Singapore"/>
    <s v="Rotterdam"/>
    <x v="1"/>
    <s v="Mary Maersk"/>
    <s v="20FT"/>
    <n v="1"/>
    <s v="Textiles"/>
    <n v="29940.25"/>
    <n v="6362.72"/>
    <n v="2307.3200000000002"/>
    <n v="665.38"/>
    <n v="299.39999999999998"/>
    <n v="551.85"/>
    <n v="814.86"/>
    <n v="18938.72"/>
    <n v="24"/>
    <s v="Labor Strike"/>
    <n v="53.02"/>
    <s v="Delayed"/>
    <s v="Paid"/>
    <s v="Critical"/>
    <s v="A. Tan"/>
    <s v="Middle East"/>
    <d v="2025-04-01T00:00:00"/>
    <x v="12"/>
  </r>
  <r>
    <x v="255"/>
    <s v="BK50958"/>
    <d v="2025-03-22T00:00:00"/>
    <d v="2025-03-25T00:00:00"/>
    <d v="2025-04-09T00:00:00"/>
    <s v="Samsung"/>
    <s v="Electronics"/>
    <s v="South Korea"/>
    <s v="Colombo"/>
    <s v="Singapore"/>
    <x v="4"/>
    <s v="Ever Ace"/>
    <s v="20FT"/>
    <n v="2"/>
    <s v="Furniture"/>
    <n v="29965.39"/>
    <n v="8292.17"/>
    <n v="1214.8900000000001"/>
    <n v="843.89"/>
    <n v="299.64999999999998"/>
    <n v="851.8"/>
    <n v="566.98"/>
    <n v="17896.009999999998"/>
    <n v="48"/>
    <s v="Weather"/>
    <n v="69.099999999999994"/>
    <s v="Delayed"/>
    <s v="Pending"/>
    <s v="Standard"/>
    <s v="R. Mehta"/>
    <s v="North America"/>
    <d v="2025-03-01T00:00:00"/>
    <x v="6"/>
  </r>
  <r>
    <x v="256"/>
    <s v="BK50942"/>
    <d v="2025-06-03T00:00:00"/>
    <d v="2025-06-07T00:00:00"/>
    <d v="2025-06-23T00:00:00"/>
    <s v="Samsung"/>
    <s v="Electronics"/>
    <s v="South Korea"/>
    <s v="Nhava Sheva"/>
    <s v="Jebel Ali"/>
    <x v="2"/>
    <s v="CMA CGM Jacques Saadé"/>
    <s v="40FT"/>
    <n v="1"/>
    <s v="Auto Parts"/>
    <n v="30068.07"/>
    <n v="7991.02"/>
    <n v="1222.42"/>
    <n v="362.49"/>
    <n v="300.68"/>
    <n v="398.53"/>
    <n v="408.54"/>
    <n v="19384.39"/>
    <n v="36"/>
    <s v="Mechanical"/>
    <n v="66.59"/>
    <s v="Delayed"/>
    <s v="Paid"/>
    <s v="Critical"/>
    <s v="R. Mehta"/>
    <s v="Europe"/>
    <d v="2025-06-01T00:00:00"/>
    <x v="0"/>
  </r>
  <r>
    <x v="257"/>
    <s v="BK50825"/>
    <d v="2025-04-02T00:00:00"/>
    <d v="2025-04-06T00:00:00"/>
    <d v="2025-04-22T00:00:00"/>
    <s v="Amazon"/>
    <s v="E-commerce"/>
    <s v="USA"/>
    <s v="Colombo"/>
    <s v="Colombo"/>
    <x v="2"/>
    <s v="Ever Ace"/>
    <s v="Reefer"/>
    <n v="1"/>
    <s v="Furniture"/>
    <n v="30142.02"/>
    <n v="5817.85"/>
    <n v="1900.19"/>
    <n v="650.12"/>
    <n v="301.42"/>
    <n v="536.34"/>
    <n v="314.05"/>
    <n v="20622.05"/>
    <n v="36"/>
    <s v="Labor Strike"/>
    <n v="48.48"/>
    <s v="Delayed"/>
    <s v="Paid"/>
    <s v="Standard"/>
    <s v="R. Mehta"/>
    <s v="North America"/>
    <d v="2025-04-01T00:00:00"/>
    <x v="0"/>
  </r>
  <r>
    <x v="258"/>
    <s v="BK50463"/>
    <d v="2025-04-11T00:00:00"/>
    <d v="2025-04-14T00:00:00"/>
    <d v="2025-04-26T00:00:00"/>
    <s v="Bosch"/>
    <s v="Manufacturing"/>
    <s v="Germany"/>
    <s v="Shanghai"/>
    <s v="Rotterdam"/>
    <x v="1"/>
    <s v="OOCL Hong Kong"/>
    <s v="High Cube"/>
    <n v="2"/>
    <s v="Auto Parts"/>
    <n v="30155.97"/>
    <n v="6038.3"/>
    <n v="1360.96"/>
    <n v="843.38"/>
    <n v="301.56"/>
    <n v="591.35"/>
    <n v="1073.98"/>
    <n v="19946.439999999999"/>
    <n v="48"/>
    <s v="Port Congestion"/>
    <n v="50.32"/>
    <s v="Delayed"/>
    <s v="Pending"/>
    <s v="Standard"/>
    <s v="L. Chen"/>
    <s v="Middle East"/>
    <d v="2025-04-01T00:00:00"/>
    <x v="12"/>
  </r>
  <r>
    <x v="259"/>
    <s v="BK50991"/>
    <d v="2025-11-25T00:00:00"/>
    <d v="2025-11-28T00:00:00"/>
    <d v="2025-12-22T00:00:00"/>
    <s v="Pfizer"/>
    <s v="Pharma"/>
    <s v="USA"/>
    <s v="Shanghai"/>
    <s v="Busan"/>
    <x v="2"/>
    <s v="Mary Maersk"/>
    <s v="20FT"/>
    <n v="1"/>
    <s v="Electronics"/>
    <n v="30175.15"/>
    <n v="5196.0200000000004"/>
    <n v="2314.39"/>
    <n v="681.07"/>
    <n v="301.75"/>
    <n v="402.65"/>
    <n v="2127.35"/>
    <n v="19151.919999999998"/>
    <n v="0"/>
    <s v="None"/>
    <n v="43.3"/>
    <s v="Completed"/>
    <s v="Paid"/>
    <s v="Critical"/>
    <s v="M. Ahmed"/>
    <s v="Asia"/>
    <d v="2025-11-01T00:00:00"/>
    <x v="8"/>
  </r>
  <r>
    <x v="260"/>
    <s v="BK50155"/>
    <d v="2025-03-19T00:00:00"/>
    <d v="2025-03-23T00:00:00"/>
    <d v="2025-04-03T00:00:00"/>
    <s v="Adidas"/>
    <s v="Retail"/>
    <s v="Germany"/>
    <s v="Singapore"/>
    <s v="Rotterdam"/>
    <x v="1"/>
    <s v="CMA CGM Jacques Saadé"/>
    <s v="20FT"/>
    <n v="2"/>
    <s v="Food"/>
    <n v="30223.15"/>
    <n v="8306.3700000000008"/>
    <n v="1592.75"/>
    <n v="450.98"/>
    <n v="302.23"/>
    <n v="702.09"/>
    <n v="2373.12"/>
    <n v="16495.61"/>
    <n v="36"/>
    <s v="Customs"/>
    <n v="69.22"/>
    <s v="Delayed"/>
    <s v="Paid"/>
    <s v="High"/>
    <s v="A. Tan"/>
    <s v="North America"/>
    <d v="2025-03-01T00:00:00"/>
    <x v="5"/>
  </r>
  <r>
    <x v="261"/>
    <s v="BK50718"/>
    <d v="2025-04-01T00:00:00"/>
    <d v="2025-04-05T00:00:00"/>
    <d v="2025-05-03T00:00:00"/>
    <s v="Unilever"/>
    <s v="FMCG"/>
    <s v="UK"/>
    <s v="Singapore"/>
    <s v="Rotterdam"/>
    <x v="1"/>
    <s v="Madrid Maersk"/>
    <s v="Reefer"/>
    <n v="1"/>
    <s v="Electronics"/>
    <n v="30284.18"/>
    <n v="5503.75"/>
    <n v="1906.47"/>
    <n v="735.09"/>
    <n v="302.83999999999997"/>
    <n v="626.11"/>
    <n v="1254.54"/>
    <n v="19955.38"/>
    <n v="0"/>
    <s v="None"/>
    <n v="45.86"/>
    <s v="Completed"/>
    <s v="Pending"/>
    <s v="Critical"/>
    <s v="J. Smith"/>
    <s v="North America"/>
    <d v="2025-04-01T00:00:00"/>
    <x v="17"/>
  </r>
  <r>
    <x v="262"/>
    <s v="BK50351"/>
    <d v="2025-05-31T00:00:00"/>
    <d v="2025-06-01T00:00:00"/>
    <d v="2025-06-30T00:00:00"/>
    <s v="Unilever"/>
    <s v="FMCG"/>
    <s v="UK"/>
    <s v="Nhava Sheva"/>
    <s v="New York"/>
    <x v="2"/>
    <s v="Monaco Maersk"/>
    <s v="Reefer"/>
    <n v="2"/>
    <s v="Textiles"/>
    <n v="30303.39"/>
    <n v="6546.17"/>
    <n v="1887.15"/>
    <n v="339.01"/>
    <n v="303.02999999999997"/>
    <n v="820.44"/>
    <n v="2359.17"/>
    <n v="18048.419999999998"/>
    <n v="48"/>
    <s v="Labor Strike"/>
    <n v="54.55"/>
    <s v="Delayed"/>
    <s v="Paid"/>
    <s v="High"/>
    <s v="M. Ahmed"/>
    <s v="North America"/>
    <d v="2025-05-01T00:00:00"/>
    <x v="20"/>
  </r>
  <r>
    <x v="263"/>
    <s v="BK50058"/>
    <d v="2025-09-26T00:00:00"/>
    <d v="2025-09-28T00:00:00"/>
    <d v="2025-10-23T00:00:00"/>
    <s v="Toyota"/>
    <s v="Automotive"/>
    <s v="Japan"/>
    <s v="Colombo"/>
    <s v="Singapore"/>
    <x v="4"/>
    <s v="Monaco Maersk"/>
    <s v="20FT"/>
    <n v="2"/>
    <s v="Textiles"/>
    <n v="30407.360000000001"/>
    <n v="5458.48"/>
    <n v="1299.43"/>
    <n v="402.85"/>
    <n v="304.07"/>
    <n v="847.42"/>
    <n v="977.5"/>
    <n v="21117.61"/>
    <n v="4"/>
    <s v="Weather"/>
    <n v="45.49"/>
    <s v="Delayed"/>
    <s v="Pending"/>
    <s v="Standard"/>
    <s v="R. Mehta"/>
    <s v="Europe"/>
    <d v="2025-09-01T00:00:00"/>
    <x v="10"/>
  </r>
  <r>
    <x v="264"/>
    <s v="BK50312"/>
    <d v="2025-06-25T00:00:00"/>
    <d v="2025-06-26T00:00:00"/>
    <d v="2025-07-17T00:00:00"/>
    <s v="Amazon"/>
    <s v="E-commerce"/>
    <s v="USA"/>
    <s v="Jebel Ali"/>
    <s v="Nhava Sheva"/>
    <x v="0"/>
    <s v="OOCL Hong Kong"/>
    <s v="40FT"/>
    <n v="1"/>
    <s v="Furniture"/>
    <n v="30415.03"/>
    <n v="8328.57"/>
    <n v="1730.04"/>
    <n v="905.76"/>
    <n v="304.14999999999998"/>
    <n v="310.16000000000003"/>
    <n v="2145.25"/>
    <n v="16691.099999999999"/>
    <n v="4"/>
    <s v="Customs"/>
    <n v="69.400000000000006"/>
    <s v="Delayed"/>
    <s v="Pending"/>
    <s v="Standard"/>
    <s v="R. Mehta"/>
    <s v="Middle East"/>
    <d v="2025-06-01T00:00:00"/>
    <x v="9"/>
  </r>
  <r>
    <x v="265"/>
    <s v="BK50675"/>
    <d v="2025-07-22T00:00:00"/>
    <d v="2025-07-23T00:00:00"/>
    <d v="2025-08-13T00:00:00"/>
    <s v="Toyota"/>
    <s v="Automotive"/>
    <s v="Japan"/>
    <s v="Rotterdam"/>
    <s v="Nhava Sheva"/>
    <x v="2"/>
    <s v="MSC Gülsün"/>
    <s v="High Cube"/>
    <n v="1"/>
    <s v="Auto Parts"/>
    <n v="30465.05"/>
    <n v="8606.6"/>
    <n v="1660.11"/>
    <n v="476.6"/>
    <n v="304.64999999999998"/>
    <n v="455.83"/>
    <n v="1750.7"/>
    <n v="17210.560000000001"/>
    <n v="48"/>
    <s v="Port Congestion"/>
    <n v="71.72"/>
    <s v="Delayed"/>
    <s v="Pending"/>
    <s v="Critical"/>
    <s v="L. Chen"/>
    <s v="Middle East"/>
    <d v="2025-07-01T00:00:00"/>
    <x v="9"/>
  </r>
  <r>
    <x v="266"/>
    <s v="BK50760"/>
    <d v="2025-01-05T00:00:00"/>
    <d v="2025-01-07T00:00:00"/>
    <d v="2025-01-17T00:00:00"/>
    <s v="Reliance"/>
    <s v="Retail"/>
    <s v="India"/>
    <s v="Colombo"/>
    <s v="Singapore"/>
    <x v="4"/>
    <s v="Madrid Maersk"/>
    <s v="High Cube"/>
    <n v="1"/>
    <s v="Food"/>
    <n v="30557.77"/>
    <n v="6327.7"/>
    <n v="1296.25"/>
    <n v="625.66"/>
    <n v="305.58"/>
    <n v="487.2"/>
    <n v="1697.35"/>
    <n v="19818.03"/>
    <n v="4"/>
    <s v="Weather"/>
    <n v="52.73"/>
    <s v="Delayed"/>
    <s v="Paid"/>
    <s v="High"/>
    <s v="R. Mehta"/>
    <s v="Europe"/>
    <d v="2025-01-01T00:00:00"/>
    <x v="15"/>
  </r>
  <r>
    <x v="267"/>
    <s v="BK50009"/>
    <d v="2025-05-05T00:00:00"/>
    <d v="2025-05-09T00:00:00"/>
    <d v="2025-06-04T00:00:00"/>
    <s v="Pfizer"/>
    <s v="Pharma"/>
    <s v="USA"/>
    <s v="Singapore"/>
    <s v="Rotterdam"/>
    <x v="1"/>
    <s v="Ever Ace"/>
    <s v="Reefer"/>
    <n v="1"/>
    <s v="Electronics"/>
    <n v="30629.18"/>
    <n v="5075.16"/>
    <n v="1696.72"/>
    <n v="775.69"/>
    <n v="306.29000000000002"/>
    <n v="382.9"/>
    <n v="638.34"/>
    <n v="21754.080000000002"/>
    <n v="0"/>
    <s v="None"/>
    <n v="42.29"/>
    <s v="Completed"/>
    <s v="Pending"/>
    <s v="Critical"/>
    <s v="R. Mehta"/>
    <s v="North America"/>
    <d v="2025-05-01T00:00:00"/>
    <x v="3"/>
  </r>
  <r>
    <x v="268"/>
    <s v="BK50214"/>
    <d v="2025-05-30T00:00:00"/>
    <d v="2025-06-01T00:00:00"/>
    <d v="2025-06-18T00:00:00"/>
    <s v="Nestlé"/>
    <s v="Food"/>
    <s v="Switzerland"/>
    <s v="Jebel Ali"/>
    <s v="Nhava Sheva"/>
    <x v="0"/>
    <s v="Mumbai Maersk"/>
    <s v="40FT"/>
    <n v="1"/>
    <s v="Furniture"/>
    <n v="30651.41"/>
    <n v="9008.34"/>
    <n v="1779.01"/>
    <n v="753.72"/>
    <n v="306.51"/>
    <n v="710.73"/>
    <n v="865.81"/>
    <n v="17227.29"/>
    <n v="0"/>
    <s v="None"/>
    <n v="75.069999999999993"/>
    <s v="Completed"/>
    <s v="Pending"/>
    <s v="High"/>
    <s v="A. Tan"/>
    <s v="North America"/>
    <d v="2025-05-01T00:00:00"/>
    <x v="18"/>
  </r>
  <r>
    <x v="269"/>
    <s v="BK50903"/>
    <d v="2025-04-09T00:00:00"/>
    <d v="2025-04-11T00:00:00"/>
    <d v="2025-05-04T00:00:00"/>
    <s v="Bosch"/>
    <s v="Manufacturing"/>
    <s v="Germany"/>
    <s v="Colombo"/>
    <s v="Busan"/>
    <x v="2"/>
    <s v="MSC Gülsün"/>
    <s v="40FT"/>
    <n v="2"/>
    <s v="Chemicals"/>
    <n v="30664.69"/>
    <n v="6246.84"/>
    <n v="2367.6799999999998"/>
    <n v="633.73"/>
    <n v="306.64999999999998"/>
    <n v="289.44"/>
    <n v="1911.9"/>
    <n v="18908.45"/>
    <n v="24"/>
    <s v="Port Congestion"/>
    <n v="52.06"/>
    <s v="Delayed"/>
    <s v="Paid"/>
    <s v="High"/>
    <s v="M. Ahmed"/>
    <s v="Asia"/>
    <d v="2025-04-01T00:00:00"/>
    <x v="7"/>
  </r>
  <r>
    <x v="270"/>
    <s v="BK50494"/>
    <d v="2025-09-04T00:00:00"/>
    <d v="2025-09-05T00:00:00"/>
    <d v="2025-10-03T00:00:00"/>
    <s v="Toyota"/>
    <s v="Automotive"/>
    <s v="Japan"/>
    <s v="Colombo"/>
    <s v="Singapore"/>
    <x v="4"/>
    <s v="Monaco Maersk"/>
    <s v="Reefer"/>
    <n v="1"/>
    <s v="Auto Parts"/>
    <n v="30782.78"/>
    <n v="7452.91"/>
    <n v="2315.58"/>
    <n v="666.64"/>
    <n v="307.83"/>
    <n v="551.14"/>
    <n v="1650.41"/>
    <n v="17838.27"/>
    <n v="4"/>
    <s v="Weather"/>
    <n v="62.11"/>
    <s v="Delayed"/>
    <s v="Paid"/>
    <s v="High"/>
    <s v="M. Ahmed"/>
    <s v="Europe"/>
    <d v="2025-09-01T00:00:00"/>
    <x v="17"/>
  </r>
  <r>
    <x v="271"/>
    <s v="BK50524"/>
    <d v="2025-12-14T00:00:00"/>
    <d v="2025-12-18T00:00:00"/>
    <d v="2026-01-07T00:00:00"/>
    <s v="IKEA"/>
    <s v="Retail"/>
    <s v="Sweden"/>
    <s v="Shanghai"/>
    <s v="Rotterdam"/>
    <x v="1"/>
    <s v="Mary Maersk"/>
    <s v="40FT"/>
    <n v="4"/>
    <s v="Textiles"/>
    <n v="30792.02"/>
    <n v="8709.16"/>
    <n v="2410.02"/>
    <n v="643.34"/>
    <n v="307.92"/>
    <n v="173.46"/>
    <n v="426.06"/>
    <n v="18122.060000000001"/>
    <n v="0"/>
    <s v="None"/>
    <n v="72.58"/>
    <s v="Completed"/>
    <s v="Paid"/>
    <s v="Standard"/>
    <s v="M. Ahmed"/>
    <s v="Europe"/>
    <d v="2025-12-01T00:00:00"/>
    <x v="16"/>
  </r>
  <r>
    <x v="272"/>
    <s v="BK50515"/>
    <d v="2025-05-28T00:00:00"/>
    <d v="2025-06-01T00:00:00"/>
    <d v="2025-06-21T00:00:00"/>
    <s v="Siemens"/>
    <s v="Engineering"/>
    <s v="Germany"/>
    <s v="Singapore"/>
    <s v="Rotterdam"/>
    <x v="1"/>
    <s v="Mary Maersk"/>
    <s v="High Cube"/>
    <n v="2"/>
    <s v="Chemicals"/>
    <n v="30794.560000000001"/>
    <n v="6877.57"/>
    <n v="2120.31"/>
    <n v="402.43"/>
    <n v="307.95"/>
    <n v="702.43"/>
    <n v="1241.8900000000001"/>
    <n v="19141.98"/>
    <n v="0"/>
    <s v="None"/>
    <n v="57.31"/>
    <s v="Completed"/>
    <s v="Paid"/>
    <s v="Standard"/>
    <s v="R. Mehta"/>
    <s v="Europe"/>
    <d v="2025-05-01T00:00:00"/>
    <x v="16"/>
  </r>
  <r>
    <x v="273"/>
    <s v="BK50195"/>
    <d v="2025-07-01T00:00:00"/>
    <d v="2025-07-03T00:00:00"/>
    <d v="2025-07-15T00:00:00"/>
    <s v="Unilever"/>
    <s v="FMCG"/>
    <s v="UK"/>
    <s v="Busan"/>
    <s v="Los Angeles"/>
    <x v="3"/>
    <s v="Mumbai Maersk"/>
    <s v="20FT"/>
    <n v="1"/>
    <s v="Furniture"/>
    <n v="30951.47"/>
    <n v="6039.47"/>
    <n v="1470.15"/>
    <n v="607.76"/>
    <n v="309.51"/>
    <n v="877.65"/>
    <n v="765.37"/>
    <n v="20881.560000000001"/>
    <n v="4"/>
    <s v="Customs"/>
    <n v="50.33"/>
    <s v="Delayed"/>
    <s v="Pending"/>
    <s v="Standard"/>
    <s v="L. Chen"/>
    <s v="Middle East"/>
    <d v="2025-07-01T00:00:00"/>
    <x v="12"/>
  </r>
  <r>
    <x v="274"/>
    <s v="BK50863"/>
    <d v="2025-05-11T00:00:00"/>
    <d v="2025-05-15T00:00:00"/>
    <d v="2025-05-30T00:00:00"/>
    <s v="Adidas"/>
    <s v="Retail"/>
    <s v="Germany"/>
    <s v="Jebel Ali"/>
    <s v="Nhava Sheva"/>
    <x v="0"/>
    <s v="Mary Maersk"/>
    <s v="Reefer"/>
    <n v="1"/>
    <s v="Chemicals"/>
    <n v="31033.33"/>
    <n v="7059.07"/>
    <n v="2296.66"/>
    <n v="351.69"/>
    <n v="310.33"/>
    <n v="476.44"/>
    <n v="1476.41"/>
    <n v="19062.73"/>
    <n v="24"/>
    <s v="Weather"/>
    <n v="58.83"/>
    <s v="Delayed"/>
    <s v="Pending"/>
    <s v="Critical"/>
    <s v="R. Mehta"/>
    <s v="North America"/>
    <d v="2025-05-01T00:00:00"/>
    <x v="6"/>
  </r>
  <r>
    <x v="275"/>
    <s v="BK50268"/>
    <d v="2025-05-23T00:00:00"/>
    <d v="2025-05-25T00:00:00"/>
    <d v="2025-06-07T00:00:00"/>
    <s v="Reliance"/>
    <s v="Retail"/>
    <s v="India"/>
    <s v="Shanghai"/>
    <s v="Rotterdam"/>
    <x v="1"/>
    <s v="Ever Ace"/>
    <s v="High Cube"/>
    <n v="2"/>
    <s v="Electronics"/>
    <n v="31075.46"/>
    <n v="7511"/>
    <n v="1987.29"/>
    <n v="715.37"/>
    <n v="310.75"/>
    <n v="851.57"/>
    <n v="1222.81"/>
    <n v="18476.669999999998"/>
    <n v="4"/>
    <s v="Labor Strike"/>
    <n v="62.59"/>
    <s v="Delayed"/>
    <s v="Pending"/>
    <s v="Critical"/>
    <s v="R. Mehta"/>
    <s v="Asia"/>
    <d v="2025-05-01T00:00:00"/>
    <x v="13"/>
  </r>
  <r>
    <x v="276"/>
    <s v="BK50028"/>
    <d v="2025-09-24T00:00:00"/>
    <d v="2025-09-26T00:00:00"/>
    <d v="2025-10-12T00:00:00"/>
    <s v="Unilever"/>
    <s v="FMCG"/>
    <s v="UK"/>
    <s v="Shanghai"/>
    <s v="Rotterdam"/>
    <x v="1"/>
    <s v="CMA CGM Jacques Saadé"/>
    <s v="40FT"/>
    <n v="2"/>
    <s v="Auto Parts"/>
    <n v="31138.06"/>
    <n v="8039.4"/>
    <n v="2187.3000000000002"/>
    <n v="421.78"/>
    <n v="311.38"/>
    <n v="498.32"/>
    <n v="1451.57"/>
    <n v="18228.310000000001"/>
    <n v="0"/>
    <s v="None"/>
    <n v="66.989999999999995"/>
    <s v="Completed"/>
    <s v="Pending"/>
    <s v="Standard"/>
    <s v="J. Smith"/>
    <s v="Asia"/>
    <d v="2025-09-01T00:00:00"/>
    <x v="0"/>
  </r>
  <r>
    <x v="277"/>
    <s v="BK50790"/>
    <d v="2025-12-17T00:00:00"/>
    <d v="2025-12-20T00:00:00"/>
    <d v="2026-01-15T00:00:00"/>
    <s v="Toyota"/>
    <s v="Automotive"/>
    <s v="Japan"/>
    <s v="Singapore"/>
    <s v="Hamburg"/>
    <x v="2"/>
    <s v="Madrid Maersk"/>
    <s v="Reefer"/>
    <n v="1"/>
    <s v="Auto Parts"/>
    <n v="31209.62"/>
    <n v="6496.76"/>
    <n v="1525.34"/>
    <n v="584.07000000000005"/>
    <n v="312.10000000000002"/>
    <n v="498.79"/>
    <n v="1868"/>
    <n v="19924.560000000001"/>
    <n v="24"/>
    <s v="Customs"/>
    <n v="54.14"/>
    <s v="Delayed"/>
    <s v="Paid"/>
    <s v="High"/>
    <s v="J. Smith"/>
    <s v="Asia"/>
    <d v="2025-12-01T00:00:00"/>
    <x v="3"/>
  </r>
  <r>
    <x v="278"/>
    <s v="BK50546"/>
    <d v="2025-01-11T00:00:00"/>
    <d v="2025-01-14T00:00:00"/>
    <d v="2025-01-27T00:00:00"/>
    <s v="Adidas"/>
    <s v="Retail"/>
    <s v="Germany"/>
    <s v="Shanghai"/>
    <s v="Singapore"/>
    <x v="2"/>
    <s v="Monaco Maersk"/>
    <s v="Reefer"/>
    <n v="4"/>
    <s v="Machinery"/>
    <n v="31282.06"/>
    <n v="8474.48"/>
    <n v="2219.6"/>
    <n v="390.07"/>
    <n v="312.82"/>
    <n v="828.68"/>
    <n v="1672.76"/>
    <n v="17383.650000000001"/>
    <n v="0"/>
    <s v="None"/>
    <n v="70.62"/>
    <s v="Completed"/>
    <s v="Pending"/>
    <s v="Critical"/>
    <s v="R. Mehta"/>
    <s v="North America"/>
    <d v="2025-01-01T00:00:00"/>
    <x v="13"/>
  </r>
  <r>
    <x v="279"/>
    <s v="BK50721"/>
    <d v="2025-08-28T00:00:00"/>
    <d v="2025-08-30T00:00:00"/>
    <d v="2025-09-24T00:00:00"/>
    <s v="Toyota"/>
    <s v="Automotive"/>
    <s v="Japan"/>
    <s v="Busan"/>
    <s v="Busan"/>
    <x v="2"/>
    <s v="Monaco Maersk"/>
    <s v="High Cube"/>
    <n v="2"/>
    <s v="Furniture"/>
    <n v="31347.52"/>
    <n v="6440.96"/>
    <n v="1746.82"/>
    <n v="925.15"/>
    <n v="313.48"/>
    <n v="841.33"/>
    <n v="1255.08"/>
    <n v="19824.7"/>
    <n v="48"/>
    <s v="Weather"/>
    <n v="53.67"/>
    <s v="Delayed"/>
    <s v="Paid"/>
    <s v="Critical"/>
    <s v="A. Tan"/>
    <s v="Asia"/>
    <d v="2025-08-01T00:00:00"/>
    <x v="10"/>
  </r>
  <r>
    <x v="280"/>
    <s v="BK50557"/>
    <d v="2025-11-26T00:00:00"/>
    <d v="2025-11-27T00:00:00"/>
    <d v="2025-12-23T00:00:00"/>
    <s v="LG"/>
    <s v="Electronics"/>
    <s v="South Korea"/>
    <s v="Singapore"/>
    <s v="Rotterdam"/>
    <x v="1"/>
    <s v="CMA CGM Jacques Saadé"/>
    <s v="High Cube"/>
    <n v="1"/>
    <s v="Furniture"/>
    <n v="31367.5"/>
    <n v="8362.8700000000008"/>
    <n v="2370.7600000000002"/>
    <n v="564.96"/>
    <n v="313.68"/>
    <n v="889.82"/>
    <n v="1236.4100000000001"/>
    <n v="17629"/>
    <n v="12"/>
    <s v="Port Congestion"/>
    <n v="69.69"/>
    <s v="Delayed"/>
    <s v="Paid"/>
    <s v="Critical"/>
    <s v="A. Tan"/>
    <s v="Asia"/>
    <d v="2025-11-01T00:00:00"/>
    <x v="3"/>
  </r>
  <r>
    <x v="281"/>
    <s v="BK50366"/>
    <d v="2025-02-21T00:00:00"/>
    <d v="2025-02-25T00:00:00"/>
    <d v="2025-03-20T00:00:00"/>
    <s v="Siemens"/>
    <s v="Engineering"/>
    <s v="Germany"/>
    <s v="Colombo"/>
    <s v="Singapore"/>
    <x v="4"/>
    <s v="CMA CGM Jacques Saadé"/>
    <s v="High Cube"/>
    <n v="2"/>
    <s v="Machinery"/>
    <n v="31409.8"/>
    <n v="6234.92"/>
    <n v="1563.19"/>
    <n v="320.70999999999998"/>
    <n v="314.10000000000002"/>
    <n v="263.35000000000002"/>
    <n v="1378.1"/>
    <n v="21335.43"/>
    <n v="0"/>
    <s v="None"/>
    <n v="51.96"/>
    <s v="Completed"/>
    <s v="Paid"/>
    <s v="High"/>
    <s v="M. Ahmed"/>
    <s v="Asia"/>
    <d v="2025-02-01T00:00:00"/>
    <x v="7"/>
  </r>
  <r>
    <x v="282"/>
    <s v="BK50753"/>
    <d v="2025-11-14T00:00:00"/>
    <d v="2025-11-18T00:00:00"/>
    <d v="2025-12-07T00:00:00"/>
    <s v="Samsung"/>
    <s v="Electronics"/>
    <s v="South Korea"/>
    <s v="Jebel Ali"/>
    <s v="Nhava Sheva"/>
    <x v="2"/>
    <s v="OOCL Hong Kong"/>
    <s v="20FT"/>
    <n v="1"/>
    <s v="Textiles"/>
    <n v="31445.63"/>
    <n v="5168.79"/>
    <n v="1920.33"/>
    <n v="694.85"/>
    <n v="314.45999999999998"/>
    <n v="152.6"/>
    <n v="1358.82"/>
    <n v="21835.78"/>
    <n v="36"/>
    <s v="Port Congestion"/>
    <n v="43.07"/>
    <s v="Delayed"/>
    <s v="Pending"/>
    <s v="Critical"/>
    <s v="J. Smith"/>
    <s v="Middle East"/>
    <d v="2025-11-01T00:00:00"/>
    <x v="11"/>
  </r>
  <r>
    <x v="283"/>
    <s v="BK50177"/>
    <d v="2025-12-12T00:00:00"/>
    <d v="2025-12-13T00:00:00"/>
    <d v="2026-01-01T00:00:00"/>
    <s v="Adidas"/>
    <s v="Retail"/>
    <s v="Germany"/>
    <s v="Colombo"/>
    <s v="Singapore"/>
    <x v="4"/>
    <s v="Madrid Maersk"/>
    <s v="40FT"/>
    <n v="4"/>
    <s v="Machinery"/>
    <n v="31698.12"/>
    <n v="9038.77"/>
    <n v="1900"/>
    <n v="497.71"/>
    <n v="316.98"/>
    <n v="314.19"/>
    <n v="1176.33"/>
    <n v="18454.14"/>
    <n v="0"/>
    <s v="None"/>
    <n v="75.319999999999993"/>
    <s v="Completed"/>
    <s v="Paid"/>
    <s v="High"/>
    <s v="M. Ahmed"/>
    <s v="Middle East"/>
    <d v="2025-12-01T00:00:00"/>
    <x v="11"/>
  </r>
  <r>
    <x v="284"/>
    <s v="BK50545"/>
    <d v="2025-05-16T00:00:00"/>
    <d v="2025-05-20T00:00:00"/>
    <d v="2025-06-14T00:00:00"/>
    <s v="Samsung"/>
    <s v="Electronics"/>
    <s v="South Korea"/>
    <s v="Busan"/>
    <s v="New York"/>
    <x v="2"/>
    <s v="Mumbai Maersk"/>
    <s v="High Cube"/>
    <n v="4"/>
    <s v="Food"/>
    <n v="31771.93"/>
    <n v="8355.7999999999993"/>
    <n v="1299.1099999999999"/>
    <n v="499.11"/>
    <n v="317.72000000000003"/>
    <n v="742.63"/>
    <n v="1456.41"/>
    <n v="19101.150000000001"/>
    <n v="24"/>
    <s v="Labor Strike"/>
    <n v="69.63"/>
    <s v="Delayed"/>
    <s v="Paid"/>
    <s v="High"/>
    <s v="L. Chen"/>
    <s v="Middle East"/>
    <d v="2025-05-01T00:00:00"/>
    <x v="10"/>
  </r>
  <r>
    <x v="285"/>
    <s v="BK50514"/>
    <d v="2025-01-01T00:00:00"/>
    <d v="2025-01-02T00:00:00"/>
    <d v="2025-01-17T00:00:00"/>
    <s v="IKEA"/>
    <s v="Retail"/>
    <s v="Sweden"/>
    <s v="Shanghai"/>
    <s v="Rotterdam"/>
    <x v="1"/>
    <s v="Mary Maersk"/>
    <s v="40FT"/>
    <n v="4"/>
    <s v="Chemicals"/>
    <n v="31772.01"/>
    <n v="8054.73"/>
    <n v="2437.0300000000002"/>
    <n v="923.71"/>
    <n v="317.72000000000003"/>
    <n v="861.49"/>
    <n v="425.06"/>
    <n v="18752.27"/>
    <n v="0"/>
    <s v="None"/>
    <n v="67.12"/>
    <s v="Completed"/>
    <s v="Paid"/>
    <s v="Standard"/>
    <s v="A. Tan"/>
    <s v="Asia"/>
    <d v="2025-01-01T00:00:00"/>
    <x v="6"/>
  </r>
  <r>
    <x v="286"/>
    <s v="BK50708"/>
    <d v="2025-03-30T00:00:00"/>
    <d v="2025-04-01T00:00:00"/>
    <d v="2025-04-14T00:00:00"/>
    <s v="Reliance"/>
    <s v="Retail"/>
    <s v="India"/>
    <s v="Hamburg"/>
    <s v="Los Angeles"/>
    <x v="2"/>
    <s v="Mary Maersk"/>
    <s v="Reefer"/>
    <n v="2"/>
    <s v="Electronics"/>
    <n v="31805.03"/>
    <n v="9071.07"/>
    <n v="2104.71"/>
    <n v="532.64"/>
    <n v="318.05"/>
    <n v="610.17999999999995"/>
    <n v="1188.68"/>
    <n v="17979.7"/>
    <n v="24"/>
    <s v="Customs"/>
    <n v="75.59"/>
    <s v="Delayed"/>
    <s v="Paid"/>
    <s v="Standard"/>
    <s v="A. Tan"/>
    <s v="Europe"/>
    <d v="2025-03-01T00:00:00"/>
    <x v="13"/>
  </r>
  <r>
    <x v="287"/>
    <s v="BK50814"/>
    <d v="2025-01-02T00:00:00"/>
    <d v="2025-01-05T00:00:00"/>
    <d v="2025-01-17T00:00:00"/>
    <s v="Siemens"/>
    <s v="Engineering"/>
    <s v="Germany"/>
    <s v="Colombo"/>
    <s v="Busan"/>
    <x v="2"/>
    <s v="Mumbai Maersk"/>
    <s v="Reefer"/>
    <n v="1"/>
    <s v="Chemicals"/>
    <n v="31864.94"/>
    <n v="5361.83"/>
    <n v="2128.62"/>
    <n v="348.63"/>
    <n v="318.64999999999998"/>
    <n v="357.09"/>
    <n v="989.43"/>
    <n v="22360.69"/>
    <n v="12"/>
    <s v="Weather"/>
    <n v="44.68"/>
    <s v="Delayed"/>
    <s v="Paid"/>
    <s v="Standard"/>
    <s v="L. Chen"/>
    <s v="North America"/>
    <d v="2025-01-01T00:00:00"/>
    <x v="12"/>
  </r>
  <r>
    <x v="288"/>
    <s v="BK50681"/>
    <d v="2025-05-27T00:00:00"/>
    <d v="2025-05-31T00:00:00"/>
    <d v="2025-06-26T00:00:00"/>
    <s v="Pfizer"/>
    <s v="Pharma"/>
    <s v="USA"/>
    <s v="Shanghai"/>
    <s v="Rotterdam"/>
    <x v="1"/>
    <s v="Mumbai Maersk"/>
    <s v="High Cube"/>
    <n v="2"/>
    <s v="Chemicals"/>
    <n v="32009.14"/>
    <n v="6142.27"/>
    <n v="1329.37"/>
    <n v="777.42"/>
    <n v="320.08999999999997"/>
    <n v="424.91"/>
    <n v="363.34"/>
    <n v="22651.74"/>
    <n v="0"/>
    <s v="None"/>
    <n v="51.19"/>
    <s v="Completed"/>
    <s v="Paid"/>
    <s v="Standard"/>
    <s v="J. Smith"/>
    <s v="North America"/>
    <d v="2025-05-01T00:00:00"/>
    <x v="3"/>
  </r>
  <r>
    <x v="289"/>
    <s v="BK50567"/>
    <d v="2025-09-13T00:00:00"/>
    <d v="2025-09-17T00:00:00"/>
    <d v="2025-10-12T00:00:00"/>
    <s v="Adidas"/>
    <s v="Retail"/>
    <s v="Germany"/>
    <s v="Los Angeles"/>
    <s v="Busan"/>
    <x v="2"/>
    <s v="OOCL Hong Kong"/>
    <s v="Reefer"/>
    <n v="1"/>
    <s v="Auto Parts"/>
    <n v="32148.84"/>
    <n v="5212.12"/>
    <n v="1802.8"/>
    <n v="591.07000000000005"/>
    <n v="321.49"/>
    <n v="609.66999999999996"/>
    <n v="2484.38"/>
    <n v="21127.31"/>
    <n v="8"/>
    <s v="Port Congestion"/>
    <n v="43.43"/>
    <s v="Delayed"/>
    <s v="Pending"/>
    <s v="High"/>
    <s v="A. Tan"/>
    <s v="Asia"/>
    <d v="2025-09-01T00:00:00"/>
    <x v="10"/>
  </r>
  <r>
    <x v="290"/>
    <s v="BK50584"/>
    <d v="2025-09-27T00:00:00"/>
    <d v="2025-09-29T00:00:00"/>
    <d v="2025-10-26T00:00:00"/>
    <s v="IKEA"/>
    <s v="Retail"/>
    <s v="Sweden"/>
    <s v="Shanghai"/>
    <s v="New York"/>
    <x v="2"/>
    <s v="MSC Gülsün"/>
    <s v="Reefer"/>
    <n v="1"/>
    <s v="Textiles"/>
    <n v="32277.26"/>
    <n v="5835.9"/>
    <n v="1555.88"/>
    <n v="918.41"/>
    <n v="322.77"/>
    <n v="471.36"/>
    <n v="2439.7800000000002"/>
    <n v="20733.16"/>
    <n v="24"/>
    <s v="Weather"/>
    <n v="48.63"/>
    <s v="Delayed"/>
    <s v="Pending"/>
    <s v="Standard"/>
    <s v="J. Smith"/>
    <s v="North America"/>
    <d v="2025-09-01T00:00:00"/>
    <x v="2"/>
  </r>
  <r>
    <x v="291"/>
    <s v="BK50064"/>
    <d v="2025-03-29T00:00:00"/>
    <d v="2025-04-01T00:00:00"/>
    <d v="2025-04-25T00:00:00"/>
    <s v="Unilever"/>
    <s v="FMCG"/>
    <s v="UK"/>
    <s v="Nhava Sheva"/>
    <s v="Hamburg"/>
    <x v="2"/>
    <s v="Ever Ace"/>
    <s v="40FT"/>
    <n v="1"/>
    <s v="Food"/>
    <n v="32394.79"/>
    <n v="9582.7900000000009"/>
    <n v="1506.53"/>
    <n v="336.07"/>
    <n v="323.95"/>
    <n v="617.09"/>
    <n v="2118.91"/>
    <n v="17909.45"/>
    <n v="24"/>
    <s v="Mechanical"/>
    <n v="79.86"/>
    <s v="Delayed"/>
    <s v="Paid"/>
    <s v="Standard"/>
    <s v="J. Smith"/>
    <s v="North America"/>
    <d v="2025-03-01T00:00:00"/>
    <x v="8"/>
  </r>
  <r>
    <x v="292"/>
    <s v="BK50596"/>
    <d v="2025-01-06T00:00:00"/>
    <d v="2025-01-07T00:00:00"/>
    <d v="2025-01-20T00:00:00"/>
    <s v="Siemens"/>
    <s v="Engineering"/>
    <s v="Germany"/>
    <s v="Busan"/>
    <s v="Los Angeles"/>
    <x v="3"/>
    <s v="Madrid Maersk"/>
    <s v="20FT"/>
    <n v="1"/>
    <s v="Food"/>
    <n v="32398.13"/>
    <n v="6022.03"/>
    <n v="1534.92"/>
    <n v="727.2"/>
    <n v="323.98"/>
    <n v="189.08"/>
    <n v="1840.19"/>
    <n v="21760.73"/>
    <n v="0"/>
    <s v="None"/>
    <n v="50.18"/>
    <s v="Completed"/>
    <s v="Paid"/>
    <s v="High"/>
    <s v="R. Mehta"/>
    <s v="North America"/>
    <d v="2025-01-01T00:00:00"/>
    <x v="13"/>
  </r>
  <r>
    <x v="293"/>
    <s v="BK50489"/>
    <d v="2025-03-29T00:00:00"/>
    <d v="2025-03-30T00:00:00"/>
    <d v="2025-04-19T00:00:00"/>
    <s v="Siemens"/>
    <s v="Engineering"/>
    <s v="Germany"/>
    <s v="Colombo"/>
    <s v="Singapore"/>
    <x v="4"/>
    <s v="CMA CGM Jacques Saadé"/>
    <s v="High Cube"/>
    <n v="2"/>
    <s v="Chemicals"/>
    <n v="32407.7"/>
    <n v="9171.35"/>
    <n v="2229.15"/>
    <n v="921.16"/>
    <n v="324.08"/>
    <n v="319.68"/>
    <n v="687.87"/>
    <n v="18754.41"/>
    <n v="24"/>
    <s v="Customs"/>
    <n v="76.430000000000007"/>
    <s v="Delayed"/>
    <s v="Pending"/>
    <s v="Critical"/>
    <s v="M. Ahmed"/>
    <s v="North America"/>
    <d v="2025-03-01T00:00:00"/>
    <x v="16"/>
  </r>
  <r>
    <x v="294"/>
    <s v="BK50535"/>
    <d v="2025-05-31T00:00:00"/>
    <d v="2025-06-02T00:00:00"/>
    <d v="2025-06-13T00:00:00"/>
    <s v="Adidas"/>
    <s v="Retail"/>
    <s v="Germany"/>
    <s v="Rotterdam"/>
    <s v="Busan"/>
    <x v="2"/>
    <s v="Madrid Maersk"/>
    <s v="High Cube"/>
    <n v="1"/>
    <s v="Auto Parts"/>
    <n v="32430.73"/>
    <n v="8290.61"/>
    <n v="1407.99"/>
    <n v="432.86"/>
    <n v="324.31"/>
    <n v="464.58"/>
    <n v="665.19"/>
    <n v="20845.189999999999"/>
    <n v="0"/>
    <s v="None"/>
    <n v="69.09"/>
    <s v="Completed"/>
    <s v="Paid"/>
    <s v="High"/>
    <s v="A. Tan"/>
    <s v="Asia"/>
    <d v="2025-05-01T00:00:00"/>
    <x v="5"/>
  </r>
  <r>
    <x v="295"/>
    <s v="BK50075"/>
    <d v="2025-02-28T00:00:00"/>
    <d v="2025-03-02T00:00:00"/>
    <d v="2025-03-14T00:00:00"/>
    <s v="Samsung"/>
    <s v="Electronics"/>
    <s v="South Korea"/>
    <s v="Colombo"/>
    <s v="Singapore"/>
    <x v="4"/>
    <s v="Madrid Maersk"/>
    <s v="40FT"/>
    <n v="2"/>
    <s v="Furniture"/>
    <n v="32454.33"/>
    <n v="5641.19"/>
    <n v="1665.77"/>
    <n v="354.33"/>
    <n v="324.54000000000002"/>
    <n v="820.24"/>
    <n v="709.06"/>
    <n v="22939.200000000001"/>
    <n v="0"/>
    <s v="None"/>
    <n v="47.01"/>
    <s v="Completed"/>
    <s v="Pending"/>
    <s v="Standard"/>
    <s v="R. Mehta"/>
    <s v="Europe"/>
    <d v="2025-02-01T00:00:00"/>
    <x v="12"/>
  </r>
  <r>
    <x v="296"/>
    <s v="BK50805"/>
    <d v="2025-12-17T00:00:00"/>
    <d v="2025-12-21T00:00:00"/>
    <d v="2026-01-13T00:00:00"/>
    <s v="Samsung"/>
    <s v="Electronics"/>
    <s v="South Korea"/>
    <s v="Shanghai"/>
    <s v="Rotterdam"/>
    <x v="1"/>
    <s v="Mumbai Maersk"/>
    <s v="20FT"/>
    <n v="1"/>
    <s v="Chemicals"/>
    <n v="32502.74"/>
    <n v="9240.85"/>
    <n v="1674.47"/>
    <n v="593.20000000000005"/>
    <n v="325.02999999999997"/>
    <n v="443.53"/>
    <n v="1335.17"/>
    <n v="18890.490000000002"/>
    <n v="36"/>
    <s v="Mechanical"/>
    <n v="77.010000000000005"/>
    <s v="Delayed"/>
    <s v="Paid"/>
    <s v="Standard"/>
    <s v="R. Mehta"/>
    <s v="Asia"/>
    <d v="2025-12-01T00:00:00"/>
    <x v="7"/>
  </r>
  <r>
    <x v="297"/>
    <s v="BK50618"/>
    <d v="2025-10-03T00:00:00"/>
    <d v="2025-10-04T00:00:00"/>
    <d v="2025-10-27T00:00:00"/>
    <s v="Amazon"/>
    <s v="E-commerce"/>
    <s v="USA"/>
    <s v="Jebel Ali"/>
    <s v="Shanghai"/>
    <x v="2"/>
    <s v="Mumbai Maersk"/>
    <s v="High Cube"/>
    <n v="2"/>
    <s v="Chemicals"/>
    <n v="32502.82"/>
    <n v="9478.82"/>
    <n v="2491.42"/>
    <n v="707.91"/>
    <n v="325.02999999999997"/>
    <n v="206.17"/>
    <n v="2489.8200000000002"/>
    <n v="16803.650000000001"/>
    <n v="8"/>
    <s v="Customs"/>
    <n v="78.989999999999995"/>
    <s v="Delayed"/>
    <s v="Paid"/>
    <s v="Critical"/>
    <s v="J. Smith"/>
    <s v="Middle East"/>
    <d v="2025-10-01T00:00:00"/>
    <x v="7"/>
  </r>
  <r>
    <x v="298"/>
    <s v="BK50556"/>
    <d v="2025-09-10T00:00:00"/>
    <d v="2025-09-13T00:00:00"/>
    <d v="2025-10-06T00:00:00"/>
    <s v="Toyota"/>
    <s v="Automotive"/>
    <s v="Japan"/>
    <s v="Shanghai"/>
    <s v="Rotterdam"/>
    <x v="1"/>
    <s v="Madrid Maersk"/>
    <s v="20FT"/>
    <n v="4"/>
    <s v="Chemicals"/>
    <n v="32631.97"/>
    <n v="8185.73"/>
    <n v="1921.69"/>
    <n v="704.49"/>
    <n v="326.32"/>
    <n v="705.91"/>
    <n v="1281.57"/>
    <n v="19506.259999999998"/>
    <n v="36"/>
    <s v="Mechanical"/>
    <n v="68.209999999999994"/>
    <s v="Delayed"/>
    <s v="Paid"/>
    <s v="High"/>
    <s v="J. Smith"/>
    <s v="North America"/>
    <d v="2025-09-01T00:00:00"/>
    <x v="7"/>
  </r>
  <r>
    <x v="299"/>
    <s v="BK50242"/>
    <d v="2025-02-03T00:00:00"/>
    <d v="2025-02-06T00:00:00"/>
    <d v="2025-02-26T00:00:00"/>
    <s v="Unilever"/>
    <s v="FMCG"/>
    <s v="UK"/>
    <s v="Shanghai"/>
    <s v="Rotterdam"/>
    <x v="1"/>
    <s v="Ever Ace"/>
    <s v="20FT"/>
    <n v="1"/>
    <s v="Machinery"/>
    <n v="32756.53"/>
    <n v="5731.93"/>
    <n v="2036.19"/>
    <n v="502.35"/>
    <n v="327.57"/>
    <n v="143.21"/>
    <n v="785.83"/>
    <n v="23229.45"/>
    <n v="0"/>
    <s v="None"/>
    <n v="47.77"/>
    <s v="Completed"/>
    <s v="Paid"/>
    <s v="Standard"/>
    <s v="L. Chen"/>
    <s v="Europe"/>
    <d v="2025-02-01T00:00:00"/>
    <x v="16"/>
  </r>
  <r>
    <x v="300"/>
    <s v="BK50695"/>
    <d v="2025-10-02T00:00:00"/>
    <d v="2025-10-04T00:00:00"/>
    <d v="2025-10-21T00:00:00"/>
    <s v="Amazon"/>
    <s v="E-commerce"/>
    <s v="USA"/>
    <s v="Jebel Ali"/>
    <s v="Nhava Sheva"/>
    <x v="0"/>
    <s v="MSC Gülsün"/>
    <s v="High Cube"/>
    <n v="1"/>
    <s v="Machinery"/>
    <n v="32760.79"/>
    <n v="7239.33"/>
    <n v="1930.44"/>
    <n v="592.02"/>
    <n v="327.61"/>
    <n v="475.7"/>
    <n v="1161.58"/>
    <n v="21034.11"/>
    <n v="48"/>
    <s v="Mechanical"/>
    <n v="60.33"/>
    <s v="Delayed"/>
    <s v="Pending"/>
    <s v="High"/>
    <s v="A. Tan"/>
    <s v="Middle East"/>
    <d v="2025-10-01T00:00:00"/>
    <x v="18"/>
  </r>
  <r>
    <x v="301"/>
    <s v="BK50011"/>
    <d v="2025-06-29T00:00:00"/>
    <d v="2025-07-01T00:00:00"/>
    <d v="2025-07-31T00:00:00"/>
    <s v="Adidas"/>
    <s v="Retail"/>
    <s v="Germany"/>
    <s v="Shanghai"/>
    <s v="Rotterdam"/>
    <x v="1"/>
    <s v="Mumbai Maersk"/>
    <s v="20FT"/>
    <n v="1"/>
    <s v="Auto Parts"/>
    <n v="32782.57"/>
    <n v="9419.66"/>
    <n v="1363.54"/>
    <n v="548.07000000000005"/>
    <n v="327.83"/>
    <n v="601.70000000000005"/>
    <n v="622.05999999999995"/>
    <n v="19899.71"/>
    <n v="48"/>
    <s v="Port Congestion"/>
    <n v="78.5"/>
    <s v="Delayed"/>
    <s v="Paid"/>
    <s v="Standard"/>
    <s v="J. Smith"/>
    <s v="Middle East"/>
    <d v="2025-06-01T00:00:00"/>
    <x v="19"/>
  </r>
  <r>
    <x v="302"/>
    <s v="BK50083"/>
    <d v="2025-05-26T00:00:00"/>
    <d v="2025-05-28T00:00:00"/>
    <d v="2025-06-13T00:00:00"/>
    <s v="IKEA"/>
    <s v="Retail"/>
    <s v="Sweden"/>
    <s v="Shanghai"/>
    <s v="Rotterdam"/>
    <x v="2"/>
    <s v="OOCL Hong Kong"/>
    <s v="Reefer"/>
    <n v="1"/>
    <s v="Furniture"/>
    <n v="32794.5"/>
    <n v="8207.82"/>
    <n v="2329.06"/>
    <n v="906.79"/>
    <n v="327.94"/>
    <n v="283.39999999999998"/>
    <n v="1559.19"/>
    <n v="19180.3"/>
    <n v="48"/>
    <s v="Weather"/>
    <n v="68.400000000000006"/>
    <s v="Delayed"/>
    <s v="Paid"/>
    <s v="Standard"/>
    <s v="A. Tan"/>
    <s v="Asia"/>
    <d v="2025-05-01T00:00:00"/>
    <x v="0"/>
  </r>
  <r>
    <x v="303"/>
    <s v="BK50732"/>
    <d v="2025-12-21T00:00:00"/>
    <d v="2025-12-23T00:00:00"/>
    <d v="2026-01-14T00:00:00"/>
    <s v="Bosch"/>
    <s v="Manufacturing"/>
    <s v="Germany"/>
    <s v="Jebel Ali"/>
    <s v="Nhava Sheva"/>
    <x v="0"/>
    <s v="MSC Gülsün"/>
    <s v="20FT"/>
    <n v="4"/>
    <s v="Food"/>
    <n v="32804.949999999997"/>
    <n v="5894.93"/>
    <n v="1587.3"/>
    <n v="816.24"/>
    <n v="328.05"/>
    <n v="535.02"/>
    <n v="1995.07"/>
    <n v="21648.34"/>
    <n v="8"/>
    <s v="Customs"/>
    <n v="49.12"/>
    <s v="Delayed"/>
    <s v="Paid"/>
    <s v="High"/>
    <s v="L. Chen"/>
    <s v="Asia"/>
    <d v="2025-12-01T00:00:00"/>
    <x v="4"/>
  </r>
  <r>
    <x v="304"/>
    <s v="BK50219"/>
    <d v="2025-07-14T00:00:00"/>
    <d v="2025-07-16T00:00:00"/>
    <d v="2025-08-11T00:00:00"/>
    <s v="Bosch"/>
    <s v="Manufacturing"/>
    <s v="Germany"/>
    <s v="Jebel Ali"/>
    <s v="Nhava Sheva"/>
    <x v="0"/>
    <s v="CMA CGM Jacques Saadé"/>
    <s v="Reefer"/>
    <n v="1"/>
    <s v="Chemicals"/>
    <n v="32850.49"/>
    <n v="6358.6"/>
    <n v="1483.34"/>
    <n v="454.49"/>
    <n v="328.5"/>
    <n v="120.75"/>
    <n v="898.89"/>
    <n v="23205.919999999998"/>
    <n v="0"/>
    <s v="None"/>
    <n v="52.99"/>
    <s v="Completed"/>
    <s v="Pending"/>
    <s v="High"/>
    <s v="L. Chen"/>
    <s v="Europe"/>
    <d v="2025-07-01T00:00:00"/>
    <x v="3"/>
  </r>
  <r>
    <x v="305"/>
    <s v="BK50481"/>
    <d v="2025-06-01T00:00:00"/>
    <d v="2025-06-03T00:00:00"/>
    <d v="2025-06-27T00:00:00"/>
    <s v="Samsung"/>
    <s v="Electronics"/>
    <s v="South Korea"/>
    <s v="Shanghai"/>
    <s v="Rotterdam"/>
    <x v="1"/>
    <s v="MSC Gülsün"/>
    <s v="Reefer"/>
    <n v="2"/>
    <s v="Chemicals"/>
    <n v="32866.92"/>
    <n v="6161.95"/>
    <n v="2559.6"/>
    <n v="898.76"/>
    <n v="328.67"/>
    <n v="112.48"/>
    <n v="2051.1999999999998"/>
    <n v="20754.259999999998"/>
    <n v="48"/>
    <s v="Labor Strike"/>
    <n v="51.35"/>
    <s v="Delayed"/>
    <s v="Paid"/>
    <s v="High"/>
    <s v="M. Ahmed"/>
    <s v="Middle East"/>
    <d v="2025-06-01T00:00:00"/>
    <x v="8"/>
  </r>
  <r>
    <x v="306"/>
    <s v="BK50892"/>
    <d v="2025-08-07T00:00:00"/>
    <d v="2025-08-11T00:00:00"/>
    <d v="2025-08-31T00:00:00"/>
    <s v="Toyota"/>
    <s v="Automotive"/>
    <s v="Japan"/>
    <s v="Nhava Sheva"/>
    <s v="Los Angeles"/>
    <x v="2"/>
    <s v="Ever Ace"/>
    <s v="High Cube"/>
    <n v="2"/>
    <s v="Chemicals"/>
    <n v="32886.51"/>
    <n v="9124.2199999999993"/>
    <n v="1429.35"/>
    <n v="919.72"/>
    <n v="328.87"/>
    <n v="761.31"/>
    <n v="409.57"/>
    <n v="19913.47"/>
    <n v="0"/>
    <s v="None"/>
    <n v="76.040000000000006"/>
    <s v="Completed"/>
    <s v="Pending"/>
    <s v="Standard"/>
    <s v="J. Smith"/>
    <s v="Asia"/>
    <d v="2025-08-01T00:00:00"/>
    <x v="16"/>
  </r>
  <r>
    <x v="307"/>
    <s v="BK50433"/>
    <d v="2025-10-10T00:00:00"/>
    <d v="2025-10-11T00:00:00"/>
    <d v="2025-11-02T00:00:00"/>
    <s v="Siemens"/>
    <s v="Engineering"/>
    <s v="Germany"/>
    <s v="Los Angeles"/>
    <s v="New York"/>
    <x v="2"/>
    <s v="CMA CGM Jacques Saadé"/>
    <s v="20FT"/>
    <n v="1"/>
    <s v="Machinery"/>
    <n v="32988.89"/>
    <n v="5797.36"/>
    <n v="1365.29"/>
    <n v="374.02"/>
    <n v="329.89"/>
    <n v="311.8"/>
    <n v="1280.99"/>
    <n v="23529.54"/>
    <n v="0"/>
    <s v="None"/>
    <n v="48.31"/>
    <s v="Completed"/>
    <s v="Paid"/>
    <s v="Critical"/>
    <s v="A. Tan"/>
    <s v="North America"/>
    <d v="2025-10-01T00:00:00"/>
    <x v="4"/>
  </r>
  <r>
    <x v="308"/>
    <s v="BK50750"/>
    <d v="2025-03-11T00:00:00"/>
    <d v="2025-03-15T00:00:00"/>
    <d v="2025-04-08T00:00:00"/>
    <s v="IKEA"/>
    <s v="Retail"/>
    <s v="Sweden"/>
    <s v="Colombo"/>
    <s v="Singapore"/>
    <x v="4"/>
    <s v="Mary Maersk"/>
    <s v="40FT"/>
    <n v="2"/>
    <s v="Auto Parts"/>
    <n v="33045.47"/>
    <n v="6700.6"/>
    <n v="2580.29"/>
    <n v="956.89"/>
    <n v="330.45"/>
    <n v="627.88"/>
    <n v="1209.8699999999999"/>
    <n v="20639.490000000002"/>
    <n v="36"/>
    <s v="Port Congestion"/>
    <n v="55.84"/>
    <s v="Delayed"/>
    <s v="Paid"/>
    <s v="Standard"/>
    <s v="M. Ahmed"/>
    <s v="Europe"/>
    <d v="2025-03-01T00:00:00"/>
    <x v="8"/>
  </r>
  <r>
    <x v="309"/>
    <s v="BK50664"/>
    <d v="2025-04-16T00:00:00"/>
    <d v="2025-04-17T00:00:00"/>
    <d v="2025-05-10T00:00:00"/>
    <s v="Samsung"/>
    <s v="Electronics"/>
    <s v="South Korea"/>
    <s v="Jebel Ali"/>
    <s v="Nhava Sheva"/>
    <x v="0"/>
    <s v="Mary Maersk"/>
    <s v="40FT"/>
    <n v="2"/>
    <s v="Furniture"/>
    <n v="33061.29"/>
    <n v="9646.36"/>
    <n v="1926.29"/>
    <n v="345.93"/>
    <n v="330.61"/>
    <n v="517.64"/>
    <n v="1674.9"/>
    <n v="18619.560000000001"/>
    <n v="0"/>
    <s v="None"/>
    <n v="80.39"/>
    <s v="Completed"/>
    <s v="Paid"/>
    <s v="Critical"/>
    <s v="L. Chen"/>
    <s v="Europe"/>
    <d v="2025-04-01T00:00:00"/>
    <x v="7"/>
  </r>
  <r>
    <x v="310"/>
    <s v="BK50830"/>
    <d v="2025-02-01T00:00:00"/>
    <d v="2025-02-05T00:00:00"/>
    <d v="2025-03-01T00:00:00"/>
    <s v="Pfizer"/>
    <s v="Pharma"/>
    <s v="USA"/>
    <s v="Colombo"/>
    <s v="Singapore"/>
    <x v="4"/>
    <s v="Ever Ace"/>
    <s v="Reefer"/>
    <n v="2"/>
    <s v="Auto Parts"/>
    <n v="33078.11"/>
    <n v="5460"/>
    <n v="1404.52"/>
    <n v="370.49"/>
    <n v="330.78"/>
    <n v="246.09"/>
    <n v="2036.57"/>
    <n v="23229.66"/>
    <n v="0"/>
    <s v="None"/>
    <n v="45.5"/>
    <s v="Completed"/>
    <s v="Pending"/>
    <s v="Standard"/>
    <s v="L. Chen"/>
    <s v="North America"/>
    <d v="2025-02-01T00:00:00"/>
    <x v="8"/>
  </r>
  <r>
    <x v="311"/>
    <s v="BK50201"/>
    <d v="2025-01-03T00:00:00"/>
    <d v="2025-01-06T00:00:00"/>
    <d v="2025-01-22T00:00:00"/>
    <s v="Nestlé"/>
    <s v="Food"/>
    <s v="Switzerland"/>
    <s v="Shanghai"/>
    <s v="Shanghai"/>
    <x v="2"/>
    <s v="MSC Gülsün"/>
    <s v="40FT"/>
    <n v="2"/>
    <s v="Furniture"/>
    <n v="33188.720000000001"/>
    <n v="9935.89"/>
    <n v="2417.54"/>
    <n v="560.34"/>
    <n v="331.89"/>
    <n v="869.72"/>
    <n v="2005.61"/>
    <n v="17067.73"/>
    <n v="0"/>
    <s v="None"/>
    <n v="82.8"/>
    <s v="Completed"/>
    <s v="Pending"/>
    <s v="High"/>
    <s v="J. Smith"/>
    <s v="Asia"/>
    <d v="2025-01-01T00:00:00"/>
    <x v="0"/>
  </r>
  <r>
    <x v="312"/>
    <s v="BK50676"/>
    <d v="2025-10-31T00:00:00"/>
    <d v="2025-11-01T00:00:00"/>
    <d v="2025-11-19T00:00:00"/>
    <s v="LG"/>
    <s v="Electronics"/>
    <s v="South Korea"/>
    <s v="Jebel Ali"/>
    <s v="Nhava Sheva"/>
    <x v="0"/>
    <s v="Madrid Maersk"/>
    <s v="20FT"/>
    <n v="1"/>
    <s v="Food"/>
    <n v="33247.24"/>
    <n v="8738.39"/>
    <n v="2196.79"/>
    <n v="745.43"/>
    <n v="332.47"/>
    <n v="132.5"/>
    <n v="1595.07"/>
    <n v="19506.59"/>
    <n v="0"/>
    <s v="None"/>
    <n v="72.819999999999993"/>
    <s v="Completed"/>
    <s v="Pending"/>
    <s v="Standard"/>
    <s v="A. Tan"/>
    <s v="Middle East"/>
    <d v="2025-10-01T00:00:00"/>
    <x v="14"/>
  </r>
  <r>
    <x v="313"/>
    <s v="BK50519"/>
    <d v="2025-01-07T00:00:00"/>
    <d v="2025-01-09T00:00:00"/>
    <d v="2025-02-01T00:00:00"/>
    <s v="Pfizer"/>
    <s v="Pharma"/>
    <s v="USA"/>
    <s v="Hamburg"/>
    <s v="New York"/>
    <x v="2"/>
    <s v="Monaco Maersk"/>
    <s v="Reefer"/>
    <n v="2"/>
    <s v="Textiles"/>
    <n v="33445.06"/>
    <n v="8264.7099999999991"/>
    <n v="2642.37"/>
    <n v="494.33"/>
    <n v="334.45"/>
    <n v="144.72999999999999"/>
    <n v="1061.52"/>
    <n v="20502.95"/>
    <n v="0"/>
    <s v="None"/>
    <n v="68.87"/>
    <s v="Completed"/>
    <s v="Paid"/>
    <s v="High"/>
    <s v="L. Chen"/>
    <s v="Europe"/>
    <d v="2025-01-01T00:00:00"/>
    <x v="7"/>
  </r>
  <r>
    <x v="314"/>
    <s v="BK50698"/>
    <d v="2025-09-20T00:00:00"/>
    <d v="2025-09-22T00:00:00"/>
    <d v="2025-10-08T00:00:00"/>
    <s v="Nestlé"/>
    <s v="Food"/>
    <s v="Switzerland"/>
    <s v="Colombo"/>
    <s v="Colombo"/>
    <x v="2"/>
    <s v="Madrid Maersk"/>
    <s v="40FT"/>
    <n v="2"/>
    <s v="Textiles"/>
    <n v="33500.519999999997"/>
    <n v="7933"/>
    <n v="2644.3"/>
    <n v="927.8"/>
    <n v="335.01"/>
    <n v="287.92"/>
    <n v="2486.59"/>
    <n v="18885.900000000001"/>
    <n v="36"/>
    <s v="Weather"/>
    <n v="66.11"/>
    <s v="Delayed"/>
    <s v="Paid"/>
    <s v="Critical"/>
    <s v="M. Ahmed"/>
    <s v="North America"/>
    <d v="2025-09-01T00:00:00"/>
    <x v="0"/>
  </r>
  <r>
    <x v="315"/>
    <s v="BK50652"/>
    <d v="2025-05-09T00:00:00"/>
    <d v="2025-05-13T00:00:00"/>
    <d v="2025-06-09T00:00:00"/>
    <s v="Reliance"/>
    <s v="Retail"/>
    <s v="India"/>
    <s v="Busan"/>
    <s v="Los Angeles"/>
    <x v="3"/>
    <s v="MSC Gülsün"/>
    <s v="High Cube"/>
    <n v="2"/>
    <s v="Machinery"/>
    <n v="33541.769999999997"/>
    <n v="9047.4500000000007"/>
    <n v="2363.3000000000002"/>
    <n v="900.52"/>
    <n v="335.42"/>
    <n v="622.12"/>
    <n v="1560.69"/>
    <n v="18712.27"/>
    <n v="0"/>
    <s v="None"/>
    <n v="75.400000000000006"/>
    <s v="Completed"/>
    <s v="Pending"/>
    <s v="High"/>
    <s v="J. Smith"/>
    <s v="Middle East"/>
    <d v="2025-05-01T00:00:00"/>
    <x v="2"/>
  </r>
  <r>
    <x v="316"/>
    <s v="BK50078"/>
    <d v="2025-02-03T00:00:00"/>
    <d v="2025-02-07T00:00:00"/>
    <d v="2025-02-20T00:00:00"/>
    <s v="IKEA"/>
    <s v="Retail"/>
    <s v="Sweden"/>
    <s v="Busan"/>
    <s v="Los Angeles"/>
    <x v="3"/>
    <s v="Monaco Maersk"/>
    <s v="40FT"/>
    <n v="4"/>
    <s v="Machinery"/>
    <n v="33545.81"/>
    <n v="8132.87"/>
    <n v="1726.38"/>
    <n v="380.14"/>
    <n v="335.46"/>
    <n v="594.99"/>
    <n v="528.57000000000005"/>
    <n v="21847.4"/>
    <n v="0"/>
    <s v="None"/>
    <n v="67.77"/>
    <s v="Completed"/>
    <s v="Paid"/>
    <s v="High"/>
    <s v="M. Ahmed"/>
    <s v="Europe"/>
    <d v="2025-02-01T00:00:00"/>
    <x v="13"/>
  </r>
  <r>
    <x v="317"/>
    <s v="BK50949"/>
    <d v="2025-10-22T00:00:00"/>
    <d v="2025-10-26T00:00:00"/>
    <d v="2025-11-07T00:00:00"/>
    <s v="Bosch"/>
    <s v="Manufacturing"/>
    <s v="Germany"/>
    <s v="Shanghai"/>
    <s v="Rotterdam"/>
    <x v="1"/>
    <s v="Mumbai Maersk"/>
    <s v="High Cube"/>
    <n v="2"/>
    <s v="Electronics"/>
    <n v="33589.019999999997"/>
    <n v="6692.26"/>
    <n v="2552.4699999999998"/>
    <n v="553.53"/>
    <n v="335.89"/>
    <n v="162.11000000000001"/>
    <n v="704.13"/>
    <n v="22588.63"/>
    <n v="4"/>
    <s v="Labor Strike"/>
    <n v="55.77"/>
    <s v="Delayed"/>
    <s v="Paid"/>
    <s v="Critical"/>
    <s v="J. Smith"/>
    <s v="Middle East"/>
    <d v="2025-10-01T00:00:00"/>
    <x v="12"/>
  </r>
  <r>
    <x v="318"/>
    <s v="BK50382"/>
    <d v="2025-09-01T00:00:00"/>
    <d v="2025-09-02T00:00:00"/>
    <d v="2025-09-12T00:00:00"/>
    <s v="LG"/>
    <s v="Electronics"/>
    <s v="South Korea"/>
    <s v="Shanghai"/>
    <s v="Rotterdam"/>
    <x v="1"/>
    <s v="Ever Ace"/>
    <s v="High Cube"/>
    <n v="2"/>
    <s v="Machinery"/>
    <n v="33612.79"/>
    <n v="9224.66"/>
    <n v="1979.87"/>
    <n v="639.41"/>
    <n v="336.13"/>
    <n v="266.89999999999998"/>
    <n v="1747.66"/>
    <n v="19418.16"/>
    <n v="4"/>
    <s v="Mechanical"/>
    <n v="76.87"/>
    <s v="Delayed"/>
    <s v="Pending"/>
    <s v="Critical"/>
    <s v="A. Tan"/>
    <s v="Middle East"/>
    <d v="2025-09-01T00:00:00"/>
    <x v="15"/>
  </r>
  <r>
    <x v="319"/>
    <s v="BK50937"/>
    <d v="2025-01-04T00:00:00"/>
    <d v="2025-01-06T00:00:00"/>
    <d v="2025-01-25T00:00:00"/>
    <s v="Adidas"/>
    <s v="Retail"/>
    <s v="Germany"/>
    <s v="Colombo"/>
    <s v="Singapore"/>
    <x v="4"/>
    <s v="OOCL Hong Kong"/>
    <s v="40FT"/>
    <n v="2"/>
    <s v="Furniture"/>
    <n v="33615.26"/>
    <n v="7937.08"/>
    <n v="2063.5700000000002"/>
    <n v="343.93"/>
    <n v="336.15"/>
    <n v="352.28"/>
    <n v="1720.22"/>
    <n v="20862.03"/>
    <n v="48"/>
    <s v="Weather"/>
    <n v="66.14"/>
    <s v="Delayed"/>
    <s v="Paid"/>
    <s v="High"/>
    <s v="L. Chen"/>
    <s v="Middle East"/>
    <d v="2025-01-01T00:00:00"/>
    <x v="11"/>
  </r>
  <r>
    <x v="320"/>
    <s v="BK50604"/>
    <d v="2025-07-07T00:00:00"/>
    <d v="2025-07-10T00:00:00"/>
    <d v="2025-08-05T00:00:00"/>
    <s v="Pfizer"/>
    <s v="Pharma"/>
    <s v="USA"/>
    <s v="Shanghai"/>
    <s v="Rotterdam"/>
    <x v="1"/>
    <s v="MSC Gülsün"/>
    <s v="20FT"/>
    <n v="1"/>
    <s v="Food"/>
    <n v="33637.300000000003"/>
    <n v="6172.58"/>
    <n v="2132.54"/>
    <n v="817.12"/>
    <n v="336.37"/>
    <n v="252.66"/>
    <n v="326.10000000000002"/>
    <n v="23599.93"/>
    <n v="4"/>
    <s v="Labor Strike"/>
    <n v="51.44"/>
    <s v="Delayed"/>
    <s v="Pending"/>
    <s v="Critical"/>
    <s v="A. Tan"/>
    <s v="North America"/>
    <d v="2025-07-01T00:00:00"/>
    <x v="3"/>
  </r>
  <r>
    <x v="321"/>
    <s v="BK50211"/>
    <d v="2025-06-22T00:00:00"/>
    <d v="2025-06-24T00:00:00"/>
    <d v="2025-07-22T00:00:00"/>
    <s v="Nestlé"/>
    <s v="Food"/>
    <s v="Switzerland"/>
    <s v="Singapore"/>
    <s v="Rotterdam"/>
    <x v="1"/>
    <s v="Mumbai Maersk"/>
    <s v="Reefer"/>
    <n v="1"/>
    <s v="Furniture"/>
    <n v="33740.83"/>
    <n v="9264.23"/>
    <n v="1831.81"/>
    <n v="1010.73"/>
    <n v="337.41"/>
    <n v="157.6"/>
    <n v="1249.5"/>
    <n v="19889.55"/>
    <n v="12"/>
    <s v="Customs"/>
    <n v="77.2"/>
    <s v="Delayed"/>
    <s v="Pending"/>
    <s v="Standard"/>
    <s v="M. Ahmed"/>
    <s v="Europe"/>
    <d v="2025-06-01T00:00:00"/>
    <x v="17"/>
  </r>
  <r>
    <x v="322"/>
    <s v="BK50742"/>
    <d v="2025-07-20T00:00:00"/>
    <d v="2025-07-22T00:00:00"/>
    <d v="2025-08-11T00:00:00"/>
    <s v="Pfizer"/>
    <s v="Pharma"/>
    <s v="USA"/>
    <s v="Jebel Ali"/>
    <s v="Shanghai"/>
    <x v="2"/>
    <s v="Mumbai Maersk"/>
    <s v="20FT"/>
    <n v="2"/>
    <s v="Textiles"/>
    <n v="33868.589999999997"/>
    <n v="6170.8"/>
    <n v="2677.35"/>
    <n v="399.15"/>
    <n v="338.69"/>
    <n v="674.66"/>
    <n v="1771.34"/>
    <n v="21836.6"/>
    <n v="36"/>
    <s v="Weather"/>
    <n v="51.42"/>
    <s v="Delayed"/>
    <s v="Paid"/>
    <s v="Standard"/>
    <s v="A. Tan"/>
    <s v="Asia"/>
    <d v="2025-07-01T00:00:00"/>
    <x v="16"/>
  </r>
  <r>
    <x v="323"/>
    <s v="BK50849"/>
    <d v="2025-09-17T00:00:00"/>
    <d v="2025-09-18T00:00:00"/>
    <d v="2025-10-08T00:00:00"/>
    <s v="Toyota"/>
    <s v="Automotive"/>
    <s v="Japan"/>
    <s v="Singapore"/>
    <s v="Los Angeles"/>
    <x v="2"/>
    <s v="Mary Maersk"/>
    <s v="40FT"/>
    <n v="2"/>
    <s v="Chemicals"/>
    <n v="33875.339999999997"/>
    <n v="8574.74"/>
    <n v="1370.58"/>
    <n v="682.01"/>
    <n v="338.75"/>
    <n v="293.29000000000002"/>
    <n v="2261.84"/>
    <n v="20354.13"/>
    <n v="0"/>
    <s v="None"/>
    <n v="71.459999999999994"/>
    <s v="Completed"/>
    <s v="Paid"/>
    <s v="High"/>
    <s v="M. Ahmed"/>
    <s v="Asia"/>
    <d v="2025-09-01T00:00:00"/>
    <x v="16"/>
  </r>
  <r>
    <x v="324"/>
    <s v="BK50628"/>
    <d v="2025-10-01T00:00:00"/>
    <d v="2025-10-02T00:00:00"/>
    <d v="2025-10-20T00:00:00"/>
    <s v="Amazon"/>
    <s v="E-commerce"/>
    <s v="USA"/>
    <s v="Shanghai"/>
    <s v="Rotterdam"/>
    <x v="2"/>
    <s v="MSC Gülsün"/>
    <s v="20FT"/>
    <n v="1"/>
    <s v="Chemicals"/>
    <n v="33892.379999999997"/>
    <n v="6233.15"/>
    <n v="1643.35"/>
    <n v="599.04999999999995"/>
    <n v="338.92"/>
    <n v="646.17999999999995"/>
    <n v="1756.19"/>
    <n v="22675.54"/>
    <n v="0"/>
    <s v="None"/>
    <n v="51.94"/>
    <s v="Completed"/>
    <s v="Pending"/>
    <s v="Critical"/>
    <s v="R. Mehta"/>
    <s v="Asia"/>
    <d v="2025-10-01T00:00:00"/>
    <x v="14"/>
  </r>
  <r>
    <x v="325"/>
    <s v="BK50985"/>
    <d v="2025-06-14T00:00:00"/>
    <d v="2025-06-15T00:00:00"/>
    <d v="2025-07-13T00:00:00"/>
    <s v="Samsung"/>
    <s v="Electronics"/>
    <s v="South Korea"/>
    <s v="Shanghai"/>
    <s v="Rotterdam"/>
    <x v="1"/>
    <s v="Monaco Maersk"/>
    <s v="High Cube"/>
    <n v="2"/>
    <s v="Furniture"/>
    <n v="34028.11"/>
    <n v="6237.95"/>
    <n v="1883.63"/>
    <n v="696.98"/>
    <n v="340.28"/>
    <n v="119.46"/>
    <n v="1367.44"/>
    <n v="23382.37"/>
    <n v="0"/>
    <s v="None"/>
    <n v="51.98"/>
    <s v="Completed"/>
    <s v="Paid"/>
    <s v="High"/>
    <s v="L. Chen"/>
    <s v="North America"/>
    <d v="2025-06-01T00:00:00"/>
    <x v="17"/>
  </r>
  <r>
    <x v="326"/>
    <s v="BK50683"/>
    <d v="2025-09-21T00:00:00"/>
    <d v="2025-09-23T00:00:00"/>
    <d v="2025-10-06T00:00:00"/>
    <s v="Nestlé"/>
    <s v="Food"/>
    <s v="Switzerland"/>
    <s v="Singapore"/>
    <s v="Rotterdam"/>
    <x v="1"/>
    <s v="Monaco Maersk"/>
    <s v="Reefer"/>
    <n v="1"/>
    <s v="Machinery"/>
    <n v="34053.050000000003"/>
    <n v="6666.03"/>
    <n v="1785.82"/>
    <n v="403.59"/>
    <n v="340.53"/>
    <n v="604.26"/>
    <n v="1331.16"/>
    <n v="22921.66"/>
    <n v="36"/>
    <s v="Mechanical"/>
    <n v="55.55"/>
    <s v="Delayed"/>
    <s v="Paid"/>
    <s v="Critical"/>
    <s v="M. Ahmed"/>
    <s v="Middle East"/>
    <d v="2025-09-01T00:00:00"/>
    <x v="13"/>
  </r>
  <r>
    <x v="327"/>
    <s v="BK50501"/>
    <d v="2025-01-26T00:00:00"/>
    <d v="2025-01-30T00:00:00"/>
    <d v="2025-02-24T00:00:00"/>
    <s v="Pfizer"/>
    <s v="Pharma"/>
    <s v="USA"/>
    <s v="Colombo"/>
    <s v="Jebel Ali"/>
    <x v="2"/>
    <s v="MSC Gülsün"/>
    <s v="Reefer"/>
    <n v="1"/>
    <s v="Electronics"/>
    <n v="34061.33"/>
    <n v="9154.14"/>
    <n v="1383.29"/>
    <n v="723.85"/>
    <n v="340.61"/>
    <n v="276.45999999999998"/>
    <n v="368.02"/>
    <n v="21814.959999999999"/>
    <n v="0"/>
    <s v="None"/>
    <n v="76.28"/>
    <s v="Completed"/>
    <s v="Paid"/>
    <s v="High"/>
    <s v="A. Tan"/>
    <s v="Europe"/>
    <d v="2025-01-01T00:00:00"/>
    <x v="10"/>
  </r>
  <r>
    <x v="328"/>
    <s v="BK50621"/>
    <d v="2025-05-17T00:00:00"/>
    <d v="2025-05-18T00:00:00"/>
    <d v="2025-05-31T00:00:00"/>
    <s v="Toyota"/>
    <s v="Automotive"/>
    <s v="Japan"/>
    <s v="Shanghai"/>
    <s v="Rotterdam"/>
    <x v="1"/>
    <s v="Monaco Maersk"/>
    <s v="40FT"/>
    <n v="2"/>
    <s v="Electronics"/>
    <n v="34181.25"/>
    <n v="6858.24"/>
    <n v="2708.29"/>
    <n v="718.12"/>
    <n v="341.81"/>
    <n v="559.75"/>
    <n v="1984.48"/>
    <n v="21010.560000000001"/>
    <n v="12"/>
    <s v="Mechanical"/>
    <n v="57.15"/>
    <s v="Delayed"/>
    <s v="Paid"/>
    <s v="High"/>
    <s v="J. Smith"/>
    <s v="Asia"/>
    <d v="2025-05-01T00:00:00"/>
    <x v="13"/>
  </r>
  <r>
    <x v="329"/>
    <s v="BK50858"/>
    <d v="2025-11-27T00:00:00"/>
    <d v="2025-11-28T00:00:00"/>
    <d v="2025-12-15T00:00:00"/>
    <s v="Amazon"/>
    <s v="E-commerce"/>
    <s v="USA"/>
    <s v="Busan"/>
    <s v="Los Angeles"/>
    <x v="3"/>
    <s v="CMA CGM Jacques Saadé"/>
    <s v="40FT"/>
    <n v="2"/>
    <s v="Machinery"/>
    <n v="34313.65"/>
    <n v="10006.67"/>
    <n v="1619.8"/>
    <n v="924.68"/>
    <n v="343.14"/>
    <n v="739.65"/>
    <n v="2466.0500000000002"/>
    <n v="18213.66"/>
    <n v="8"/>
    <s v="Customs"/>
    <n v="83.39"/>
    <s v="Delayed"/>
    <s v="Paid"/>
    <s v="Critical"/>
    <s v="A. Tan"/>
    <s v="Europe"/>
    <d v="2025-11-01T00:00:00"/>
    <x v="18"/>
  </r>
  <r>
    <x v="330"/>
    <s v="BK50005"/>
    <d v="2025-09-06T00:00:00"/>
    <d v="2025-09-10T00:00:00"/>
    <d v="2025-10-05T00:00:00"/>
    <s v="Unilever"/>
    <s v="FMCG"/>
    <s v="UK"/>
    <s v="Singapore"/>
    <s v="Jebel Ali"/>
    <x v="2"/>
    <s v="OOCL Hong Kong"/>
    <s v="40FT"/>
    <n v="2"/>
    <s v="Food"/>
    <n v="34375.42"/>
    <n v="8263.4599999999991"/>
    <n v="2575.59"/>
    <n v="720.45"/>
    <n v="343.75"/>
    <n v="383.84"/>
    <n v="1310.33"/>
    <n v="20778"/>
    <n v="0"/>
    <s v="None"/>
    <n v="68.86"/>
    <s v="Completed"/>
    <s v="Pending"/>
    <s v="Critical"/>
    <s v="J. Smith"/>
    <s v="North America"/>
    <d v="2025-09-01T00:00:00"/>
    <x v="10"/>
  </r>
  <r>
    <x v="331"/>
    <s v="BK50372"/>
    <d v="2025-04-06T00:00:00"/>
    <d v="2025-04-10T00:00:00"/>
    <d v="2025-04-30T00:00:00"/>
    <s v="Adidas"/>
    <s v="Retail"/>
    <s v="Germany"/>
    <s v="Shanghai"/>
    <s v="Rotterdam"/>
    <x v="1"/>
    <s v="Mumbai Maersk"/>
    <s v="Reefer"/>
    <n v="2"/>
    <s v="Electronics"/>
    <n v="34471.040000000001"/>
    <n v="9137.3700000000008"/>
    <n v="1996.01"/>
    <n v="996.74"/>
    <n v="344.71"/>
    <n v="215.53"/>
    <n v="1067.78"/>
    <n v="20712.900000000001"/>
    <n v="0"/>
    <s v="None"/>
    <n v="76.14"/>
    <s v="Completed"/>
    <s v="Pending"/>
    <s v="Standard"/>
    <s v="A. Tan"/>
    <s v="North America"/>
    <d v="2025-04-01T00:00:00"/>
    <x v="16"/>
  </r>
  <r>
    <x v="332"/>
    <s v="BK50634"/>
    <d v="2025-07-26T00:00:00"/>
    <d v="2025-07-28T00:00:00"/>
    <d v="2025-08-14T00:00:00"/>
    <s v="Nestlé"/>
    <s v="Food"/>
    <s v="Switzerland"/>
    <s v="Shanghai"/>
    <s v="Shanghai"/>
    <x v="2"/>
    <s v="Ever Ace"/>
    <s v="High Cube"/>
    <n v="2"/>
    <s v="Electronics"/>
    <n v="34553.5"/>
    <n v="8542.73"/>
    <n v="1764.98"/>
    <n v="889.98"/>
    <n v="345.54"/>
    <n v="108.69"/>
    <n v="927.67"/>
    <n v="21973.91"/>
    <n v="0"/>
    <s v="None"/>
    <n v="71.19"/>
    <s v="Completed"/>
    <s v="Pending"/>
    <s v="High"/>
    <s v="A. Tan"/>
    <s v="Europe"/>
    <d v="2025-07-01T00:00:00"/>
    <x v="18"/>
  </r>
  <r>
    <x v="333"/>
    <s v="BK50962"/>
    <d v="2025-07-22T00:00:00"/>
    <d v="2025-07-23T00:00:00"/>
    <d v="2025-08-05T00:00:00"/>
    <s v="Siemens"/>
    <s v="Engineering"/>
    <s v="Germany"/>
    <s v="Singapore"/>
    <s v="Rotterdam"/>
    <x v="1"/>
    <s v="Ever Ace"/>
    <s v="20FT"/>
    <n v="2"/>
    <s v="Electronics"/>
    <n v="34559.96"/>
    <n v="7865.44"/>
    <n v="2510.21"/>
    <n v="844.57"/>
    <n v="345.6"/>
    <n v="654.79999999999995"/>
    <n v="2445.52"/>
    <n v="19893.82"/>
    <n v="4"/>
    <s v="Weather"/>
    <n v="65.55"/>
    <s v="Delayed"/>
    <s v="Pending"/>
    <s v="High"/>
    <s v="A. Tan"/>
    <s v="North America"/>
    <d v="2025-07-01T00:00:00"/>
    <x v="13"/>
  </r>
  <r>
    <x v="334"/>
    <s v="BK50120"/>
    <d v="2025-12-16T00:00:00"/>
    <d v="2025-12-18T00:00:00"/>
    <d v="2025-12-30T00:00:00"/>
    <s v="Nestlé"/>
    <s v="Food"/>
    <s v="Switzerland"/>
    <s v="Busan"/>
    <s v="Los Angeles"/>
    <x v="3"/>
    <s v="Madrid Maersk"/>
    <s v="Reefer"/>
    <n v="1"/>
    <s v="Electronics"/>
    <n v="34567.57"/>
    <n v="6203.25"/>
    <n v="2687.94"/>
    <n v="559.14"/>
    <n v="345.68"/>
    <n v="521.57000000000005"/>
    <n v="1870.1"/>
    <n v="22379.89"/>
    <n v="48"/>
    <s v="Port Congestion"/>
    <n v="51.69"/>
    <s v="Delayed"/>
    <s v="Paid"/>
    <s v="Standard"/>
    <s v="L. Chen"/>
    <s v="North America"/>
    <d v="2025-12-01T00:00:00"/>
    <x v="12"/>
  </r>
  <r>
    <x v="335"/>
    <s v="BK50950"/>
    <d v="2025-02-24T00:00:00"/>
    <d v="2025-02-28T00:00:00"/>
    <d v="2025-03-25T00:00:00"/>
    <s v="Reliance"/>
    <s v="Retail"/>
    <s v="India"/>
    <s v="Singapore"/>
    <s v="Rotterdam"/>
    <x v="1"/>
    <s v="Ever Ace"/>
    <s v="High Cube"/>
    <n v="1"/>
    <s v="Chemicals"/>
    <n v="34646.15"/>
    <n v="9904.5"/>
    <n v="1861.42"/>
    <n v="514.14"/>
    <n v="346.46"/>
    <n v="417.42"/>
    <n v="2440.17"/>
    <n v="19162.04"/>
    <n v="36"/>
    <s v="Labor Strike"/>
    <n v="82.54"/>
    <s v="Delayed"/>
    <s v="Paid"/>
    <s v="High"/>
    <s v="A. Tan"/>
    <s v="North America"/>
    <d v="2025-02-01T00:00:00"/>
    <x v="10"/>
  </r>
  <r>
    <x v="336"/>
    <s v="BK50856"/>
    <d v="2025-11-05T00:00:00"/>
    <d v="2025-11-07T00:00:00"/>
    <d v="2025-11-26T00:00:00"/>
    <s v="LG"/>
    <s v="Electronics"/>
    <s v="South Korea"/>
    <s v="Colombo"/>
    <s v="Singapore"/>
    <x v="4"/>
    <s v="MSC Gülsün"/>
    <s v="Reefer"/>
    <n v="2"/>
    <s v="Chemicals"/>
    <n v="34870.11"/>
    <n v="5836.29"/>
    <n v="1812.72"/>
    <n v="564.5"/>
    <n v="348.7"/>
    <n v="819.18"/>
    <n v="2028.91"/>
    <n v="23459.81"/>
    <n v="0"/>
    <s v="None"/>
    <n v="48.64"/>
    <s v="Completed"/>
    <s v="Paid"/>
    <s v="High"/>
    <s v="A. Tan"/>
    <s v="Asia"/>
    <d v="2025-11-01T00:00:00"/>
    <x v="11"/>
  </r>
  <r>
    <x v="337"/>
    <s v="BK50994"/>
    <d v="2025-04-14T00:00:00"/>
    <d v="2025-04-16T00:00:00"/>
    <d v="2025-05-02T00:00:00"/>
    <s v="Samsung"/>
    <s v="Electronics"/>
    <s v="South Korea"/>
    <s v="New York"/>
    <s v="Jebel Ali"/>
    <x v="2"/>
    <s v="Ever Ace"/>
    <s v="20FT"/>
    <n v="1"/>
    <s v="Chemicals"/>
    <n v="34895.68"/>
    <n v="6373.62"/>
    <n v="2495.14"/>
    <n v="696.51"/>
    <n v="348.96"/>
    <n v="850.33"/>
    <n v="539.79999999999995"/>
    <n v="23591.32"/>
    <n v="0"/>
    <s v="None"/>
    <n v="53.11"/>
    <s v="Completed"/>
    <s v="Paid"/>
    <s v="Critical"/>
    <s v="L. Chen"/>
    <s v="Asia"/>
    <d v="2025-04-01T00:00:00"/>
    <x v="0"/>
  </r>
  <r>
    <x v="338"/>
    <s v="BK50437"/>
    <d v="2025-08-03T00:00:00"/>
    <d v="2025-08-06T00:00:00"/>
    <d v="2025-08-30T00:00:00"/>
    <s v="Toyota"/>
    <s v="Automotive"/>
    <s v="Japan"/>
    <s v="Jebel Ali"/>
    <s v="Nhava Sheva"/>
    <x v="0"/>
    <s v="Mary Maersk"/>
    <s v="40FT"/>
    <n v="2"/>
    <s v="Furniture"/>
    <n v="34965.339999999997"/>
    <n v="6336.44"/>
    <n v="2663.92"/>
    <n v="1026.1500000000001"/>
    <n v="349.65"/>
    <n v="481.47"/>
    <n v="2226.09"/>
    <n v="21881.62"/>
    <n v="0"/>
    <s v="None"/>
    <n v="52.8"/>
    <s v="Completed"/>
    <s v="Paid"/>
    <s v="High"/>
    <s v="M. Ahmed"/>
    <s v="North America"/>
    <d v="2025-08-01T00:00:00"/>
    <x v="8"/>
  </r>
  <r>
    <x v="339"/>
    <s v="BK50904"/>
    <d v="2025-04-05T00:00:00"/>
    <d v="2025-04-06T00:00:00"/>
    <d v="2025-04-22T00:00:00"/>
    <s v="Adidas"/>
    <s v="Retail"/>
    <s v="Germany"/>
    <s v="Rotterdam"/>
    <s v="Colombo"/>
    <x v="2"/>
    <s v="Ever Ace"/>
    <s v="20FT"/>
    <n v="1"/>
    <s v="Chemicals"/>
    <n v="35074.949999999997"/>
    <n v="6471.78"/>
    <n v="2384.25"/>
    <n v="487.16"/>
    <n v="350.75"/>
    <n v="357.57"/>
    <n v="2340.84"/>
    <n v="22682.6"/>
    <n v="0"/>
    <s v="None"/>
    <n v="53.93"/>
    <s v="Completed"/>
    <s v="Paid"/>
    <s v="Standard"/>
    <s v="A. Tan"/>
    <s v="Middle East"/>
    <d v="2025-04-01T00:00:00"/>
    <x v="0"/>
  </r>
  <r>
    <x v="340"/>
    <s v="BK50420"/>
    <d v="2025-02-06T00:00:00"/>
    <d v="2025-02-07T00:00:00"/>
    <d v="2025-03-05T00:00:00"/>
    <s v="Toyota"/>
    <s v="Automotive"/>
    <s v="Japan"/>
    <s v="Colombo"/>
    <s v="Singapore"/>
    <x v="4"/>
    <s v="Monaco Maersk"/>
    <s v="Reefer"/>
    <n v="2"/>
    <s v="Furniture"/>
    <n v="35098.92"/>
    <n v="7336.11"/>
    <n v="1511.78"/>
    <n v="407.57"/>
    <n v="350.99"/>
    <n v="304.08"/>
    <n v="1884.68"/>
    <n v="23303.71"/>
    <n v="36"/>
    <s v="Customs"/>
    <n v="61.13"/>
    <s v="Delayed"/>
    <s v="Paid"/>
    <s v="Standard"/>
    <s v="A. Tan"/>
    <s v="North America"/>
    <d v="2025-02-01T00:00:00"/>
    <x v="3"/>
  </r>
  <r>
    <x v="341"/>
    <s v="BK50799"/>
    <d v="2025-10-06T00:00:00"/>
    <d v="2025-10-07T00:00:00"/>
    <d v="2025-10-23T00:00:00"/>
    <s v="IKEA"/>
    <s v="Retail"/>
    <s v="Sweden"/>
    <s v="Jebel Ali"/>
    <s v="Nhava Sheva"/>
    <x v="0"/>
    <s v="Mary Maersk"/>
    <s v="20FT"/>
    <n v="2"/>
    <s v="Electronics"/>
    <n v="35169.730000000003"/>
    <n v="6121.6"/>
    <n v="2193.96"/>
    <n v="646.63"/>
    <n v="351.7"/>
    <n v="386.34"/>
    <n v="1685.07"/>
    <n v="23784.43"/>
    <n v="0"/>
    <s v="None"/>
    <n v="51.01"/>
    <s v="Completed"/>
    <s v="Pending"/>
    <s v="Critical"/>
    <s v="A. Tan"/>
    <s v="Europe"/>
    <d v="2025-10-01T00:00:00"/>
    <x v="0"/>
  </r>
  <r>
    <x v="342"/>
    <s v="BK50530"/>
    <d v="2025-09-13T00:00:00"/>
    <d v="2025-09-15T00:00:00"/>
    <d v="2025-10-04T00:00:00"/>
    <s v="Toyota"/>
    <s v="Automotive"/>
    <s v="Japan"/>
    <s v="Busan"/>
    <s v="Los Angeles"/>
    <x v="3"/>
    <s v="OOCL Hong Kong"/>
    <s v="40FT"/>
    <n v="4"/>
    <s v="Auto Parts"/>
    <n v="35185.839999999997"/>
    <n v="9593.7800000000007"/>
    <n v="2339.08"/>
    <n v="442.8"/>
    <n v="351.86"/>
    <n v="390.4"/>
    <n v="1779.37"/>
    <n v="20288.55"/>
    <n v="48"/>
    <s v="Labor Strike"/>
    <n v="79.95"/>
    <s v="Delayed"/>
    <s v="Pending"/>
    <s v="Standard"/>
    <s v="J. Smith"/>
    <s v="Asia"/>
    <d v="2025-09-01T00:00:00"/>
    <x v="11"/>
  </r>
  <r>
    <x v="343"/>
    <s v="BK50395"/>
    <d v="2025-01-05T00:00:00"/>
    <d v="2025-01-07T00:00:00"/>
    <d v="2025-01-24T00:00:00"/>
    <s v="Amazon"/>
    <s v="E-commerce"/>
    <s v="USA"/>
    <s v="Shanghai"/>
    <s v="Rotterdam"/>
    <x v="1"/>
    <s v="Monaco Maersk"/>
    <s v="Reefer"/>
    <n v="1"/>
    <s v="Machinery"/>
    <n v="35216.54"/>
    <n v="7277.2"/>
    <n v="1803.75"/>
    <n v="359.28"/>
    <n v="352.17"/>
    <n v="319.81"/>
    <n v="1188.6099999999999"/>
    <n v="23915.72"/>
    <n v="8"/>
    <s v="Weather"/>
    <n v="60.64"/>
    <s v="Delayed"/>
    <s v="Paid"/>
    <s v="Critical"/>
    <s v="J. Smith"/>
    <s v="Asia"/>
    <d v="2025-01-01T00:00:00"/>
    <x v="18"/>
  </r>
  <r>
    <x v="344"/>
    <s v="BK50300"/>
    <d v="2025-05-18T00:00:00"/>
    <d v="2025-05-21T00:00:00"/>
    <d v="2025-06-17T00:00:00"/>
    <s v="Nestlé"/>
    <s v="Food"/>
    <s v="Switzerland"/>
    <s v="Shanghai"/>
    <s v="Colombo"/>
    <x v="2"/>
    <s v="Ever Ace"/>
    <s v="Reefer"/>
    <n v="2"/>
    <s v="Electronics"/>
    <n v="35511.47"/>
    <n v="7933.7"/>
    <n v="2799.92"/>
    <n v="922.93"/>
    <n v="355.11"/>
    <n v="343.58"/>
    <n v="1370.44"/>
    <n v="21785.79"/>
    <n v="48"/>
    <s v="Port Congestion"/>
    <n v="66.11"/>
    <s v="Delayed"/>
    <s v="Paid"/>
    <s v="Standard"/>
    <s v="M. Ahmed"/>
    <s v="Europe"/>
    <d v="2025-05-01T00:00:00"/>
    <x v="2"/>
  </r>
  <r>
    <x v="345"/>
    <s v="BK50794"/>
    <d v="2025-04-13T00:00:00"/>
    <d v="2025-04-16T00:00:00"/>
    <d v="2025-04-26T00:00:00"/>
    <s v="Siemens"/>
    <s v="Engineering"/>
    <s v="Germany"/>
    <s v="Jebel Ali"/>
    <s v="Nhava Sheva"/>
    <x v="0"/>
    <s v="CMA CGM Jacques Saadé"/>
    <s v="Reefer"/>
    <n v="1"/>
    <s v="Textiles"/>
    <n v="35747.870000000003"/>
    <n v="10456.56"/>
    <n v="1857.68"/>
    <n v="1034.53"/>
    <n v="357.48"/>
    <n v="577.96"/>
    <n v="1791.44"/>
    <n v="19672.22"/>
    <n v="0"/>
    <s v="None"/>
    <n v="87.14"/>
    <s v="Completed"/>
    <s v="Pending"/>
    <s v="Critical"/>
    <s v="A. Tan"/>
    <s v="Europe"/>
    <d v="2025-04-01T00:00:00"/>
    <x v="15"/>
  </r>
  <r>
    <x v="346"/>
    <s v="BK50145"/>
    <d v="2025-01-13T00:00:00"/>
    <d v="2025-01-16T00:00:00"/>
    <d v="2025-02-08T00:00:00"/>
    <s v="Reliance"/>
    <s v="Retail"/>
    <s v="India"/>
    <s v="Singapore"/>
    <s v="Rotterdam"/>
    <x v="1"/>
    <s v="Madrid Maersk"/>
    <s v="Reefer"/>
    <n v="2"/>
    <s v="Machinery"/>
    <n v="35776.53"/>
    <n v="9170.17"/>
    <n v="1830.36"/>
    <n v="1031.5999999999999"/>
    <n v="357.77"/>
    <n v="355.05"/>
    <n v="1030.3399999999999"/>
    <n v="22001.24"/>
    <n v="24"/>
    <s v="Labor Strike"/>
    <n v="76.42"/>
    <s v="Delayed"/>
    <s v="Paid"/>
    <s v="Standard"/>
    <s v="L. Chen"/>
    <s v="North America"/>
    <d v="2025-01-01T00:00:00"/>
    <x v="7"/>
  </r>
  <r>
    <x v="347"/>
    <s v="BK50643"/>
    <d v="2025-02-10T00:00:00"/>
    <d v="2025-02-13T00:00:00"/>
    <d v="2025-03-04T00:00:00"/>
    <s v="Amazon"/>
    <s v="E-commerce"/>
    <s v="USA"/>
    <s v="Busan"/>
    <s v="Los Angeles"/>
    <x v="3"/>
    <s v="Mumbai Maersk"/>
    <s v="High Cube"/>
    <n v="2"/>
    <s v="Food"/>
    <n v="35797.86"/>
    <n v="6028.73"/>
    <n v="1718.34"/>
    <n v="537.19000000000005"/>
    <n v="357.98"/>
    <n v="411.9"/>
    <n v="2090.73"/>
    <n v="24652.99"/>
    <n v="0"/>
    <s v="None"/>
    <n v="50.24"/>
    <s v="Completed"/>
    <s v="Paid"/>
    <s v="Standard"/>
    <s v="M. Ahmed"/>
    <s v="Middle East"/>
    <d v="2025-02-01T00:00:00"/>
    <x v="11"/>
  </r>
  <r>
    <x v="348"/>
    <s v="BK50228"/>
    <d v="2025-09-05T00:00:00"/>
    <d v="2025-09-07T00:00:00"/>
    <d v="2025-09-18T00:00:00"/>
    <s v="IKEA"/>
    <s v="Retail"/>
    <s v="Sweden"/>
    <s v="Jebel Ali"/>
    <s v="Nhava Sheva"/>
    <x v="0"/>
    <s v="Mumbai Maersk"/>
    <s v="High Cube"/>
    <n v="4"/>
    <s v="Chemicals"/>
    <n v="35891.4"/>
    <n v="8774.86"/>
    <n v="2621.36"/>
    <n v="558.63"/>
    <n v="358.91"/>
    <n v="749.14"/>
    <n v="2172.5500000000002"/>
    <n v="20655.95"/>
    <n v="36"/>
    <s v="Customs"/>
    <n v="73.12"/>
    <s v="Delayed"/>
    <s v="Pending"/>
    <s v="Standard"/>
    <s v="J. Smith"/>
    <s v="Europe"/>
    <d v="2025-09-01T00:00:00"/>
    <x v="5"/>
  </r>
  <r>
    <x v="349"/>
    <s v="BK50409"/>
    <d v="2025-05-01T00:00:00"/>
    <d v="2025-05-04T00:00:00"/>
    <d v="2025-05-19T00:00:00"/>
    <s v="Toyota"/>
    <s v="Automotive"/>
    <s v="Japan"/>
    <s v="Singapore"/>
    <s v="Rotterdam"/>
    <x v="1"/>
    <s v="OOCL Hong Kong"/>
    <s v="20FT"/>
    <n v="4"/>
    <s v="Machinery"/>
    <n v="35902.82"/>
    <n v="7076.97"/>
    <n v="2034.65"/>
    <n v="765.67"/>
    <n v="359.03"/>
    <n v="884.72"/>
    <n v="1991.32"/>
    <n v="22790.46"/>
    <n v="8"/>
    <s v="Port Congestion"/>
    <n v="58.97"/>
    <s v="Delayed"/>
    <s v="Pending"/>
    <s v="Standard"/>
    <s v="A. Tan"/>
    <s v="Middle East"/>
    <d v="2025-05-01T00:00:00"/>
    <x v="6"/>
  </r>
  <r>
    <x v="350"/>
    <s v="BK50506"/>
    <d v="2025-08-07T00:00:00"/>
    <d v="2025-08-11T00:00:00"/>
    <d v="2025-08-25T00:00:00"/>
    <s v="Toyota"/>
    <s v="Automotive"/>
    <s v="Japan"/>
    <s v="Shanghai"/>
    <s v="Singapore"/>
    <x v="2"/>
    <s v="Ever Ace"/>
    <s v="20FT"/>
    <n v="2"/>
    <s v="Food"/>
    <n v="35961.760000000002"/>
    <n v="6530.28"/>
    <n v="1842.34"/>
    <n v="479.42"/>
    <n v="359.62"/>
    <n v="489.46"/>
    <n v="2446.52"/>
    <n v="23814.12"/>
    <n v="0"/>
    <s v="None"/>
    <n v="54.42"/>
    <s v="Completed"/>
    <s v="Paid"/>
    <s v="Critical"/>
    <s v="M. Ahmed"/>
    <s v="North America"/>
    <d v="2025-08-01T00:00:00"/>
    <x v="1"/>
  </r>
  <r>
    <x v="351"/>
    <s v="BK50542"/>
    <d v="2025-06-30T00:00:00"/>
    <d v="2025-07-03T00:00:00"/>
    <d v="2025-07-19T00:00:00"/>
    <s v="Amazon"/>
    <s v="E-commerce"/>
    <s v="USA"/>
    <s v="Jebel Ali"/>
    <s v="Rotterdam"/>
    <x v="2"/>
    <s v="MSC Gülsün"/>
    <s v="20FT"/>
    <n v="1"/>
    <s v="Auto Parts"/>
    <n v="36037.47"/>
    <n v="9467.73"/>
    <n v="1532.76"/>
    <n v="611.19000000000005"/>
    <n v="360.37"/>
    <n v="600.51"/>
    <n v="2304.9499999999998"/>
    <n v="21159.96"/>
    <n v="12"/>
    <s v="Labor Strike"/>
    <n v="78.900000000000006"/>
    <s v="Delayed"/>
    <s v="Paid"/>
    <s v="High"/>
    <s v="J. Smith"/>
    <s v="Asia"/>
    <d v="2025-06-01T00:00:00"/>
    <x v="0"/>
  </r>
  <r>
    <x v="352"/>
    <s v="BK50944"/>
    <d v="2025-02-27T00:00:00"/>
    <d v="2025-02-28T00:00:00"/>
    <d v="2025-03-10T00:00:00"/>
    <s v="Reliance"/>
    <s v="Retail"/>
    <s v="India"/>
    <s v="Jebel Ali"/>
    <s v="Nhava Sheva"/>
    <x v="0"/>
    <s v="Madrid Maersk"/>
    <s v="High Cube"/>
    <n v="1"/>
    <s v="Furniture"/>
    <n v="36070.89"/>
    <n v="9825.35"/>
    <n v="1443.21"/>
    <n v="559.4"/>
    <n v="360.71"/>
    <n v="835.07"/>
    <n v="2324.73"/>
    <n v="20722.419999999998"/>
    <n v="4"/>
    <s v="Labor Strike"/>
    <n v="81.88"/>
    <s v="Delayed"/>
    <s v="Paid"/>
    <s v="High"/>
    <s v="A. Tan"/>
    <s v="Europe"/>
    <d v="2025-02-01T00:00:00"/>
    <x v="15"/>
  </r>
  <r>
    <x v="353"/>
    <s v="BK50776"/>
    <d v="2025-07-27T00:00:00"/>
    <d v="2025-07-28T00:00:00"/>
    <d v="2025-08-19T00:00:00"/>
    <s v="Amazon"/>
    <s v="E-commerce"/>
    <s v="USA"/>
    <s v="Singapore"/>
    <s v="Rotterdam"/>
    <x v="1"/>
    <s v="OOCL Hong Kong"/>
    <s v="High Cube"/>
    <n v="1"/>
    <s v="Food"/>
    <n v="36132.99"/>
    <n v="9922.5"/>
    <n v="2500.81"/>
    <n v="978.57"/>
    <n v="361.33"/>
    <n v="794.34"/>
    <n v="567.72"/>
    <n v="21007.72"/>
    <n v="8"/>
    <s v="Mechanical"/>
    <n v="82.69"/>
    <s v="Delayed"/>
    <s v="Pending"/>
    <s v="Critical"/>
    <s v="M. Ahmed"/>
    <s v="Europe"/>
    <d v="2025-07-01T00:00:00"/>
    <x v="4"/>
  </r>
  <r>
    <x v="354"/>
    <s v="BK50864"/>
    <d v="2025-12-01T00:00:00"/>
    <d v="2025-12-03T00:00:00"/>
    <d v="2025-12-13T00:00:00"/>
    <s v="Bosch"/>
    <s v="Manufacturing"/>
    <s v="Germany"/>
    <s v="Singapore"/>
    <s v="Rotterdam"/>
    <x v="1"/>
    <s v="Madrid Maersk"/>
    <s v="40FT"/>
    <n v="2"/>
    <s v="Food"/>
    <n v="36222.75"/>
    <n v="10499.28"/>
    <n v="2572.52"/>
    <n v="808.26"/>
    <n v="362.23"/>
    <n v="125.19"/>
    <n v="1288.26"/>
    <n v="20567.009999999998"/>
    <n v="0"/>
    <s v="None"/>
    <n v="87.49"/>
    <s v="Completed"/>
    <s v="Pending"/>
    <s v="Critical"/>
    <s v="L. Chen"/>
    <s v="North America"/>
    <d v="2025-12-01T00:00:00"/>
    <x v="15"/>
  </r>
  <r>
    <x v="355"/>
    <s v="BK50429"/>
    <d v="2025-11-01T00:00:00"/>
    <d v="2025-11-05T00:00:00"/>
    <d v="2025-11-15T00:00:00"/>
    <s v="Reliance"/>
    <s v="Retail"/>
    <s v="India"/>
    <s v="Colombo"/>
    <s v="Singapore"/>
    <x v="4"/>
    <s v="Madrid Maersk"/>
    <s v="Reefer"/>
    <n v="1"/>
    <s v="Machinery"/>
    <n v="36306.400000000001"/>
    <n v="8647.16"/>
    <n v="1971.99"/>
    <n v="626.03"/>
    <n v="363.06"/>
    <n v="559.09"/>
    <n v="835.37"/>
    <n v="23303.7"/>
    <n v="4"/>
    <s v="Labor Strike"/>
    <n v="72.06"/>
    <s v="Delayed"/>
    <s v="Pending"/>
    <s v="High"/>
    <s v="R. Mehta"/>
    <s v="Asia"/>
    <d v="2025-11-01T00:00:00"/>
    <x v="15"/>
  </r>
  <r>
    <x v="356"/>
    <s v="BK50165"/>
    <d v="2025-12-13T00:00:00"/>
    <d v="2025-12-15T00:00:00"/>
    <d v="2025-12-30T00:00:00"/>
    <s v="Amazon"/>
    <s v="E-commerce"/>
    <s v="USA"/>
    <s v="Busan"/>
    <s v="Los Angeles"/>
    <x v="3"/>
    <s v="Ever Ace"/>
    <s v="20FT"/>
    <n v="2"/>
    <s v="Electronics"/>
    <n v="36484.660000000003"/>
    <n v="9526.4"/>
    <n v="2895.7"/>
    <n v="798.61"/>
    <n v="364.85"/>
    <n v="471.75"/>
    <n v="2127.0100000000002"/>
    <n v="20300.34"/>
    <n v="24"/>
    <s v="Weather"/>
    <n v="79.39"/>
    <s v="Delayed"/>
    <s v="Paid"/>
    <s v="High"/>
    <s v="R. Mehta"/>
    <s v="North America"/>
    <d v="2025-12-01T00:00:00"/>
    <x v="6"/>
  </r>
  <r>
    <x v="357"/>
    <s v="BK50203"/>
    <d v="2025-09-19T00:00:00"/>
    <d v="2025-09-21T00:00:00"/>
    <d v="2025-10-04T00:00:00"/>
    <s v="Reliance"/>
    <s v="Retail"/>
    <s v="India"/>
    <s v="Shanghai"/>
    <s v="Rotterdam"/>
    <x v="1"/>
    <s v="Mary Maersk"/>
    <s v="40FT"/>
    <n v="1"/>
    <s v="Chemicals"/>
    <n v="36532.620000000003"/>
    <n v="8769.61"/>
    <n v="1813.13"/>
    <n v="883.58"/>
    <n v="365.33"/>
    <n v="183.53"/>
    <n v="1889.17"/>
    <n v="22628.27"/>
    <n v="24"/>
    <s v="Port Congestion"/>
    <n v="73.08"/>
    <s v="Delayed"/>
    <s v="Paid"/>
    <s v="Critical"/>
    <s v="R. Mehta"/>
    <s v="Middle East"/>
    <d v="2025-09-01T00:00:00"/>
    <x v="13"/>
  </r>
  <r>
    <x v="358"/>
    <s v="BK50720"/>
    <d v="2025-06-12T00:00:00"/>
    <d v="2025-06-14T00:00:00"/>
    <d v="2025-07-05T00:00:00"/>
    <s v="Siemens"/>
    <s v="Engineering"/>
    <s v="Germany"/>
    <s v="Singapore"/>
    <s v="Rotterdam"/>
    <x v="1"/>
    <s v="Mumbai Maersk"/>
    <s v="High Cube"/>
    <n v="1"/>
    <s v="Food"/>
    <n v="36601.980000000003"/>
    <n v="9705.68"/>
    <n v="2085.3200000000002"/>
    <n v="685.59"/>
    <n v="366.02"/>
    <n v="616.37"/>
    <n v="2382.39"/>
    <n v="20760.61"/>
    <n v="36"/>
    <s v="Labor Strike"/>
    <n v="80.88"/>
    <s v="Delayed"/>
    <s v="Paid"/>
    <s v="Standard"/>
    <s v="M. Ahmed"/>
    <s v="North America"/>
    <d v="2025-06-01T00:00:00"/>
    <x v="9"/>
  </r>
  <r>
    <x v="359"/>
    <s v="BK50483"/>
    <d v="2025-07-20T00:00:00"/>
    <d v="2025-07-23T00:00:00"/>
    <d v="2025-08-18T00:00:00"/>
    <s v="LG"/>
    <s v="Electronics"/>
    <s v="South Korea"/>
    <s v="New York"/>
    <s v="Singapore"/>
    <x v="2"/>
    <s v="MSC Gülsün"/>
    <s v="Reefer"/>
    <n v="2"/>
    <s v="Chemicals"/>
    <n v="36657.379999999997"/>
    <n v="10030.06"/>
    <n v="2580.09"/>
    <n v="580.1"/>
    <n v="366.57"/>
    <n v="447.43"/>
    <n v="638.54999999999995"/>
    <n v="22014.58"/>
    <n v="24"/>
    <s v="Customs"/>
    <n v="83.58"/>
    <s v="Delayed"/>
    <s v="Paid"/>
    <s v="Critical"/>
    <s v="L. Chen"/>
    <s v="Middle East"/>
    <d v="2025-07-01T00:00:00"/>
    <x v="3"/>
  </r>
  <r>
    <x v="360"/>
    <s v="BK50905"/>
    <d v="2025-07-20T00:00:00"/>
    <d v="2025-07-21T00:00:00"/>
    <d v="2025-08-15T00:00:00"/>
    <s v="Samsung"/>
    <s v="Electronics"/>
    <s v="South Korea"/>
    <s v="Busan"/>
    <s v="Los Angeles"/>
    <x v="3"/>
    <s v="OOCL Hong Kong"/>
    <s v="20FT"/>
    <n v="1"/>
    <s v="Furniture"/>
    <n v="36735.24"/>
    <n v="10429.61"/>
    <n v="1843.99"/>
    <n v="402.86"/>
    <n v="367.35"/>
    <n v="789.01"/>
    <n v="2388.31"/>
    <n v="20514.11"/>
    <n v="8"/>
    <s v="Labor Strike"/>
    <n v="86.91"/>
    <s v="Delayed"/>
    <s v="Paid"/>
    <s v="Critical"/>
    <s v="A. Tan"/>
    <s v="North America"/>
    <d v="2025-07-01T00:00:00"/>
    <x v="10"/>
  </r>
  <r>
    <x v="361"/>
    <s v="BK50138"/>
    <d v="2025-03-08T00:00:00"/>
    <d v="2025-03-11T00:00:00"/>
    <d v="2025-03-22T00:00:00"/>
    <s v="Samsung"/>
    <s v="Electronics"/>
    <s v="South Korea"/>
    <s v="Colombo"/>
    <s v="Singapore"/>
    <x v="4"/>
    <s v="Madrid Maersk"/>
    <s v="40FT"/>
    <n v="2"/>
    <s v="Chemicals"/>
    <n v="36900.839999999997"/>
    <n v="6214.43"/>
    <n v="2399.7199999999998"/>
    <n v="544.89"/>
    <n v="369.01"/>
    <n v="279.70999999999998"/>
    <n v="607.55999999999995"/>
    <n v="26485.52"/>
    <n v="0"/>
    <s v="None"/>
    <n v="51.79"/>
    <s v="Completed"/>
    <s v="Paid"/>
    <s v="Standard"/>
    <s v="L. Chen"/>
    <s v="Europe"/>
    <d v="2025-03-01T00:00:00"/>
    <x v="5"/>
  </r>
  <r>
    <x v="362"/>
    <s v="BK50595"/>
    <d v="2025-08-30T00:00:00"/>
    <d v="2025-09-03T00:00:00"/>
    <d v="2025-09-29T00:00:00"/>
    <s v="Samsung"/>
    <s v="Electronics"/>
    <s v="South Korea"/>
    <s v="Singapore"/>
    <s v="Rotterdam"/>
    <x v="1"/>
    <s v="Monaco Maersk"/>
    <s v="Reefer"/>
    <n v="1"/>
    <s v="Machinery"/>
    <n v="36946.699999999997"/>
    <n v="8222.4699999999993"/>
    <n v="2229.1799999999998"/>
    <n v="699.71"/>
    <n v="369.47"/>
    <n v="757.65"/>
    <n v="1020.29"/>
    <n v="23647.93"/>
    <n v="36"/>
    <s v="Customs"/>
    <n v="68.52"/>
    <s v="Delayed"/>
    <s v="Paid"/>
    <s v="Standard"/>
    <s v="L. Chen"/>
    <s v="Asia"/>
    <d v="2025-08-01T00:00:00"/>
    <x v="3"/>
  </r>
  <r>
    <x v="363"/>
    <s v="BK50670"/>
    <d v="2025-01-27T00:00:00"/>
    <d v="2025-01-30T00:00:00"/>
    <d v="2025-02-23T00:00:00"/>
    <s v="Nestlé"/>
    <s v="Food"/>
    <s v="Switzerland"/>
    <s v="Singapore"/>
    <s v="Rotterdam"/>
    <x v="1"/>
    <s v="CMA CGM Jacques Saadé"/>
    <s v="40FT"/>
    <n v="1"/>
    <s v="Auto Parts"/>
    <n v="36981.24"/>
    <n v="9773.33"/>
    <n v="2049.0700000000002"/>
    <n v="563.36"/>
    <n v="369.81"/>
    <n v="690.55"/>
    <n v="1817.56"/>
    <n v="21717.56"/>
    <n v="0"/>
    <s v="None"/>
    <n v="81.44"/>
    <s v="Completed"/>
    <s v="Paid"/>
    <s v="Standard"/>
    <s v="J. Smith"/>
    <s v="Europe"/>
    <d v="2025-01-01T00:00:00"/>
    <x v="8"/>
  </r>
  <r>
    <x v="364"/>
    <s v="BK50224"/>
    <d v="2025-07-31T00:00:00"/>
    <d v="2025-08-04T00:00:00"/>
    <d v="2025-08-19T00:00:00"/>
    <s v="Adidas"/>
    <s v="Retail"/>
    <s v="Germany"/>
    <s v="Busan"/>
    <s v="Los Angeles"/>
    <x v="3"/>
    <s v="Monaco Maersk"/>
    <s v="Reefer"/>
    <n v="2"/>
    <s v="Food"/>
    <n v="36985.370000000003"/>
    <n v="6612.15"/>
    <n v="1637.85"/>
    <n v="680.94"/>
    <n v="369.85"/>
    <n v="851.69"/>
    <n v="397.04"/>
    <n v="26435.85"/>
    <n v="0"/>
    <s v="None"/>
    <n v="55.1"/>
    <s v="Completed"/>
    <s v="Pending"/>
    <s v="High"/>
    <s v="J. Smith"/>
    <s v="Europe"/>
    <d v="2025-07-01T00:00:00"/>
    <x v="6"/>
  </r>
  <r>
    <x v="365"/>
    <s v="BK50160"/>
    <d v="2025-11-26T00:00:00"/>
    <d v="2025-11-28T00:00:00"/>
    <d v="2025-12-15T00:00:00"/>
    <s v="Amazon"/>
    <s v="E-commerce"/>
    <s v="USA"/>
    <s v="Singapore"/>
    <s v="Rotterdam"/>
    <x v="1"/>
    <s v="CMA CGM Jacques Saadé"/>
    <s v="40FT"/>
    <n v="2"/>
    <s v="Chemicals"/>
    <n v="37158.22"/>
    <n v="10525.31"/>
    <n v="2371.08"/>
    <n v="468.36"/>
    <n v="371.58"/>
    <n v="156.77000000000001"/>
    <n v="1358.48"/>
    <n v="21906.639999999999"/>
    <n v="0"/>
    <s v="None"/>
    <n v="87.71"/>
    <s v="Completed"/>
    <s v="Pending"/>
    <s v="Standard"/>
    <s v="R. Mehta"/>
    <s v="North America"/>
    <d v="2025-11-01T00:00:00"/>
    <x v="18"/>
  </r>
  <r>
    <x v="366"/>
    <s v="BK50887"/>
    <d v="2025-05-14T00:00:00"/>
    <d v="2025-05-16T00:00:00"/>
    <d v="2025-06-10T00:00:00"/>
    <s v="LG"/>
    <s v="Electronics"/>
    <s v="South Korea"/>
    <s v="Shanghai"/>
    <s v="Rotterdam"/>
    <x v="1"/>
    <s v="Mumbai Maersk"/>
    <s v="Reefer"/>
    <n v="1"/>
    <s v="Furniture"/>
    <n v="37162.82"/>
    <n v="10778.18"/>
    <n v="1491.94"/>
    <n v="591.44000000000005"/>
    <n v="371.63"/>
    <n v="851.61"/>
    <n v="2290.19"/>
    <n v="20787.830000000002"/>
    <n v="36"/>
    <s v="Mechanical"/>
    <n v="89.82"/>
    <s v="Delayed"/>
    <s v="Pending"/>
    <s v="Standard"/>
    <s v="M. Ahmed"/>
    <s v="North America"/>
    <d v="2025-05-01T00:00:00"/>
    <x v="10"/>
  </r>
  <r>
    <x v="367"/>
    <s v="BK50179"/>
    <d v="2025-03-30T00:00:00"/>
    <d v="2025-03-31T00:00:00"/>
    <d v="2025-04-20T00:00:00"/>
    <s v="Amazon"/>
    <s v="E-commerce"/>
    <s v="USA"/>
    <s v="Singapore"/>
    <s v="Rotterdam"/>
    <x v="1"/>
    <s v="Ever Ace"/>
    <s v="40FT"/>
    <n v="4"/>
    <s v="Auto Parts"/>
    <n v="37276.01"/>
    <n v="8550.9599999999991"/>
    <n v="2409.89"/>
    <n v="485.17"/>
    <n v="372.76"/>
    <n v="616.89"/>
    <n v="837.74"/>
    <n v="24002.6"/>
    <n v="0"/>
    <s v="None"/>
    <n v="71.260000000000005"/>
    <s v="Completed"/>
    <s v="Pending"/>
    <s v="High"/>
    <s v="M. Ahmed"/>
    <s v="North America"/>
    <d v="2025-03-01T00:00:00"/>
    <x v="16"/>
  </r>
  <r>
    <x v="368"/>
    <s v="BK50454"/>
    <d v="2025-04-22T00:00:00"/>
    <d v="2025-04-24T00:00:00"/>
    <d v="2025-05-09T00:00:00"/>
    <s v="IKEA"/>
    <s v="Retail"/>
    <s v="Sweden"/>
    <s v="Shanghai"/>
    <s v="Rotterdam"/>
    <x v="1"/>
    <s v="Ever Ace"/>
    <s v="40FT"/>
    <n v="1"/>
    <s v="Furniture"/>
    <n v="37300.42"/>
    <n v="6218.49"/>
    <n v="1527.29"/>
    <n v="573.74"/>
    <n v="373"/>
    <n v="730.5"/>
    <n v="322.19"/>
    <n v="27555.21"/>
    <n v="0"/>
    <s v="None"/>
    <n v="51.82"/>
    <s v="Completed"/>
    <s v="Pending"/>
    <s v="High"/>
    <s v="L. Chen"/>
    <s v="North America"/>
    <d v="2025-04-01T00:00:00"/>
    <x v="6"/>
  </r>
  <r>
    <x v="369"/>
    <s v="BK50453"/>
    <d v="2025-02-11T00:00:00"/>
    <d v="2025-02-15T00:00:00"/>
    <d v="2025-02-28T00:00:00"/>
    <s v="IKEA"/>
    <s v="Retail"/>
    <s v="Sweden"/>
    <s v="Colombo"/>
    <s v="Rotterdam"/>
    <x v="2"/>
    <s v="Ever Ace"/>
    <s v="High Cube"/>
    <n v="2"/>
    <s v="Food"/>
    <n v="37348.410000000003"/>
    <n v="7684.81"/>
    <n v="2108.25"/>
    <n v="952.86"/>
    <n v="373.48"/>
    <n v="666.1"/>
    <n v="2469.65"/>
    <n v="23093.26"/>
    <n v="24"/>
    <s v="Mechanical"/>
    <n v="64.040000000000006"/>
    <s v="Delayed"/>
    <s v="Paid"/>
    <s v="Standard"/>
    <s v="J. Smith"/>
    <s v="Asia"/>
    <d v="2025-02-01T00:00:00"/>
    <x v="13"/>
  </r>
  <r>
    <x v="370"/>
    <s v="BK50121"/>
    <d v="2025-04-04T00:00:00"/>
    <d v="2025-04-06T00:00:00"/>
    <d v="2025-05-03T00:00:00"/>
    <s v="Siemens"/>
    <s v="Engineering"/>
    <s v="Germany"/>
    <s v="Nhava Sheva"/>
    <s v="Colombo"/>
    <x v="2"/>
    <s v="Ever Ace"/>
    <s v="Reefer"/>
    <n v="2"/>
    <s v="Chemicals"/>
    <n v="37352.870000000003"/>
    <n v="9448.31"/>
    <n v="2826.2"/>
    <n v="535.01"/>
    <n v="373.53"/>
    <n v="387.68"/>
    <n v="1894.78"/>
    <n v="21887.360000000001"/>
    <n v="24"/>
    <s v="Weather"/>
    <n v="78.739999999999995"/>
    <s v="Delayed"/>
    <s v="Pending"/>
    <s v="High"/>
    <s v="R. Mehta"/>
    <s v="Middle East"/>
    <d v="2025-04-01T00:00:00"/>
    <x v="2"/>
  </r>
  <r>
    <x v="371"/>
    <s v="BK50577"/>
    <d v="2025-07-24T00:00:00"/>
    <d v="2025-07-26T00:00:00"/>
    <d v="2025-08-17T00:00:00"/>
    <s v="Bosch"/>
    <s v="Manufacturing"/>
    <s v="Germany"/>
    <s v="Colombo"/>
    <s v="Singapore"/>
    <x v="4"/>
    <s v="Mumbai Maersk"/>
    <s v="40FT"/>
    <n v="1"/>
    <s v="Machinery"/>
    <n v="37354.71"/>
    <n v="6246.01"/>
    <n v="2880.89"/>
    <n v="900.21"/>
    <n v="373.55"/>
    <n v="259.19"/>
    <n v="496.87"/>
    <n v="26197.99"/>
    <n v="24"/>
    <s v="Weather"/>
    <n v="52.05"/>
    <s v="Delayed"/>
    <s v="Pending"/>
    <s v="Standard"/>
    <s v="R. Mehta"/>
    <s v="Middle East"/>
    <d v="2025-07-01T00:00:00"/>
    <x v="4"/>
  </r>
  <r>
    <x v="372"/>
    <s v="BK50957"/>
    <d v="2025-12-08T00:00:00"/>
    <d v="2025-12-12T00:00:00"/>
    <d v="2025-12-31T00:00:00"/>
    <s v="Siemens"/>
    <s v="Engineering"/>
    <s v="Germany"/>
    <s v="Singapore"/>
    <s v="Rotterdam"/>
    <x v="1"/>
    <s v="CMA CGM Jacques Saadé"/>
    <s v="High Cube"/>
    <n v="2"/>
    <s v="Machinery"/>
    <n v="37418.49"/>
    <n v="6995.86"/>
    <n v="2719.78"/>
    <n v="958.67"/>
    <n v="374.18"/>
    <n v="121.71"/>
    <n v="717.94"/>
    <n v="25530.35"/>
    <n v="24"/>
    <s v="Mechanical"/>
    <n v="58.3"/>
    <s v="Delayed"/>
    <s v="Paid"/>
    <s v="High"/>
    <s v="R. Mehta"/>
    <s v="Middle East"/>
    <d v="2025-12-01T00:00:00"/>
    <x v="11"/>
  </r>
  <r>
    <x v="373"/>
    <s v="BK50218"/>
    <d v="2025-12-19T00:00:00"/>
    <d v="2025-12-22T00:00:00"/>
    <d v="2026-01-16T00:00:00"/>
    <s v="Reliance"/>
    <s v="Retail"/>
    <s v="India"/>
    <s v="Colombo"/>
    <s v="Rotterdam"/>
    <x v="2"/>
    <s v="MSC Gülsün"/>
    <s v="High Cube"/>
    <n v="4"/>
    <s v="Electronics"/>
    <n v="37455.32"/>
    <n v="9627.7800000000007"/>
    <n v="1931.74"/>
    <n v="1070.19"/>
    <n v="374.55"/>
    <n v="559.87"/>
    <n v="1137.8599999999999"/>
    <n v="22753.33"/>
    <n v="0"/>
    <s v="None"/>
    <n v="80.23"/>
    <s v="Completed"/>
    <s v="Pending"/>
    <s v="High"/>
    <s v="M. Ahmed"/>
    <s v="North America"/>
    <d v="2025-12-01T00:00:00"/>
    <x v="10"/>
  </r>
  <r>
    <x v="374"/>
    <s v="BK50284"/>
    <d v="2025-10-15T00:00:00"/>
    <d v="2025-10-18T00:00:00"/>
    <d v="2025-11-07T00:00:00"/>
    <s v="Unilever"/>
    <s v="FMCG"/>
    <s v="UK"/>
    <s v="Singapore"/>
    <s v="Rotterdam"/>
    <x v="1"/>
    <s v="MSC Gülsün"/>
    <s v="Reefer"/>
    <n v="2"/>
    <s v="Electronics"/>
    <n v="37533.839999999997"/>
    <n v="9642.75"/>
    <n v="2139.9899999999998"/>
    <n v="788.06"/>
    <n v="375.34"/>
    <n v="717.47"/>
    <n v="779.63"/>
    <n v="23090.6"/>
    <n v="0"/>
    <s v="None"/>
    <n v="80.36"/>
    <s v="Completed"/>
    <s v="Pending"/>
    <s v="Standard"/>
    <s v="M. Ahmed"/>
    <s v="Asia"/>
    <d v="2025-10-01T00:00:00"/>
    <x v="16"/>
  </r>
  <r>
    <x v="375"/>
    <s v="BK50636"/>
    <d v="2025-01-10T00:00:00"/>
    <d v="2025-01-12T00:00:00"/>
    <d v="2025-01-24T00:00:00"/>
    <s v="Adidas"/>
    <s v="Retail"/>
    <s v="Germany"/>
    <s v="Singapore"/>
    <s v="Rotterdam"/>
    <x v="1"/>
    <s v="Ever Ace"/>
    <s v="20FT"/>
    <n v="2"/>
    <s v="Auto Parts"/>
    <n v="37540.089999999997"/>
    <n v="6314.93"/>
    <n v="1732.05"/>
    <n v="760.66"/>
    <n v="375.4"/>
    <n v="745.03"/>
    <n v="2079.63"/>
    <n v="25532.39"/>
    <n v="24"/>
    <s v="Customs"/>
    <n v="52.62"/>
    <s v="Delayed"/>
    <s v="Paid"/>
    <s v="High"/>
    <s v="J. Smith"/>
    <s v="Middle East"/>
    <d v="2025-01-01T00:00:00"/>
    <x v="12"/>
  </r>
  <r>
    <x v="376"/>
    <s v="BK50591"/>
    <d v="2025-06-09T00:00:00"/>
    <d v="2025-06-12T00:00:00"/>
    <d v="2025-07-05T00:00:00"/>
    <s v="Samsung"/>
    <s v="Electronics"/>
    <s v="South Korea"/>
    <s v="Busan"/>
    <s v="Los Angeles"/>
    <x v="3"/>
    <s v="Mary Maersk"/>
    <s v="20FT"/>
    <n v="1"/>
    <s v="Chemicals"/>
    <n v="37570.58"/>
    <n v="6634.06"/>
    <n v="2894.77"/>
    <n v="1019.53"/>
    <n v="375.71"/>
    <n v="786.21"/>
    <n v="1415.98"/>
    <n v="24444.32"/>
    <n v="0"/>
    <s v="None"/>
    <n v="55.28"/>
    <s v="Completed"/>
    <s v="Pending"/>
    <s v="High"/>
    <s v="M. Ahmed"/>
    <s v="Middle East"/>
    <d v="2025-06-01T00:00:00"/>
    <x v="7"/>
  </r>
  <r>
    <x v="377"/>
    <s v="BK50431"/>
    <d v="2025-02-18T00:00:00"/>
    <d v="2025-02-19T00:00:00"/>
    <d v="2025-03-12T00:00:00"/>
    <s v="Nestlé"/>
    <s v="Food"/>
    <s v="Switzerland"/>
    <s v="Busan"/>
    <s v="Los Angeles"/>
    <x v="3"/>
    <s v="MSC Gülsün"/>
    <s v="High Cube"/>
    <n v="2"/>
    <s v="Food"/>
    <n v="37694.519999999997"/>
    <n v="6781.23"/>
    <n v="1888.26"/>
    <n v="1117.3599999999999"/>
    <n v="376.95"/>
    <n v="113.16"/>
    <n v="2474.19"/>
    <n v="24943.37"/>
    <n v="0"/>
    <s v="None"/>
    <n v="56.51"/>
    <s v="Completed"/>
    <s v="Pending"/>
    <s v="Critical"/>
    <s v="A. Tan"/>
    <s v="North America"/>
    <d v="2025-02-01T00:00:00"/>
    <x v="9"/>
  </r>
  <r>
    <x v="378"/>
    <s v="BK50004"/>
    <d v="2025-09-04T00:00:00"/>
    <d v="2025-09-05T00:00:00"/>
    <d v="2025-09-25T00:00:00"/>
    <s v="LG"/>
    <s v="Electronics"/>
    <s v="South Korea"/>
    <s v="Jebel Ali"/>
    <s v="Nhava Sheva"/>
    <x v="0"/>
    <s v="Mumbai Maersk"/>
    <s v="40FT"/>
    <n v="1"/>
    <s v="Food"/>
    <n v="37760.550000000003"/>
    <n v="7410.01"/>
    <n v="2216.38"/>
    <n v="1030.74"/>
    <n v="377.61"/>
    <n v="658.9"/>
    <n v="2334.4699999999998"/>
    <n v="23732.44"/>
    <n v="24"/>
    <s v="Customs"/>
    <n v="61.75"/>
    <s v="Delayed"/>
    <s v="Paid"/>
    <s v="Standard"/>
    <s v="J. Smith"/>
    <s v="Asia"/>
    <d v="2025-09-01T00:00:00"/>
    <x v="16"/>
  </r>
  <r>
    <x v="379"/>
    <s v="BK50034"/>
    <d v="2025-08-31T00:00:00"/>
    <d v="2025-09-04T00:00:00"/>
    <d v="2025-09-17T00:00:00"/>
    <s v="Toyota"/>
    <s v="Automotive"/>
    <s v="Japan"/>
    <s v="New York"/>
    <s v="New York"/>
    <x v="2"/>
    <s v="Mary Maersk"/>
    <s v="20FT"/>
    <n v="1"/>
    <s v="Machinery"/>
    <n v="37792.29"/>
    <n v="6057.06"/>
    <n v="2836.14"/>
    <n v="787.91"/>
    <n v="377.92"/>
    <n v="834.53"/>
    <n v="904.51"/>
    <n v="25994.22"/>
    <n v="24"/>
    <s v="Port Congestion"/>
    <n v="50.48"/>
    <s v="Delayed"/>
    <s v="Paid"/>
    <s v="Standard"/>
    <s v="A. Tan"/>
    <s v="Europe"/>
    <d v="2025-08-01T00:00:00"/>
    <x v="13"/>
  </r>
  <r>
    <x v="380"/>
    <s v="BK50765"/>
    <d v="2025-02-07T00:00:00"/>
    <d v="2025-02-08T00:00:00"/>
    <d v="2025-03-04T00:00:00"/>
    <s v="LG"/>
    <s v="Electronics"/>
    <s v="South Korea"/>
    <s v="Busan"/>
    <s v="Los Angeles"/>
    <x v="3"/>
    <s v="OOCL Hong Kong"/>
    <s v="Reefer"/>
    <n v="1"/>
    <s v="Chemicals"/>
    <n v="37812.129999999997"/>
    <n v="6864.09"/>
    <n v="2700.69"/>
    <n v="925.03"/>
    <n v="378.12"/>
    <n v="153.38999999999999"/>
    <n v="991.92"/>
    <n v="25798.89"/>
    <n v="0"/>
    <s v="None"/>
    <n v="57.2"/>
    <s v="Completed"/>
    <s v="Pending"/>
    <s v="Critical"/>
    <s v="M. Ahmed"/>
    <s v="Asia"/>
    <d v="2025-02-01T00:00:00"/>
    <x v="8"/>
  </r>
  <r>
    <x v="381"/>
    <s v="BK50240"/>
    <d v="2025-02-01T00:00:00"/>
    <d v="2025-02-03T00:00:00"/>
    <d v="2025-02-16T00:00:00"/>
    <s v="Amazon"/>
    <s v="E-commerce"/>
    <s v="USA"/>
    <s v="Nhava Sheva"/>
    <s v="Shanghai"/>
    <x v="2"/>
    <s v="CMA CGM Jacques Saadé"/>
    <s v="20FT"/>
    <n v="1"/>
    <s v="Food"/>
    <n v="37851.81"/>
    <n v="9681.59"/>
    <n v="2245.39"/>
    <n v="378.76"/>
    <n v="378.52"/>
    <n v="372.54"/>
    <n v="2468.04"/>
    <n v="22326.97"/>
    <n v="4"/>
    <s v="Customs"/>
    <n v="80.680000000000007"/>
    <s v="Delayed"/>
    <s v="Pending"/>
    <s v="Critical"/>
    <s v="L. Chen"/>
    <s v="Middle East"/>
    <d v="2025-02-01T00:00:00"/>
    <x v="13"/>
  </r>
  <r>
    <x v="382"/>
    <s v="BK50119"/>
    <d v="2025-01-04T00:00:00"/>
    <d v="2025-01-05T00:00:00"/>
    <d v="2025-01-27T00:00:00"/>
    <s v="Reliance"/>
    <s v="Retail"/>
    <s v="India"/>
    <s v="Hamburg"/>
    <s v="Hamburg"/>
    <x v="2"/>
    <s v="Ever Ace"/>
    <s v="Reefer"/>
    <n v="1"/>
    <s v="Food"/>
    <n v="37882.400000000001"/>
    <n v="10048.51"/>
    <n v="1683.86"/>
    <n v="795.22"/>
    <n v="378.82"/>
    <n v="831.34"/>
    <n v="1885.43"/>
    <n v="22259.22"/>
    <n v="8"/>
    <s v="Mechanical"/>
    <n v="83.74"/>
    <s v="Delayed"/>
    <s v="Pending"/>
    <s v="Critical"/>
    <s v="M. Ahmed"/>
    <s v="North America"/>
    <d v="2025-01-01T00:00:00"/>
    <x v="4"/>
  </r>
  <r>
    <x v="383"/>
    <s v="BK50505"/>
    <d v="2025-03-18T00:00:00"/>
    <d v="2025-03-21T00:00:00"/>
    <d v="2025-04-06T00:00:00"/>
    <s v="Siemens"/>
    <s v="Engineering"/>
    <s v="Germany"/>
    <s v="Jebel Ali"/>
    <s v="Nhava Sheva"/>
    <x v="0"/>
    <s v="Ever Ace"/>
    <s v="40FT"/>
    <n v="2"/>
    <s v="Textiles"/>
    <n v="37949.19"/>
    <n v="10068.73"/>
    <n v="2988.9"/>
    <n v="1095.05"/>
    <n v="379.49"/>
    <n v="705.77"/>
    <n v="2336.91"/>
    <n v="20374.34"/>
    <n v="36"/>
    <s v="Mechanical"/>
    <n v="83.91"/>
    <s v="Delayed"/>
    <s v="Pending"/>
    <s v="Critical"/>
    <s v="L. Chen"/>
    <s v="Europe"/>
    <d v="2025-03-01T00:00:00"/>
    <x v="0"/>
  </r>
  <r>
    <x v="384"/>
    <s v="BK50674"/>
    <d v="2025-01-16T00:00:00"/>
    <d v="2025-01-20T00:00:00"/>
    <d v="2025-02-15T00:00:00"/>
    <s v="Reliance"/>
    <s v="Retail"/>
    <s v="India"/>
    <s v="Colombo"/>
    <s v="Rotterdam"/>
    <x v="2"/>
    <s v="OOCL Hong Kong"/>
    <s v="High Cube"/>
    <n v="4"/>
    <s v="Chemicals"/>
    <n v="38008.959999999999"/>
    <n v="6344.28"/>
    <n v="2665.04"/>
    <n v="460.16"/>
    <n v="380.09"/>
    <n v="244.67"/>
    <n v="767.22"/>
    <n v="27147.5"/>
    <n v="0"/>
    <s v="None"/>
    <n v="52.87"/>
    <s v="Completed"/>
    <s v="Pending"/>
    <s v="Critical"/>
    <s v="R. Mehta"/>
    <s v="Middle East"/>
    <d v="2025-01-01T00:00:00"/>
    <x v="3"/>
  </r>
  <r>
    <x v="385"/>
    <s v="BK50036"/>
    <d v="2025-02-05T00:00:00"/>
    <d v="2025-02-06T00:00:00"/>
    <d v="2025-03-06T00:00:00"/>
    <s v="Samsung"/>
    <s v="Electronics"/>
    <s v="South Korea"/>
    <s v="Singapore"/>
    <s v="Rotterdam"/>
    <x v="1"/>
    <s v="MSC Gülsün"/>
    <s v="40FT"/>
    <n v="2"/>
    <s v="Furniture"/>
    <n v="38022.29"/>
    <n v="8641.0300000000007"/>
    <n v="2071.2399999999998"/>
    <n v="688.41"/>
    <n v="380.22"/>
    <n v="669"/>
    <n v="1625.29"/>
    <n v="23947.1"/>
    <n v="24"/>
    <s v="Customs"/>
    <n v="72.010000000000005"/>
    <s v="Delayed"/>
    <s v="Paid"/>
    <s v="Critical"/>
    <s v="M. Ahmed"/>
    <s v="North America"/>
    <d v="2025-02-01T00:00:00"/>
    <x v="17"/>
  </r>
  <r>
    <x v="386"/>
    <s v="BK50877"/>
    <d v="2025-05-20T00:00:00"/>
    <d v="2025-05-24T00:00:00"/>
    <d v="2025-06-09T00:00:00"/>
    <s v="Samsung"/>
    <s v="Electronics"/>
    <s v="South Korea"/>
    <s v="Shanghai"/>
    <s v="Nhava Sheva"/>
    <x v="2"/>
    <s v="Madrid Maersk"/>
    <s v="20FT"/>
    <n v="1"/>
    <s v="Food"/>
    <n v="38084.9"/>
    <n v="9729.19"/>
    <n v="2402.9"/>
    <n v="983.74"/>
    <n v="380.85"/>
    <n v="729.96"/>
    <n v="1223.33"/>
    <n v="22634.93"/>
    <n v="0"/>
    <s v="None"/>
    <n v="81.08"/>
    <s v="Completed"/>
    <s v="Pending"/>
    <s v="High"/>
    <s v="L. Chen"/>
    <s v="Middle East"/>
    <d v="2025-05-01T00:00:00"/>
    <x v="0"/>
  </r>
  <r>
    <x v="387"/>
    <s v="BK50766"/>
    <d v="2025-12-30T00:00:00"/>
    <d v="2025-12-31T00:00:00"/>
    <d v="2026-01-16T00:00:00"/>
    <s v="Siemens"/>
    <s v="Engineering"/>
    <s v="Germany"/>
    <s v="Shanghai"/>
    <s v="Rotterdam"/>
    <x v="1"/>
    <s v="Mary Maersk"/>
    <s v="40FT"/>
    <n v="1"/>
    <s v="Chemicals"/>
    <n v="38286.71"/>
    <n v="10317.9"/>
    <n v="1999.17"/>
    <n v="708.84"/>
    <n v="382.87"/>
    <n v="650.59"/>
    <n v="1428"/>
    <n v="22799.34"/>
    <n v="12"/>
    <s v="Weather"/>
    <n v="85.98"/>
    <s v="Delayed"/>
    <s v="Paid"/>
    <s v="Standard"/>
    <s v="M. Ahmed"/>
    <s v="North America"/>
    <d v="2025-12-01T00:00:00"/>
    <x v="0"/>
  </r>
  <r>
    <x v="388"/>
    <s v="BK50943"/>
    <d v="2025-09-21T00:00:00"/>
    <d v="2025-09-24T00:00:00"/>
    <d v="2025-10-18T00:00:00"/>
    <s v="Pfizer"/>
    <s v="Pharma"/>
    <s v="USA"/>
    <s v="Shanghai"/>
    <s v="Rotterdam"/>
    <x v="1"/>
    <s v="Mary Maersk"/>
    <s v="High Cube"/>
    <n v="1"/>
    <s v="Machinery"/>
    <n v="38308.019999999997"/>
    <n v="7458.87"/>
    <n v="2532.35"/>
    <n v="455.54"/>
    <n v="383.08"/>
    <n v="146.19999999999999"/>
    <n v="882.49"/>
    <n v="26449.49"/>
    <n v="48"/>
    <s v="Customs"/>
    <n v="62.16"/>
    <s v="Delayed"/>
    <s v="Paid"/>
    <s v="Standard"/>
    <s v="A. Tan"/>
    <s v="Europe"/>
    <d v="2025-09-01T00:00:00"/>
    <x v="8"/>
  </r>
  <r>
    <x v="389"/>
    <s v="BK50412"/>
    <d v="2025-10-28T00:00:00"/>
    <d v="2025-10-31T00:00:00"/>
    <d v="2025-11-19T00:00:00"/>
    <s v="Toyota"/>
    <s v="Automotive"/>
    <s v="Japan"/>
    <s v="Busan"/>
    <s v="Los Angeles"/>
    <x v="3"/>
    <s v="Mary Maersk"/>
    <s v="40FT"/>
    <n v="2"/>
    <s v="Auto Parts"/>
    <n v="38466.81"/>
    <n v="7244.13"/>
    <n v="1590.84"/>
    <n v="1027.57"/>
    <n v="384.67"/>
    <n v="744.41"/>
    <n v="316.41000000000003"/>
    <n v="27158.78"/>
    <n v="8"/>
    <s v="Labor Strike"/>
    <n v="60.37"/>
    <s v="Delayed"/>
    <s v="Pending"/>
    <s v="High"/>
    <s v="M. Ahmed"/>
    <s v="Asia"/>
    <d v="2025-10-01T00:00:00"/>
    <x v="11"/>
  </r>
  <r>
    <x v="390"/>
    <s v="BK50802"/>
    <d v="2025-01-03T00:00:00"/>
    <d v="2025-01-07T00:00:00"/>
    <d v="2025-01-30T00:00:00"/>
    <s v="Adidas"/>
    <s v="Retail"/>
    <s v="Germany"/>
    <s v="Jebel Ali"/>
    <s v="Busan"/>
    <x v="2"/>
    <s v="Mumbai Maersk"/>
    <s v="40FT"/>
    <n v="1"/>
    <s v="Auto Parts"/>
    <n v="38542.019999999997"/>
    <n v="7388.01"/>
    <n v="1796.33"/>
    <n v="1115.52"/>
    <n v="385.42"/>
    <n v="794.97"/>
    <n v="2346.71"/>
    <n v="24715.06"/>
    <n v="0"/>
    <s v="None"/>
    <n v="61.57"/>
    <s v="Completed"/>
    <s v="Paid"/>
    <s v="Critical"/>
    <s v="R. Mehta"/>
    <s v="Europe"/>
    <d v="2025-01-01T00:00:00"/>
    <x v="7"/>
  </r>
  <r>
    <x v="391"/>
    <s v="BK50285"/>
    <d v="2025-12-18T00:00:00"/>
    <d v="2025-12-19T00:00:00"/>
    <d v="2026-01-07T00:00:00"/>
    <s v="Reliance"/>
    <s v="Retail"/>
    <s v="India"/>
    <s v="Shanghai"/>
    <s v="Jebel Ali"/>
    <x v="2"/>
    <s v="MSC Gülsün"/>
    <s v="High Cube"/>
    <n v="2"/>
    <s v="Electronics"/>
    <n v="38556.089999999997"/>
    <n v="10427.370000000001"/>
    <n v="1697.85"/>
    <n v="686"/>
    <n v="385.56"/>
    <n v="739.49"/>
    <n v="415.34"/>
    <n v="24204.48"/>
    <n v="36"/>
    <s v="Labor Strike"/>
    <n v="86.89"/>
    <s v="Delayed"/>
    <s v="Pending"/>
    <s v="Critical"/>
    <s v="J. Smith"/>
    <s v="Europe"/>
    <d v="2025-12-01T00:00:00"/>
    <x v="11"/>
  </r>
  <r>
    <x v="392"/>
    <s v="BK50415"/>
    <d v="2025-12-30T00:00:00"/>
    <d v="2026-01-03T00:00:00"/>
    <d v="2026-01-22T00:00:00"/>
    <s v="IKEA"/>
    <s v="Retail"/>
    <s v="Sweden"/>
    <s v="Jebel Ali"/>
    <s v="Hamburg"/>
    <x v="2"/>
    <s v="MSC Gülsün"/>
    <s v="40FT"/>
    <n v="2"/>
    <s v="Textiles"/>
    <n v="38560.75"/>
    <n v="10284.32"/>
    <n v="2732.31"/>
    <n v="631.94000000000005"/>
    <n v="385.61"/>
    <n v="625.36"/>
    <n v="1977.88"/>
    <n v="21923.33"/>
    <n v="12"/>
    <s v="Labor Strike"/>
    <n v="85.7"/>
    <s v="Delayed"/>
    <s v="Pending"/>
    <s v="Critical"/>
    <s v="J. Smith"/>
    <s v="Asia"/>
    <d v="2025-12-01T00:00:00"/>
    <x v="11"/>
  </r>
  <r>
    <x v="393"/>
    <s v="BK50020"/>
    <d v="2025-02-10T00:00:00"/>
    <d v="2025-02-13T00:00:00"/>
    <d v="2025-03-01T00:00:00"/>
    <s v="IKEA"/>
    <s v="Retail"/>
    <s v="Sweden"/>
    <s v="Shanghai"/>
    <s v="Rotterdam"/>
    <x v="1"/>
    <s v="Monaco Maersk"/>
    <s v="Reefer"/>
    <n v="1"/>
    <s v="Food"/>
    <n v="38564.480000000003"/>
    <n v="9606.7800000000007"/>
    <n v="1757.12"/>
    <n v="462.07"/>
    <n v="385.64"/>
    <n v="858.37"/>
    <n v="1415.24"/>
    <n v="24079.26"/>
    <n v="0"/>
    <s v="None"/>
    <n v="80.06"/>
    <s v="Completed"/>
    <s v="Pending"/>
    <s v="Critical"/>
    <s v="M. Ahmed"/>
    <s v="Asia"/>
    <d v="2025-02-01T00:00:00"/>
    <x v="0"/>
  </r>
  <r>
    <x v="394"/>
    <s v="BK50488"/>
    <d v="2025-09-16T00:00:00"/>
    <d v="2025-09-17T00:00:00"/>
    <d v="2025-10-12T00:00:00"/>
    <s v="LG"/>
    <s v="Electronics"/>
    <s v="South Korea"/>
    <s v="Busan"/>
    <s v="Los Angeles"/>
    <x v="3"/>
    <s v="Ever Ace"/>
    <s v="High Cube"/>
    <n v="4"/>
    <s v="Food"/>
    <n v="38601.699999999997"/>
    <n v="7173.09"/>
    <n v="2587.02"/>
    <n v="967.59"/>
    <n v="386.02"/>
    <n v="180.17"/>
    <n v="1654.34"/>
    <n v="25653.47"/>
    <n v="12"/>
    <s v="Labor Strike"/>
    <n v="59.78"/>
    <s v="Delayed"/>
    <s v="Pending"/>
    <s v="Standard"/>
    <s v="A. Tan"/>
    <s v="North America"/>
    <d v="2025-09-01T00:00:00"/>
    <x v="10"/>
  </r>
  <r>
    <x v="395"/>
    <s v="BK50141"/>
    <d v="2025-06-11T00:00:00"/>
    <d v="2025-06-13T00:00:00"/>
    <d v="2025-06-27T00:00:00"/>
    <s v="IKEA"/>
    <s v="Retail"/>
    <s v="Sweden"/>
    <s v="Busan"/>
    <s v="Los Angeles"/>
    <x v="3"/>
    <s v="Madrid Maersk"/>
    <s v="40FT"/>
    <n v="2"/>
    <s v="Food"/>
    <n v="38665.83"/>
    <n v="7153.05"/>
    <n v="2100.2199999999998"/>
    <n v="854.43"/>
    <n v="386.66"/>
    <n v="871.4"/>
    <n v="321.64999999999998"/>
    <n v="26978.42"/>
    <n v="8"/>
    <s v="Weather"/>
    <n v="59.61"/>
    <s v="Delayed"/>
    <s v="Pending"/>
    <s v="High"/>
    <s v="A. Tan"/>
    <s v="Europe"/>
    <d v="2025-06-01T00:00:00"/>
    <x v="1"/>
  </r>
  <r>
    <x v="396"/>
    <s v="BK50037"/>
    <d v="2025-06-03T00:00:00"/>
    <d v="2025-06-06T00:00:00"/>
    <d v="2025-06-17T00:00:00"/>
    <s v="IKEA"/>
    <s v="Retail"/>
    <s v="Sweden"/>
    <s v="Busan"/>
    <s v="Singapore"/>
    <x v="2"/>
    <s v="CMA CGM Jacques Saadé"/>
    <s v="High Cube"/>
    <n v="1"/>
    <s v="Auto Parts"/>
    <n v="38808.269999999997"/>
    <n v="9667.3799999999992"/>
    <n v="2035.75"/>
    <n v="507.57"/>
    <n v="388.08"/>
    <n v="147.65"/>
    <n v="1406.85"/>
    <n v="24654.99"/>
    <n v="0"/>
    <s v="None"/>
    <n v="80.56"/>
    <s v="Completed"/>
    <s v="Pending"/>
    <s v="Standard"/>
    <s v="R. Mehta"/>
    <s v="Middle East"/>
    <d v="2025-06-01T00:00:00"/>
    <x v="5"/>
  </r>
  <r>
    <x v="397"/>
    <s v="BK50117"/>
    <d v="2025-10-24T00:00:00"/>
    <d v="2025-10-27T00:00:00"/>
    <d v="2025-11-10T00:00:00"/>
    <s v="Amazon"/>
    <s v="E-commerce"/>
    <s v="USA"/>
    <s v="Colombo"/>
    <s v="Singapore"/>
    <x v="4"/>
    <s v="Mumbai Maersk"/>
    <s v="20FT"/>
    <n v="2"/>
    <s v="Electronics"/>
    <n v="38977.660000000003"/>
    <n v="8196.0400000000009"/>
    <n v="2946.86"/>
    <n v="1043.1099999999999"/>
    <n v="389.78"/>
    <n v="120.82"/>
    <n v="1878.06"/>
    <n v="24402.99"/>
    <n v="24"/>
    <s v="Mechanical"/>
    <n v="68.3"/>
    <s v="Delayed"/>
    <s v="Paid"/>
    <s v="High"/>
    <s v="J. Smith"/>
    <s v="Europe"/>
    <d v="2025-10-01T00:00:00"/>
    <x v="1"/>
  </r>
  <r>
    <x v="398"/>
    <s v="BK50129"/>
    <d v="2025-10-08T00:00:00"/>
    <d v="2025-10-09T00:00:00"/>
    <d v="2025-11-01T00:00:00"/>
    <s v="Reliance"/>
    <s v="Retail"/>
    <s v="India"/>
    <s v="Hamburg"/>
    <s v="Rotterdam"/>
    <x v="2"/>
    <s v="OOCL Hong Kong"/>
    <s v="40FT"/>
    <n v="2"/>
    <s v="Electronics"/>
    <n v="38995.360000000001"/>
    <n v="6906.91"/>
    <n v="1716.47"/>
    <n v="408.67"/>
    <n v="389.95"/>
    <n v="843.38"/>
    <n v="1569.47"/>
    <n v="27160.51"/>
    <n v="0"/>
    <s v="None"/>
    <n v="57.56"/>
    <s v="Completed"/>
    <s v="Paid"/>
    <s v="Critical"/>
    <s v="M. Ahmed"/>
    <s v="Europe"/>
    <d v="2025-10-01T00:00:00"/>
    <x v="7"/>
  </r>
  <r>
    <x v="399"/>
    <s v="BK50147"/>
    <d v="2025-04-24T00:00:00"/>
    <d v="2025-04-26T00:00:00"/>
    <d v="2025-05-11T00:00:00"/>
    <s v="LG"/>
    <s v="Electronics"/>
    <s v="South Korea"/>
    <s v="Jebel Ali"/>
    <s v="Nhava Sheva"/>
    <x v="0"/>
    <s v="Ever Ace"/>
    <s v="High Cube"/>
    <n v="1"/>
    <s v="Textiles"/>
    <n v="39002.51"/>
    <n v="6289.56"/>
    <n v="2529.91"/>
    <n v="800.91"/>
    <n v="390.03"/>
    <n v="732.33"/>
    <n v="2182.25"/>
    <n v="26077.52"/>
    <n v="24"/>
    <s v="Weather"/>
    <n v="52.41"/>
    <s v="Delayed"/>
    <s v="Pending"/>
    <s v="High"/>
    <s v="A. Tan"/>
    <s v="Asia"/>
    <d v="2025-04-01T00:00:00"/>
    <x v="6"/>
  </r>
  <r>
    <x v="400"/>
    <s v="BK50249"/>
    <d v="2025-06-30T00:00:00"/>
    <d v="2025-07-02T00:00:00"/>
    <d v="2025-07-18T00:00:00"/>
    <s v="Reliance"/>
    <s v="Retail"/>
    <s v="India"/>
    <s v="Jebel Ali"/>
    <s v="Nhava Sheva"/>
    <x v="0"/>
    <s v="MSC Gülsün"/>
    <s v="20FT"/>
    <n v="1"/>
    <s v="Textiles"/>
    <n v="39278.49"/>
    <n v="8850.48"/>
    <n v="3060.57"/>
    <n v="1020.9"/>
    <n v="392.78"/>
    <n v="782.16"/>
    <n v="527.58000000000004"/>
    <n v="24644.02"/>
    <n v="8"/>
    <s v="Mechanical"/>
    <n v="73.75"/>
    <s v="Delayed"/>
    <s v="Paid"/>
    <s v="Critical"/>
    <s v="J. Smith"/>
    <s v="Asia"/>
    <d v="2025-06-01T00:00:00"/>
    <x v="0"/>
  </r>
  <r>
    <x v="401"/>
    <s v="BK50699"/>
    <d v="2025-12-06T00:00:00"/>
    <d v="2025-12-07T00:00:00"/>
    <d v="2025-12-27T00:00:00"/>
    <s v="Nestlé"/>
    <s v="Food"/>
    <s v="Switzerland"/>
    <s v="Hamburg"/>
    <s v="Jebel Ali"/>
    <x v="2"/>
    <s v="MSC Gülsün"/>
    <s v="20FT"/>
    <n v="1"/>
    <s v="Auto Parts"/>
    <n v="39327.370000000003"/>
    <n v="11564.67"/>
    <n v="2536.19"/>
    <n v="513.08000000000004"/>
    <n v="393.27"/>
    <n v="700.7"/>
    <n v="399.08"/>
    <n v="23220.38"/>
    <n v="0"/>
    <s v="None"/>
    <n v="96.37"/>
    <s v="Completed"/>
    <s v="Paid"/>
    <s v="Standard"/>
    <s v="L. Chen"/>
    <s v="Europe"/>
    <d v="2025-12-01T00:00:00"/>
    <x v="16"/>
  </r>
  <r>
    <x v="402"/>
    <s v="BK50895"/>
    <d v="2025-02-17T00:00:00"/>
    <d v="2025-02-21T00:00:00"/>
    <d v="2025-03-04T00:00:00"/>
    <s v="Bosch"/>
    <s v="Manufacturing"/>
    <s v="Germany"/>
    <s v="Jebel Ali"/>
    <s v="Nhava Sheva"/>
    <x v="0"/>
    <s v="CMA CGM Jacques Saadé"/>
    <s v="High Cube"/>
    <n v="1"/>
    <s v="Electronics"/>
    <n v="39394.980000000003"/>
    <n v="7137.51"/>
    <n v="2942.5"/>
    <n v="1150.5"/>
    <n v="393.95"/>
    <n v="471.96"/>
    <n v="1641.81"/>
    <n v="25656.75"/>
    <n v="12"/>
    <s v="Weather"/>
    <n v="59.48"/>
    <s v="Delayed"/>
    <s v="Paid"/>
    <s v="Standard"/>
    <s v="L. Chen"/>
    <s v="Middle East"/>
    <d v="2025-02-01T00:00:00"/>
    <x v="5"/>
  </r>
  <r>
    <x v="403"/>
    <s v="BK50485"/>
    <d v="2025-09-18T00:00:00"/>
    <d v="2025-09-20T00:00:00"/>
    <d v="2025-10-17T00:00:00"/>
    <s v="Toyota"/>
    <s v="Automotive"/>
    <s v="Japan"/>
    <s v="Los Angeles"/>
    <s v="Jebel Ali"/>
    <x v="2"/>
    <s v="Madrid Maersk"/>
    <s v="40FT"/>
    <n v="1"/>
    <s v="Textiles"/>
    <n v="39489.51"/>
    <n v="9461.0499999999993"/>
    <n v="1937.96"/>
    <n v="840.69"/>
    <n v="394.9"/>
    <n v="605.1"/>
    <n v="444.97"/>
    <n v="25804.84"/>
    <n v="24"/>
    <s v="Weather"/>
    <n v="78.84"/>
    <s v="Delayed"/>
    <s v="Paid"/>
    <s v="Critical"/>
    <s v="L. Chen"/>
    <s v="North America"/>
    <d v="2025-09-01T00:00:00"/>
    <x v="2"/>
  </r>
  <r>
    <x v="404"/>
    <s v="BK50342"/>
    <d v="2025-06-27T00:00:00"/>
    <d v="2025-06-30T00:00:00"/>
    <d v="2025-07-27T00:00:00"/>
    <s v="Samsung"/>
    <s v="Electronics"/>
    <s v="South Korea"/>
    <s v="Los Angeles"/>
    <s v="Nhava Sheva"/>
    <x v="2"/>
    <s v="Mumbai Maersk"/>
    <s v="40FT"/>
    <n v="2"/>
    <s v="Textiles"/>
    <n v="39530.57"/>
    <n v="8079.28"/>
    <n v="1716.76"/>
    <n v="990.49"/>
    <n v="395.31"/>
    <n v="305.33999999999997"/>
    <n v="348.15"/>
    <n v="27695.24"/>
    <n v="4"/>
    <s v="Port Congestion"/>
    <n v="67.33"/>
    <s v="Delayed"/>
    <s v="Paid"/>
    <s v="High"/>
    <s v="R. Mehta"/>
    <s v="Europe"/>
    <d v="2025-06-01T00:00:00"/>
    <x v="2"/>
  </r>
  <r>
    <x v="405"/>
    <s v="BK50508"/>
    <d v="2025-09-04T00:00:00"/>
    <d v="2025-09-07T00:00:00"/>
    <d v="2025-10-04T00:00:00"/>
    <s v="Bosch"/>
    <s v="Manufacturing"/>
    <s v="Germany"/>
    <s v="Singapore"/>
    <s v="Rotterdam"/>
    <x v="1"/>
    <s v="Mumbai Maersk"/>
    <s v="40FT"/>
    <n v="2"/>
    <s v="Auto Parts"/>
    <n v="39687.519999999997"/>
    <n v="10502.55"/>
    <n v="2823.15"/>
    <n v="696.59"/>
    <n v="396.88"/>
    <n v="410.42"/>
    <n v="1816.04"/>
    <n v="23041.89"/>
    <n v="24"/>
    <s v="Customs"/>
    <n v="87.52"/>
    <s v="Delayed"/>
    <s v="Pending"/>
    <s v="High"/>
    <s v="J. Smith"/>
    <s v="Asia"/>
    <d v="2025-09-01T00:00:00"/>
    <x v="2"/>
  </r>
  <r>
    <x v="406"/>
    <s v="BK50671"/>
    <d v="2025-06-09T00:00:00"/>
    <d v="2025-06-13T00:00:00"/>
    <d v="2025-07-05T00:00:00"/>
    <s v="Amazon"/>
    <s v="E-commerce"/>
    <s v="USA"/>
    <s v="Jebel Ali"/>
    <s v="Nhava Sheva"/>
    <x v="0"/>
    <s v="Ever Ace"/>
    <s v="Reefer"/>
    <n v="4"/>
    <s v="Electronics"/>
    <n v="39732.47"/>
    <n v="7686.12"/>
    <n v="2227.3000000000002"/>
    <n v="795.94"/>
    <n v="397.32"/>
    <n v="248.45"/>
    <n v="2439.37"/>
    <n v="25937.97"/>
    <n v="8"/>
    <s v="Weather"/>
    <n v="64.05"/>
    <s v="Delayed"/>
    <s v="Paid"/>
    <s v="Critical"/>
    <s v="L. Chen"/>
    <s v="Middle East"/>
    <d v="2025-06-01T00:00:00"/>
    <x v="4"/>
  </r>
  <r>
    <x v="407"/>
    <s v="BK50325"/>
    <d v="2025-08-05T00:00:00"/>
    <d v="2025-08-06T00:00:00"/>
    <d v="2025-08-19T00:00:00"/>
    <s v="Adidas"/>
    <s v="Retail"/>
    <s v="Germany"/>
    <s v="Shanghai"/>
    <s v="Rotterdam"/>
    <x v="1"/>
    <s v="CMA CGM Jacques Saadé"/>
    <s v="Reefer"/>
    <n v="1"/>
    <s v="Food"/>
    <n v="39776.410000000003"/>
    <n v="8466.7199999999993"/>
    <n v="2760.72"/>
    <n v="603.38"/>
    <n v="397.76"/>
    <n v="651.30999999999995"/>
    <n v="1608.54"/>
    <n v="25287.98"/>
    <n v="48"/>
    <s v="Labor Strike"/>
    <n v="70.56"/>
    <s v="Delayed"/>
    <s v="Pending"/>
    <s v="High"/>
    <s v="L. Chen"/>
    <s v="North America"/>
    <d v="2025-08-01T00:00:00"/>
    <x v="13"/>
  </r>
  <r>
    <x v="408"/>
    <s v="BK50764"/>
    <d v="2025-02-23T00:00:00"/>
    <d v="2025-02-26T00:00:00"/>
    <d v="2025-03-10T00:00:00"/>
    <s v="LG"/>
    <s v="Electronics"/>
    <s v="South Korea"/>
    <s v="Singapore"/>
    <s v="Rotterdam"/>
    <x v="1"/>
    <s v="OOCL Hong Kong"/>
    <s v="High Cube"/>
    <n v="2"/>
    <s v="Machinery"/>
    <n v="39803.43"/>
    <n v="9807.73"/>
    <n v="2642.97"/>
    <n v="466.19"/>
    <n v="398.03"/>
    <n v="285.26"/>
    <n v="943.19"/>
    <n v="25260.06"/>
    <n v="12"/>
    <s v="Weather"/>
    <n v="81.73"/>
    <s v="Delayed"/>
    <s v="Pending"/>
    <s v="Critical"/>
    <s v="M. Ahmed"/>
    <s v="Europe"/>
    <d v="2025-02-01T00:00:00"/>
    <x v="12"/>
  </r>
  <r>
    <x v="409"/>
    <s v="BK50889"/>
    <d v="2025-12-08T00:00:00"/>
    <d v="2025-12-11T00:00:00"/>
    <d v="2026-01-02T00:00:00"/>
    <s v="LG"/>
    <s v="Electronics"/>
    <s v="South Korea"/>
    <s v="Busan"/>
    <s v="Los Angeles"/>
    <x v="3"/>
    <s v="Madrid Maersk"/>
    <s v="High Cube"/>
    <n v="2"/>
    <s v="Machinery"/>
    <n v="39997.64"/>
    <n v="11083.92"/>
    <n v="2392.39"/>
    <n v="682.76"/>
    <n v="399.98"/>
    <n v="119.24"/>
    <n v="2496.9899999999998"/>
    <n v="22822.36"/>
    <n v="0"/>
    <s v="None"/>
    <n v="92.37"/>
    <s v="Completed"/>
    <s v="Paid"/>
    <s v="Critical"/>
    <s v="M. Ahmed"/>
    <s v="Asia"/>
    <d v="2025-12-01T00:00:00"/>
    <x v="4"/>
  </r>
  <r>
    <x v="410"/>
    <s v="BK50966"/>
    <d v="2025-08-16T00:00:00"/>
    <d v="2025-08-17T00:00:00"/>
    <d v="2025-08-31T00:00:00"/>
    <s v="IKEA"/>
    <s v="Retail"/>
    <s v="Sweden"/>
    <s v="Shanghai"/>
    <s v="Rotterdam"/>
    <x v="1"/>
    <s v="OOCL Hong Kong"/>
    <s v="40FT"/>
    <n v="4"/>
    <s v="Furniture"/>
    <n v="40005.29"/>
    <n v="8735.94"/>
    <n v="1819.36"/>
    <n v="935.7"/>
    <n v="400.05"/>
    <n v="232.31"/>
    <n v="687.51"/>
    <n v="27194.42"/>
    <n v="0"/>
    <s v="None"/>
    <n v="72.8"/>
    <s v="Completed"/>
    <s v="Pending"/>
    <s v="Standard"/>
    <s v="R. Mehta"/>
    <s v="Asia"/>
    <d v="2025-08-01T00:00:00"/>
    <x v="1"/>
  </r>
  <r>
    <x v="411"/>
    <s v="BK50277"/>
    <d v="2025-03-28T00:00:00"/>
    <d v="2025-03-31T00:00:00"/>
    <d v="2025-04-28T00:00:00"/>
    <s v="Unilever"/>
    <s v="FMCG"/>
    <s v="UK"/>
    <s v="Jebel Ali"/>
    <s v="Nhava Sheva"/>
    <x v="0"/>
    <s v="Mary Maersk"/>
    <s v="20FT"/>
    <n v="2"/>
    <s v="Furniture"/>
    <n v="40157.08"/>
    <n v="8599.4"/>
    <n v="2762.53"/>
    <n v="944.79"/>
    <n v="401.57"/>
    <n v="521.1"/>
    <n v="923.36"/>
    <n v="26004.33"/>
    <n v="12"/>
    <s v="Port Congestion"/>
    <n v="71.66"/>
    <s v="Delayed"/>
    <s v="Pending"/>
    <s v="Standard"/>
    <s v="M. Ahmed"/>
    <s v="Asia"/>
    <d v="2025-03-01T00:00:00"/>
    <x v="17"/>
  </r>
  <r>
    <x v="412"/>
    <s v="BK50423"/>
    <d v="2025-11-07T00:00:00"/>
    <d v="2025-11-10T00:00:00"/>
    <d v="2025-11-25T00:00:00"/>
    <s v="Reliance"/>
    <s v="Retail"/>
    <s v="India"/>
    <s v="Hamburg"/>
    <s v="New York"/>
    <x v="2"/>
    <s v="Mary Maersk"/>
    <s v="40FT"/>
    <n v="1"/>
    <s v="Furniture"/>
    <n v="40268.01"/>
    <n v="10690.03"/>
    <n v="2213.94"/>
    <n v="475.16"/>
    <n v="402.68"/>
    <n v="252.2"/>
    <n v="680.67"/>
    <n v="25553.33"/>
    <n v="0"/>
    <s v="None"/>
    <n v="89.08"/>
    <s v="Completed"/>
    <s v="Pending"/>
    <s v="Critical"/>
    <s v="R. Mehta"/>
    <s v="Asia"/>
    <d v="2025-11-01T00:00:00"/>
    <x v="6"/>
  </r>
  <r>
    <x v="413"/>
    <s v="BK50480"/>
    <d v="2025-06-15T00:00:00"/>
    <d v="2025-06-18T00:00:00"/>
    <d v="2025-06-30T00:00:00"/>
    <s v="Nestlé"/>
    <s v="Food"/>
    <s v="Switzerland"/>
    <s v="Singapore"/>
    <s v="Rotterdam"/>
    <x v="1"/>
    <s v="OOCL Hong Kong"/>
    <s v="40FT"/>
    <n v="2"/>
    <s v="Textiles"/>
    <n v="40432.980000000003"/>
    <n v="11237.48"/>
    <n v="2556.62"/>
    <n v="443.34"/>
    <n v="404.33"/>
    <n v="214.59"/>
    <n v="692.65"/>
    <n v="24883.97"/>
    <n v="0"/>
    <s v="None"/>
    <n v="93.65"/>
    <s v="Completed"/>
    <s v="Paid"/>
    <s v="Standard"/>
    <s v="J. Smith"/>
    <s v="Europe"/>
    <d v="2025-06-01T00:00:00"/>
    <x v="12"/>
  </r>
  <r>
    <x v="414"/>
    <s v="BK50992"/>
    <d v="2025-09-26T00:00:00"/>
    <d v="2025-09-29T00:00:00"/>
    <d v="2025-10-24T00:00:00"/>
    <s v="LG"/>
    <s v="Electronics"/>
    <s v="South Korea"/>
    <s v="Hamburg"/>
    <s v="Shanghai"/>
    <x v="2"/>
    <s v="CMA CGM Jacques Saadé"/>
    <s v="High Cube"/>
    <n v="1"/>
    <s v="Auto Parts"/>
    <n v="40537.300000000003"/>
    <n v="7679.41"/>
    <n v="2557.87"/>
    <n v="916.21"/>
    <n v="405.37"/>
    <n v="315.67"/>
    <n v="1192.54"/>
    <n v="27470.23"/>
    <n v="24"/>
    <s v="Weather"/>
    <n v="64"/>
    <s v="Delayed"/>
    <s v="Pending"/>
    <s v="High"/>
    <s v="R. Mehta"/>
    <s v="Asia"/>
    <d v="2025-09-01T00:00:00"/>
    <x v="10"/>
  </r>
  <r>
    <x v="415"/>
    <s v="BK50712"/>
    <d v="2025-02-10T00:00:00"/>
    <d v="2025-02-11T00:00:00"/>
    <d v="2025-03-07T00:00:00"/>
    <s v="LG"/>
    <s v="Electronics"/>
    <s v="South Korea"/>
    <s v="Shanghai"/>
    <s v="Rotterdam"/>
    <x v="1"/>
    <s v="Monaco Maersk"/>
    <s v="High Cube"/>
    <n v="2"/>
    <s v="Chemicals"/>
    <n v="40616.410000000003"/>
    <n v="10161.209999999999"/>
    <n v="1707.32"/>
    <n v="931.68"/>
    <n v="406.16"/>
    <n v="538.83000000000004"/>
    <n v="2290.4"/>
    <n v="24580.81"/>
    <n v="4"/>
    <s v="Mechanical"/>
    <n v="84.68"/>
    <s v="Delayed"/>
    <s v="Paid"/>
    <s v="High"/>
    <s v="J. Smith"/>
    <s v="North America"/>
    <d v="2025-02-01T00:00:00"/>
    <x v="8"/>
  </r>
  <r>
    <x v="416"/>
    <s v="BK50271"/>
    <d v="2025-02-09T00:00:00"/>
    <d v="2025-02-10T00:00:00"/>
    <d v="2025-02-28T00:00:00"/>
    <s v="Bosch"/>
    <s v="Manufacturing"/>
    <s v="Germany"/>
    <s v="Singapore"/>
    <s v="Colombo"/>
    <x v="2"/>
    <s v="Mumbai Maersk"/>
    <s v="Reefer"/>
    <n v="2"/>
    <s v="Furniture"/>
    <n v="40626.949999999997"/>
    <n v="7120.86"/>
    <n v="1853.56"/>
    <n v="994.53"/>
    <n v="406.27"/>
    <n v="738.73"/>
    <n v="738.12"/>
    <n v="28774.880000000001"/>
    <n v="0"/>
    <s v="None"/>
    <n v="59.34"/>
    <s v="Completed"/>
    <s v="Pending"/>
    <s v="Standard"/>
    <s v="R. Mehta"/>
    <s v="Asia"/>
    <d v="2025-02-01T00:00:00"/>
    <x v="14"/>
  </r>
  <r>
    <x v="417"/>
    <s v="BK50222"/>
    <d v="2025-07-01T00:00:00"/>
    <d v="2025-07-03T00:00:00"/>
    <d v="2025-07-20T00:00:00"/>
    <s v="Siemens"/>
    <s v="Engineering"/>
    <s v="Germany"/>
    <s v="Jebel Ali"/>
    <s v="Nhava Sheva"/>
    <x v="0"/>
    <s v="OOCL Hong Kong"/>
    <s v="High Cube"/>
    <n v="1"/>
    <s v="Food"/>
    <n v="40658.58"/>
    <n v="12046.23"/>
    <n v="2598.5100000000002"/>
    <n v="518.89"/>
    <n v="406.59"/>
    <n v="420.22"/>
    <n v="1024.55"/>
    <n v="23643.59"/>
    <n v="24"/>
    <s v="Mechanical"/>
    <n v="100.39"/>
    <s v="Delayed"/>
    <s v="Pending"/>
    <s v="High"/>
    <s v="A. Tan"/>
    <s v="North America"/>
    <d v="2025-07-01T00:00:00"/>
    <x v="18"/>
  </r>
  <r>
    <x v="418"/>
    <s v="BK50737"/>
    <d v="2025-10-30T00:00:00"/>
    <d v="2025-10-31T00:00:00"/>
    <d v="2025-11-14T00:00:00"/>
    <s v="Bosch"/>
    <s v="Manufacturing"/>
    <s v="Germany"/>
    <s v="Jebel Ali"/>
    <s v="Nhava Sheva"/>
    <x v="0"/>
    <s v="Mary Maersk"/>
    <s v="40FT"/>
    <n v="4"/>
    <s v="Electronics"/>
    <n v="40909.07"/>
    <n v="8697.34"/>
    <n v="1996.64"/>
    <n v="866.73"/>
    <n v="409.09"/>
    <n v="834.98"/>
    <n v="1320.8"/>
    <n v="26783.49"/>
    <n v="0"/>
    <s v="None"/>
    <n v="72.48"/>
    <s v="Completed"/>
    <s v="Pending"/>
    <s v="Critical"/>
    <s v="M. Ahmed"/>
    <s v="North America"/>
    <d v="2025-10-01T00:00:00"/>
    <x v="1"/>
  </r>
  <r>
    <x v="419"/>
    <s v="BK50010"/>
    <d v="2025-08-14T00:00:00"/>
    <d v="2025-08-17T00:00:00"/>
    <d v="2025-09-14T00:00:00"/>
    <s v="LG"/>
    <s v="Electronics"/>
    <s v="South Korea"/>
    <s v="Colombo"/>
    <s v="Hamburg"/>
    <x v="2"/>
    <s v="CMA CGM Jacques Saadé"/>
    <s v="20FT"/>
    <n v="1"/>
    <s v="Furniture"/>
    <n v="40914.449999999997"/>
    <n v="8449.39"/>
    <n v="2618.9299999999998"/>
    <n v="1189.95"/>
    <n v="409.14"/>
    <n v="668.72"/>
    <n v="1180.77"/>
    <n v="26397.55"/>
    <n v="48"/>
    <s v="Port Congestion"/>
    <n v="70.41"/>
    <s v="Delayed"/>
    <s v="Paid"/>
    <s v="Critical"/>
    <s v="L. Chen"/>
    <s v="Middle East"/>
    <d v="2025-08-01T00:00:00"/>
    <x v="17"/>
  </r>
  <r>
    <x v="420"/>
    <s v="BK50196"/>
    <d v="2025-11-24T00:00:00"/>
    <d v="2025-11-26T00:00:00"/>
    <d v="2025-12-25T00:00:00"/>
    <s v="Toyota"/>
    <s v="Automotive"/>
    <s v="Japan"/>
    <s v="Singapore"/>
    <s v="Rotterdam"/>
    <x v="1"/>
    <s v="Mumbai Maersk"/>
    <s v="Reefer"/>
    <n v="1"/>
    <s v="Machinery"/>
    <n v="40927.279999999999"/>
    <n v="9969.01"/>
    <n v="2544.38"/>
    <n v="579.88"/>
    <n v="409.27"/>
    <n v="418.64"/>
    <n v="2222.37"/>
    <n v="24783.73"/>
    <n v="24"/>
    <s v="Labor Strike"/>
    <n v="83.08"/>
    <s v="Delayed"/>
    <s v="Pending"/>
    <s v="Critical"/>
    <s v="A. Tan"/>
    <s v="Asia"/>
    <d v="2025-11-01T00:00:00"/>
    <x v="20"/>
  </r>
  <r>
    <x v="421"/>
    <s v="BK50724"/>
    <d v="2025-02-17T00:00:00"/>
    <d v="2025-02-21T00:00:00"/>
    <d v="2025-03-08T00:00:00"/>
    <s v="LG"/>
    <s v="Electronics"/>
    <s v="South Korea"/>
    <s v="Shanghai"/>
    <s v="Rotterdam"/>
    <x v="1"/>
    <s v="Mumbai Maersk"/>
    <s v="20FT"/>
    <n v="1"/>
    <s v="Electronics"/>
    <n v="41145.769999999997"/>
    <n v="8964.15"/>
    <n v="1965.07"/>
    <n v="806.59"/>
    <n v="411.46"/>
    <n v="193.46"/>
    <n v="1863.12"/>
    <n v="26941.919999999998"/>
    <n v="48"/>
    <s v="Labor Strike"/>
    <n v="74.7"/>
    <s v="Delayed"/>
    <s v="Pending"/>
    <s v="High"/>
    <s v="J. Smith"/>
    <s v="Europe"/>
    <d v="2025-02-01T00:00:00"/>
    <x v="6"/>
  </r>
  <r>
    <x v="422"/>
    <s v="BK50252"/>
    <d v="2025-07-07T00:00:00"/>
    <d v="2025-07-09T00:00:00"/>
    <d v="2025-07-24T00:00:00"/>
    <s v="Adidas"/>
    <s v="Retail"/>
    <s v="Germany"/>
    <s v="New York"/>
    <s v="Colombo"/>
    <x v="2"/>
    <s v="Ever Ace"/>
    <s v="Reefer"/>
    <n v="1"/>
    <s v="Electronics"/>
    <n v="41187.370000000003"/>
    <n v="7483.3"/>
    <n v="2398.61"/>
    <n v="507.2"/>
    <n v="411.87"/>
    <n v="804.16"/>
    <n v="1631.05"/>
    <n v="27951.18"/>
    <n v="48"/>
    <s v="Port Congestion"/>
    <n v="62.36"/>
    <s v="Delayed"/>
    <s v="Paid"/>
    <s v="Standard"/>
    <s v="M. Ahmed"/>
    <s v="Asia"/>
    <d v="2025-07-01T00:00:00"/>
    <x v="6"/>
  </r>
  <r>
    <x v="423"/>
    <s v="BK50927"/>
    <d v="2025-03-24T00:00:00"/>
    <d v="2025-03-27T00:00:00"/>
    <d v="2025-04-12T00:00:00"/>
    <s v="Amazon"/>
    <s v="E-commerce"/>
    <s v="USA"/>
    <s v="Busan"/>
    <s v="Los Angeles"/>
    <x v="3"/>
    <s v="Ever Ace"/>
    <s v="Reefer"/>
    <n v="2"/>
    <s v="Machinery"/>
    <n v="41234.65"/>
    <n v="10123.540000000001"/>
    <n v="3143.04"/>
    <n v="1089.8699999999999"/>
    <n v="412.35"/>
    <n v="690.82"/>
    <n v="1883.04"/>
    <n v="23891.99"/>
    <n v="0"/>
    <s v="None"/>
    <n v="84.36"/>
    <s v="Completed"/>
    <s v="Pending"/>
    <s v="Standard"/>
    <s v="M. Ahmed"/>
    <s v="North America"/>
    <d v="2025-03-01T00:00:00"/>
    <x v="0"/>
  </r>
  <r>
    <x v="424"/>
    <s v="BK50154"/>
    <d v="2025-05-28T00:00:00"/>
    <d v="2025-05-29T00:00:00"/>
    <d v="2025-06-16T00:00:00"/>
    <s v="Nestlé"/>
    <s v="Food"/>
    <s v="Switzerland"/>
    <s v="Singapore"/>
    <s v="Rotterdam"/>
    <x v="1"/>
    <s v="Monaco Maersk"/>
    <s v="High Cube"/>
    <n v="1"/>
    <s v="Machinery"/>
    <n v="41269.730000000003"/>
    <n v="8256.1"/>
    <n v="1731.39"/>
    <n v="1139.17"/>
    <n v="412.7"/>
    <n v="409.73"/>
    <n v="525.71"/>
    <n v="28794.93"/>
    <n v="8"/>
    <s v="Port Congestion"/>
    <n v="68.8"/>
    <s v="Delayed"/>
    <s v="Paid"/>
    <s v="High"/>
    <s v="M. Ahmed"/>
    <s v="Middle East"/>
    <d v="2025-05-01T00:00:00"/>
    <x v="14"/>
  </r>
  <r>
    <x v="425"/>
    <s v="BK50736"/>
    <d v="2025-05-02T00:00:00"/>
    <d v="2025-05-06T00:00:00"/>
    <d v="2025-06-03T00:00:00"/>
    <s v="LG"/>
    <s v="Electronics"/>
    <s v="South Korea"/>
    <s v="Singapore"/>
    <s v="Rotterdam"/>
    <x v="1"/>
    <s v="Monaco Maersk"/>
    <s v="Reefer"/>
    <n v="2"/>
    <s v="Chemicals"/>
    <n v="41362.46"/>
    <n v="10677.81"/>
    <n v="2541.34"/>
    <n v="1016.81"/>
    <n v="413.62"/>
    <n v="140.6"/>
    <n v="546.69000000000005"/>
    <n v="26025.59"/>
    <n v="4"/>
    <s v="Customs"/>
    <n v="88.98"/>
    <s v="Delayed"/>
    <s v="Paid"/>
    <s v="Critical"/>
    <s v="L. Chen"/>
    <s v="Europe"/>
    <d v="2025-05-01T00:00:00"/>
    <x v="17"/>
  </r>
  <r>
    <x v="426"/>
    <s v="BK50321"/>
    <d v="2025-01-21T00:00:00"/>
    <d v="2025-01-23T00:00:00"/>
    <d v="2025-02-07T00:00:00"/>
    <s v="Siemens"/>
    <s v="Engineering"/>
    <s v="Germany"/>
    <s v="Singapore"/>
    <s v="Rotterdam"/>
    <x v="1"/>
    <s v="CMA CGM Jacques Saadé"/>
    <s v="20FT"/>
    <n v="1"/>
    <s v="Machinery"/>
    <n v="41448.75"/>
    <n v="12203.35"/>
    <n v="2637.66"/>
    <n v="1190.0999999999999"/>
    <n v="414.49"/>
    <n v="197"/>
    <n v="1140.6400000000001"/>
    <n v="23665.51"/>
    <n v="0"/>
    <s v="None"/>
    <n v="101.69"/>
    <s v="Completed"/>
    <s v="Paid"/>
    <s v="Critical"/>
    <s v="L. Chen"/>
    <s v="Middle East"/>
    <d v="2025-01-01T00:00:00"/>
    <x v="6"/>
  </r>
  <r>
    <x v="427"/>
    <s v="BK50180"/>
    <d v="2025-06-25T00:00:00"/>
    <d v="2025-06-28T00:00:00"/>
    <d v="2025-07-26T00:00:00"/>
    <s v="Siemens"/>
    <s v="Engineering"/>
    <s v="Germany"/>
    <s v="Shanghai"/>
    <s v="Rotterdam"/>
    <x v="1"/>
    <s v="Monaco Maersk"/>
    <s v="High Cube"/>
    <n v="2"/>
    <s v="Auto Parts"/>
    <n v="41520.68"/>
    <n v="10068.89"/>
    <n v="2968.28"/>
    <n v="1000.78"/>
    <n v="415.21"/>
    <n v="680"/>
    <n v="2438.0300000000002"/>
    <n v="23949.49"/>
    <n v="12"/>
    <s v="Labor Strike"/>
    <n v="83.91"/>
    <s v="Delayed"/>
    <s v="Paid"/>
    <s v="Standard"/>
    <s v="M. Ahmed"/>
    <s v="North America"/>
    <d v="2025-06-01T00:00:00"/>
    <x v="17"/>
  </r>
  <r>
    <x v="428"/>
    <s v="BK50133"/>
    <d v="2025-04-26T00:00:00"/>
    <d v="2025-04-29T00:00:00"/>
    <d v="2025-05-15T00:00:00"/>
    <s v="IKEA"/>
    <s v="Retail"/>
    <s v="Sweden"/>
    <s v="Colombo"/>
    <s v="Singapore"/>
    <x v="4"/>
    <s v="Mary Maersk"/>
    <s v="40FT"/>
    <n v="2"/>
    <s v="Textiles"/>
    <n v="41548.730000000003"/>
    <n v="11902.47"/>
    <n v="2179.94"/>
    <n v="515.34"/>
    <n v="415.49"/>
    <n v="490.72"/>
    <n v="1945.52"/>
    <n v="24099.25"/>
    <n v="0"/>
    <s v="None"/>
    <n v="99.19"/>
    <s v="Completed"/>
    <s v="Paid"/>
    <s v="High"/>
    <s v="A. Tan"/>
    <s v="Asia"/>
    <d v="2025-04-01T00:00:00"/>
    <x v="0"/>
  </r>
  <r>
    <x v="429"/>
    <s v="BK50956"/>
    <d v="2025-03-04T00:00:00"/>
    <d v="2025-03-06T00:00:00"/>
    <d v="2025-03-21T00:00:00"/>
    <s v="IKEA"/>
    <s v="Retail"/>
    <s v="Sweden"/>
    <s v="Colombo"/>
    <s v="Singapore"/>
    <x v="4"/>
    <s v="CMA CGM Jacques Saadé"/>
    <s v="40FT"/>
    <n v="1"/>
    <s v="Chemicals"/>
    <n v="41576.53"/>
    <n v="12401.23"/>
    <n v="1744.31"/>
    <n v="896.6"/>
    <n v="415.77"/>
    <n v="323.85000000000002"/>
    <n v="458.55"/>
    <n v="25336.22"/>
    <n v="0"/>
    <s v="None"/>
    <n v="103.34"/>
    <s v="Completed"/>
    <s v="Paid"/>
    <s v="High"/>
    <s v="M. Ahmed"/>
    <s v="Europe"/>
    <d v="2025-03-01T00:00:00"/>
    <x v="6"/>
  </r>
  <r>
    <x v="430"/>
    <s v="BK50322"/>
    <d v="2025-10-10T00:00:00"/>
    <d v="2025-10-11T00:00:00"/>
    <d v="2025-11-01T00:00:00"/>
    <s v="Nestlé"/>
    <s v="Food"/>
    <s v="Switzerland"/>
    <s v="Jebel Ali"/>
    <s v="Nhava Sheva"/>
    <x v="0"/>
    <s v="Madrid Maersk"/>
    <s v="Reefer"/>
    <n v="2"/>
    <s v="Machinery"/>
    <n v="41669.71"/>
    <n v="11042.03"/>
    <n v="2934.94"/>
    <n v="490.67"/>
    <n v="416.7"/>
    <n v="326.02999999999997"/>
    <n v="1363.75"/>
    <n v="25095.59"/>
    <n v="12"/>
    <s v="Labor Strike"/>
    <n v="92.02"/>
    <s v="Delayed"/>
    <s v="Pending"/>
    <s v="High"/>
    <s v="M. Ahmed"/>
    <s v="Asia"/>
    <d v="2025-10-01T00:00:00"/>
    <x v="9"/>
  </r>
  <r>
    <x v="431"/>
    <s v="BK50186"/>
    <d v="2025-05-07T00:00:00"/>
    <d v="2025-05-09T00:00:00"/>
    <d v="2025-05-23T00:00:00"/>
    <s v="Bosch"/>
    <s v="Manufacturing"/>
    <s v="Germany"/>
    <s v="Jebel Ali"/>
    <s v="Nhava Sheva"/>
    <x v="0"/>
    <s v="Mary Maersk"/>
    <s v="20FT"/>
    <n v="2"/>
    <s v="Chemicals"/>
    <n v="41815.440000000002"/>
    <n v="10021.969999999999"/>
    <n v="1762.69"/>
    <n v="595.32000000000005"/>
    <n v="418.15"/>
    <n v="197.88"/>
    <n v="1356.92"/>
    <n v="27462.51"/>
    <n v="24"/>
    <s v="Customs"/>
    <n v="83.52"/>
    <s v="Delayed"/>
    <s v="Paid"/>
    <s v="High"/>
    <s v="L. Chen"/>
    <s v="North America"/>
    <d v="2025-05-01T00:00:00"/>
    <x v="1"/>
  </r>
  <r>
    <x v="432"/>
    <s v="BK50504"/>
    <d v="2025-02-09T00:00:00"/>
    <d v="2025-02-13T00:00:00"/>
    <d v="2025-03-09T00:00:00"/>
    <s v="Toyota"/>
    <s v="Automotive"/>
    <s v="Japan"/>
    <s v="Shanghai"/>
    <s v="Shanghai"/>
    <x v="2"/>
    <s v="OOCL Hong Kong"/>
    <s v="20FT"/>
    <n v="1"/>
    <s v="Chemicals"/>
    <n v="41907.74"/>
    <n v="10323.35"/>
    <n v="2886.49"/>
    <n v="1077"/>
    <n v="419.08"/>
    <n v="336.51"/>
    <n v="658.42"/>
    <n v="26206.89"/>
    <n v="36"/>
    <s v="Labor Strike"/>
    <n v="86.03"/>
    <s v="Delayed"/>
    <s v="Paid"/>
    <s v="High"/>
    <s v="L. Chen"/>
    <s v="Asia"/>
    <d v="2025-02-01T00:00:00"/>
    <x v="8"/>
  </r>
  <r>
    <x v="433"/>
    <s v="BK50289"/>
    <d v="2025-10-14T00:00:00"/>
    <d v="2025-10-17T00:00:00"/>
    <d v="2025-11-04T00:00:00"/>
    <s v="Bosch"/>
    <s v="Manufacturing"/>
    <s v="Germany"/>
    <s v="Busan"/>
    <s v="Los Angeles"/>
    <x v="3"/>
    <s v="Mary Maersk"/>
    <s v="High Cube"/>
    <n v="2"/>
    <s v="Chemicals"/>
    <n v="41962.06"/>
    <n v="12578.66"/>
    <n v="3154.97"/>
    <n v="1151.8599999999999"/>
    <n v="419.62"/>
    <n v="152.52000000000001"/>
    <n v="887.6"/>
    <n v="23616.83"/>
    <n v="4"/>
    <s v="Mechanical"/>
    <n v="104.82"/>
    <s v="Delayed"/>
    <s v="Paid"/>
    <s v="High"/>
    <s v="M. Ahmed"/>
    <s v="Europe"/>
    <d v="2025-10-01T00:00:00"/>
    <x v="14"/>
  </r>
  <r>
    <x v="434"/>
    <s v="BK50239"/>
    <d v="2025-03-05T00:00:00"/>
    <d v="2025-03-09T00:00:00"/>
    <d v="2025-03-28T00:00:00"/>
    <s v="Adidas"/>
    <s v="Retail"/>
    <s v="Germany"/>
    <s v="Singapore"/>
    <s v="Rotterdam"/>
    <x v="1"/>
    <s v="Monaco Maersk"/>
    <s v="40FT"/>
    <n v="1"/>
    <s v="Chemicals"/>
    <n v="41976.7"/>
    <n v="10265.49"/>
    <n v="3013.95"/>
    <n v="955.66"/>
    <n v="419.77"/>
    <n v="579.9"/>
    <n v="1075.33"/>
    <n v="25666.6"/>
    <n v="0"/>
    <s v="None"/>
    <n v="85.55"/>
    <s v="Completed"/>
    <s v="Pending"/>
    <s v="Critical"/>
    <s v="A. Tan"/>
    <s v="Asia"/>
    <d v="2025-03-01T00:00:00"/>
    <x v="11"/>
  </r>
  <r>
    <x v="435"/>
    <s v="BK50783"/>
    <d v="2025-08-09T00:00:00"/>
    <d v="2025-08-12T00:00:00"/>
    <d v="2025-09-08T00:00:00"/>
    <s v="Bosch"/>
    <s v="Manufacturing"/>
    <s v="Germany"/>
    <s v="Colombo"/>
    <s v="Singapore"/>
    <x v="4"/>
    <s v="Monaco Maersk"/>
    <s v="20FT"/>
    <n v="2"/>
    <s v="Electronics"/>
    <n v="42039.17"/>
    <n v="11024.39"/>
    <n v="2642.36"/>
    <n v="1139.6199999999999"/>
    <n v="420.39"/>
    <n v="373.16"/>
    <n v="334.88"/>
    <n v="26104.37"/>
    <n v="48"/>
    <s v="Customs"/>
    <n v="91.87"/>
    <s v="Delayed"/>
    <s v="Paid"/>
    <s v="Critical"/>
    <s v="M. Ahmed"/>
    <s v="Europe"/>
    <d v="2025-08-01T00:00:00"/>
    <x v="2"/>
  </r>
  <r>
    <x v="436"/>
    <s v="BK50688"/>
    <d v="2025-10-31T00:00:00"/>
    <d v="2025-11-02T00:00:00"/>
    <d v="2025-11-28T00:00:00"/>
    <s v="LG"/>
    <s v="Electronics"/>
    <s v="South Korea"/>
    <s v="Singapore"/>
    <s v="Rotterdam"/>
    <x v="1"/>
    <s v="Mary Maersk"/>
    <s v="High Cube"/>
    <n v="4"/>
    <s v="Machinery"/>
    <n v="42084.32"/>
    <n v="11869.12"/>
    <n v="2698.8"/>
    <n v="760.01"/>
    <n v="420.84"/>
    <n v="521.58000000000004"/>
    <n v="2204.6799999999998"/>
    <n v="23609.29"/>
    <n v="48"/>
    <s v="Port Congestion"/>
    <n v="98.91"/>
    <s v="Delayed"/>
    <s v="Pending"/>
    <s v="Critical"/>
    <s v="J. Smith"/>
    <s v="Middle East"/>
    <d v="2025-10-01T00:00:00"/>
    <x v="3"/>
  </r>
  <r>
    <x v="437"/>
    <s v="BK50450"/>
    <d v="2025-03-01T00:00:00"/>
    <d v="2025-03-05T00:00:00"/>
    <d v="2025-03-27T00:00:00"/>
    <s v="Pfizer"/>
    <s v="Pharma"/>
    <s v="USA"/>
    <s v="Colombo"/>
    <s v="Busan"/>
    <x v="2"/>
    <s v="Monaco Maersk"/>
    <s v="High Cube"/>
    <n v="2"/>
    <s v="Furniture"/>
    <n v="42088.81"/>
    <n v="8891.4699999999993"/>
    <n v="2302.52"/>
    <n v="669.4"/>
    <n v="420.89"/>
    <n v="190.44"/>
    <n v="894.98"/>
    <n v="28719.11"/>
    <n v="0"/>
    <s v="None"/>
    <n v="74.099999999999994"/>
    <s v="Completed"/>
    <s v="Pending"/>
    <s v="High"/>
    <s v="L. Chen"/>
    <s v="North America"/>
    <d v="2025-03-01T00:00:00"/>
    <x v="4"/>
  </r>
  <r>
    <x v="438"/>
    <s v="BK50241"/>
    <d v="2025-03-20T00:00:00"/>
    <d v="2025-03-23T00:00:00"/>
    <d v="2025-04-06T00:00:00"/>
    <s v="Unilever"/>
    <s v="FMCG"/>
    <s v="UK"/>
    <s v="Shanghai"/>
    <s v="Rotterdam"/>
    <x v="1"/>
    <s v="OOCL Hong Kong"/>
    <s v="High Cube"/>
    <n v="2"/>
    <s v="Furniture"/>
    <n v="42136.23"/>
    <n v="10412.64"/>
    <n v="2866.23"/>
    <n v="504.03"/>
    <n v="421.36"/>
    <n v="874.29"/>
    <n v="2352.4"/>
    <n v="24705.279999999999"/>
    <n v="24"/>
    <s v="Mechanical"/>
    <n v="86.77"/>
    <s v="Delayed"/>
    <s v="Pending"/>
    <s v="Critical"/>
    <s v="M. Ahmed"/>
    <s v="Middle East"/>
    <d v="2025-03-01T00:00:00"/>
    <x v="1"/>
  </r>
  <r>
    <x v="439"/>
    <s v="BK50403"/>
    <d v="2025-03-21T00:00:00"/>
    <d v="2025-03-25T00:00:00"/>
    <d v="2025-04-18T00:00:00"/>
    <s v="Reliance"/>
    <s v="Retail"/>
    <s v="India"/>
    <s v="Hamburg"/>
    <s v="New York"/>
    <x v="2"/>
    <s v="Mumbai Maersk"/>
    <s v="40FT"/>
    <n v="1"/>
    <s v="Machinery"/>
    <n v="42147.03"/>
    <n v="9777.07"/>
    <n v="2104.87"/>
    <n v="1233.44"/>
    <n v="421.47"/>
    <n v="667.67"/>
    <n v="870.19"/>
    <n v="27072.32"/>
    <n v="24"/>
    <s v="Port Congestion"/>
    <n v="81.48"/>
    <s v="Delayed"/>
    <s v="Pending"/>
    <s v="High"/>
    <s v="J. Smith"/>
    <s v="Middle East"/>
    <d v="2025-03-01T00:00:00"/>
    <x v="8"/>
  </r>
  <r>
    <x v="440"/>
    <s v="BK50593"/>
    <d v="2025-03-04T00:00:00"/>
    <d v="2025-03-05T00:00:00"/>
    <d v="2025-03-29T00:00:00"/>
    <s v="Adidas"/>
    <s v="Retail"/>
    <s v="Germany"/>
    <s v="Singapore"/>
    <s v="Rotterdam"/>
    <x v="1"/>
    <s v="Ever Ace"/>
    <s v="20FT"/>
    <n v="2"/>
    <s v="Textiles"/>
    <n v="42198.67"/>
    <n v="8186.36"/>
    <n v="1805.82"/>
    <n v="1121.1099999999999"/>
    <n v="421.99"/>
    <n v="403.97"/>
    <n v="413.19"/>
    <n v="29846.23"/>
    <n v="0"/>
    <s v="None"/>
    <n v="68.22"/>
    <s v="Completed"/>
    <s v="Paid"/>
    <s v="High"/>
    <s v="R. Mehta"/>
    <s v="North America"/>
    <d v="2025-03-01T00:00:00"/>
    <x v="8"/>
  </r>
  <r>
    <x v="441"/>
    <s v="BK50363"/>
    <d v="2025-02-06T00:00:00"/>
    <d v="2025-02-08T00:00:00"/>
    <d v="2025-03-08T00:00:00"/>
    <s v="Reliance"/>
    <s v="Retail"/>
    <s v="India"/>
    <s v="Colombo"/>
    <s v="Singapore"/>
    <x v="4"/>
    <s v="Ever Ace"/>
    <s v="40FT"/>
    <n v="2"/>
    <s v="Auto Parts"/>
    <n v="42220.47"/>
    <n v="11770.04"/>
    <n v="3097.33"/>
    <n v="684.16"/>
    <n v="422.2"/>
    <n v="151.53"/>
    <n v="1538.24"/>
    <n v="24556.97"/>
    <n v="36"/>
    <s v="Labor Strike"/>
    <n v="98.08"/>
    <s v="Delayed"/>
    <s v="Pending"/>
    <s v="High"/>
    <s v="M. Ahmed"/>
    <s v="Europe"/>
    <d v="2025-02-01T00:00:00"/>
    <x v="17"/>
  </r>
  <r>
    <x v="442"/>
    <s v="BK50749"/>
    <d v="2025-11-12T00:00:00"/>
    <d v="2025-11-13T00:00:00"/>
    <d v="2025-12-02T00:00:00"/>
    <s v="Adidas"/>
    <s v="Retail"/>
    <s v="Germany"/>
    <s v="Shanghai"/>
    <s v="Rotterdam"/>
    <x v="1"/>
    <s v="Madrid Maersk"/>
    <s v="20FT"/>
    <n v="2"/>
    <s v="Furniture"/>
    <n v="42228.63"/>
    <n v="12621.35"/>
    <n v="2153.69"/>
    <n v="1182.3599999999999"/>
    <n v="422.29"/>
    <n v="614.65"/>
    <n v="947.25"/>
    <n v="24287.040000000001"/>
    <n v="12"/>
    <s v="Customs"/>
    <n v="105.18"/>
    <s v="Delayed"/>
    <s v="Pending"/>
    <s v="Critical"/>
    <s v="L. Chen"/>
    <s v="Asia"/>
    <d v="2025-11-01T00:00:00"/>
    <x v="11"/>
  </r>
  <r>
    <x v="443"/>
    <s v="BK50227"/>
    <d v="2025-01-07T00:00:00"/>
    <d v="2025-01-11T00:00:00"/>
    <d v="2025-02-04T00:00:00"/>
    <s v="Pfizer"/>
    <s v="Pharma"/>
    <s v="USA"/>
    <s v="Busan"/>
    <s v="Los Angeles"/>
    <x v="3"/>
    <s v="Madrid Maersk"/>
    <s v="High Cube"/>
    <n v="4"/>
    <s v="Chemicals"/>
    <n v="42231.69"/>
    <n v="12386.92"/>
    <n v="2594.9"/>
    <n v="663.64"/>
    <n v="422.32"/>
    <n v="580.11"/>
    <n v="1894.72"/>
    <n v="23689.08"/>
    <n v="4"/>
    <s v="Mechanical"/>
    <n v="103.22"/>
    <s v="Delayed"/>
    <s v="Paid"/>
    <s v="Standard"/>
    <s v="M. Ahmed"/>
    <s v="Asia"/>
    <d v="2025-01-01T00:00:00"/>
    <x v="8"/>
  </r>
  <r>
    <x v="444"/>
    <s v="BK50071"/>
    <d v="2025-02-26T00:00:00"/>
    <d v="2025-02-27T00:00:00"/>
    <d v="2025-03-17T00:00:00"/>
    <s v="Adidas"/>
    <s v="Retail"/>
    <s v="Germany"/>
    <s v="Shanghai"/>
    <s v="Rotterdam"/>
    <x v="1"/>
    <s v="OOCL Hong Kong"/>
    <s v="Reefer"/>
    <n v="1"/>
    <s v="Textiles"/>
    <n v="42239.56"/>
    <n v="11949.01"/>
    <n v="3234.39"/>
    <n v="557.64"/>
    <n v="422.4"/>
    <n v="284.73"/>
    <n v="960.56"/>
    <n v="24830.83"/>
    <n v="0"/>
    <s v="None"/>
    <n v="99.58"/>
    <s v="Completed"/>
    <s v="Paid"/>
    <s v="Standard"/>
    <s v="J. Smith"/>
    <s v="North America"/>
    <d v="2025-02-01T00:00:00"/>
    <x v="14"/>
  </r>
  <r>
    <x v="445"/>
    <s v="BK50150"/>
    <d v="2025-05-21T00:00:00"/>
    <d v="2025-05-22T00:00:00"/>
    <d v="2025-06-19T00:00:00"/>
    <s v="Siemens"/>
    <s v="Engineering"/>
    <s v="Germany"/>
    <s v="Jebel Ali"/>
    <s v="Nhava Sheva"/>
    <x v="0"/>
    <s v="Ever Ace"/>
    <s v="40FT"/>
    <n v="1"/>
    <s v="Chemicals"/>
    <n v="42266.48"/>
    <n v="8666.4599999999991"/>
    <n v="2678.31"/>
    <n v="535.89"/>
    <n v="422.66"/>
    <n v="383.51"/>
    <n v="2099.62"/>
    <n v="27480.03"/>
    <n v="4"/>
    <s v="Weather"/>
    <n v="72.22"/>
    <s v="Delayed"/>
    <s v="Pending"/>
    <s v="High"/>
    <s v="J. Smith"/>
    <s v="North America"/>
    <d v="2025-05-01T00:00:00"/>
    <x v="17"/>
  </r>
  <r>
    <x v="446"/>
    <s v="BK50404"/>
    <d v="2025-12-09T00:00:00"/>
    <d v="2025-12-11T00:00:00"/>
    <d v="2025-12-23T00:00:00"/>
    <s v="Siemens"/>
    <s v="Engineering"/>
    <s v="Germany"/>
    <s v="Shanghai"/>
    <s v="Busan"/>
    <x v="2"/>
    <s v="Mary Maersk"/>
    <s v="40FT"/>
    <n v="1"/>
    <s v="Textiles"/>
    <n v="42360.94"/>
    <n v="11671.6"/>
    <n v="2932.56"/>
    <n v="530.21"/>
    <n v="423.61"/>
    <n v="567.03"/>
    <n v="2108.06"/>
    <n v="24127.87"/>
    <n v="48"/>
    <s v="Mechanical"/>
    <n v="97.26"/>
    <s v="Delayed"/>
    <s v="Paid"/>
    <s v="High"/>
    <s v="J. Smith"/>
    <s v="North America"/>
    <d v="2025-12-01T00:00:00"/>
    <x v="12"/>
  </r>
  <r>
    <x v="447"/>
    <s v="BK50365"/>
    <d v="2025-02-03T00:00:00"/>
    <d v="2025-02-06T00:00:00"/>
    <d v="2025-03-03T00:00:00"/>
    <s v="Nestlé"/>
    <s v="Food"/>
    <s v="Switzerland"/>
    <s v="Busan"/>
    <s v="Los Angeles"/>
    <x v="3"/>
    <s v="Monaco Maersk"/>
    <s v="20FT"/>
    <n v="4"/>
    <s v="Auto Parts"/>
    <n v="42383.23"/>
    <n v="7105.16"/>
    <n v="3082.51"/>
    <n v="565.48"/>
    <n v="423.83"/>
    <n v="268.58999999999997"/>
    <n v="2477.2600000000002"/>
    <n v="28460.400000000001"/>
    <n v="36"/>
    <s v="Weather"/>
    <n v="59.21"/>
    <s v="Delayed"/>
    <s v="Pending"/>
    <s v="Standard"/>
    <s v="M. Ahmed"/>
    <s v="North America"/>
    <d v="2025-02-01T00:00:00"/>
    <x v="10"/>
  </r>
  <r>
    <x v="448"/>
    <s v="BK50414"/>
    <d v="2025-08-21T00:00:00"/>
    <d v="2025-08-24T00:00:00"/>
    <d v="2025-09-21T00:00:00"/>
    <s v="Amazon"/>
    <s v="E-commerce"/>
    <s v="USA"/>
    <s v="Shanghai"/>
    <s v="Rotterdam"/>
    <x v="1"/>
    <s v="Mary Maersk"/>
    <s v="High Cube"/>
    <n v="2"/>
    <s v="Auto Parts"/>
    <n v="42387.839999999997"/>
    <n v="8401.5"/>
    <n v="2251.9699999999998"/>
    <n v="946.59"/>
    <n v="423.88"/>
    <n v="539.91999999999996"/>
    <n v="756.01"/>
    <n v="29067.97"/>
    <n v="0"/>
    <s v="None"/>
    <n v="70.010000000000005"/>
    <s v="Completed"/>
    <s v="Pending"/>
    <s v="Standard"/>
    <s v="L. Chen"/>
    <s v="Asia"/>
    <d v="2025-08-01T00:00:00"/>
    <x v="17"/>
  </r>
  <r>
    <x v="449"/>
    <s v="BK50629"/>
    <d v="2025-08-17T00:00:00"/>
    <d v="2025-08-20T00:00:00"/>
    <d v="2025-09-14T00:00:00"/>
    <s v="Nestlé"/>
    <s v="Food"/>
    <s v="Switzerland"/>
    <s v="Colombo"/>
    <s v="Singapore"/>
    <x v="4"/>
    <s v="Ever Ace"/>
    <s v="Reefer"/>
    <n v="1"/>
    <s v="Auto Parts"/>
    <n v="42605.2"/>
    <n v="8416.6299999999992"/>
    <n v="1847.34"/>
    <n v="1266.23"/>
    <n v="426.05"/>
    <n v="460.06"/>
    <n v="1178.01"/>
    <n v="29010.880000000001"/>
    <n v="8"/>
    <s v="Mechanical"/>
    <n v="70.14"/>
    <s v="Delayed"/>
    <s v="Pending"/>
    <s v="High"/>
    <s v="A. Tan"/>
    <s v="Asia"/>
    <d v="2025-08-01T00:00:00"/>
    <x v="10"/>
  </r>
  <r>
    <x v="450"/>
    <s v="BK50826"/>
    <d v="2025-05-15T00:00:00"/>
    <d v="2025-05-18T00:00:00"/>
    <d v="2025-06-15T00:00:00"/>
    <s v="LG"/>
    <s v="Electronics"/>
    <s v="South Korea"/>
    <s v="Los Angeles"/>
    <s v="Hamburg"/>
    <x v="2"/>
    <s v="Mary Maersk"/>
    <s v="20FT"/>
    <n v="1"/>
    <s v="Electronics"/>
    <n v="42684.55"/>
    <n v="10456.42"/>
    <n v="2219.52"/>
    <n v="649.39"/>
    <n v="426.85"/>
    <n v="339.66"/>
    <n v="2342.79"/>
    <n v="26249.919999999998"/>
    <n v="24"/>
    <s v="Port Congestion"/>
    <n v="87.14"/>
    <s v="Delayed"/>
    <s v="Pending"/>
    <s v="Critical"/>
    <s v="R. Mehta"/>
    <s v="Middle East"/>
    <d v="2025-05-01T00:00:00"/>
    <x v="17"/>
  </r>
  <r>
    <x v="451"/>
    <s v="BK50808"/>
    <d v="2025-08-30T00:00:00"/>
    <d v="2025-09-02T00:00:00"/>
    <d v="2025-09-25T00:00:00"/>
    <s v="Samsung"/>
    <s v="Electronics"/>
    <s v="South Korea"/>
    <s v="Singapore"/>
    <s v="Rotterdam"/>
    <x v="2"/>
    <s v="Ever Ace"/>
    <s v="High Cube"/>
    <n v="1"/>
    <s v="Electronics"/>
    <n v="42806.37"/>
    <n v="10445.69"/>
    <n v="2367.67"/>
    <n v="448.38"/>
    <n v="428.06"/>
    <n v="708.38"/>
    <n v="651.59"/>
    <n v="27756.6"/>
    <n v="0"/>
    <s v="None"/>
    <n v="87.05"/>
    <s v="Completed"/>
    <s v="Pending"/>
    <s v="Critical"/>
    <s v="A. Tan"/>
    <s v="Asia"/>
    <d v="2025-08-01T00:00:00"/>
    <x v="7"/>
  </r>
  <r>
    <x v="452"/>
    <s v="BK50383"/>
    <d v="2025-02-25T00:00:00"/>
    <d v="2025-02-26T00:00:00"/>
    <d v="2025-03-15T00:00:00"/>
    <s v="LG"/>
    <s v="Electronics"/>
    <s v="South Korea"/>
    <s v="Shanghai"/>
    <s v="Rotterdam"/>
    <x v="1"/>
    <s v="Mumbai Maersk"/>
    <s v="40FT"/>
    <n v="2"/>
    <s v="Auto Parts"/>
    <n v="42894.1"/>
    <n v="8616.2099999999991"/>
    <n v="2371.4499999999998"/>
    <n v="520.05999999999995"/>
    <n v="428.94"/>
    <n v="292.27"/>
    <n v="1936.7"/>
    <n v="28728.47"/>
    <n v="4"/>
    <s v="Mechanical"/>
    <n v="71.8"/>
    <s v="Delayed"/>
    <s v="Paid"/>
    <s v="Standard"/>
    <s v="L. Chen"/>
    <s v="Middle East"/>
    <d v="2025-02-01T00:00:00"/>
    <x v="18"/>
  </r>
  <r>
    <x v="453"/>
    <s v="BK50473"/>
    <d v="2025-08-26T00:00:00"/>
    <d v="2025-08-30T00:00:00"/>
    <d v="2025-09-14T00:00:00"/>
    <s v="Nestlé"/>
    <s v="Food"/>
    <s v="Switzerland"/>
    <s v="Singapore"/>
    <s v="Rotterdam"/>
    <x v="1"/>
    <s v="Ever Ace"/>
    <s v="40FT"/>
    <n v="2"/>
    <s v="Furniture"/>
    <n v="42916.46"/>
    <n v="8341.52"/>
    <n v="2413.56"/>
    <n v="1230.9100000000001"/>
    <n v="429.16"/>
    <n v="545.12"/>
    <n v="2245.54"/>
    <n v="27710.65"/>
    <n v="48"/>
    <s v="Mechanical"/>
    <n v="69.510000000000005"/>
    <s v="Delayed"/>
    <s v="Pending"/>
    <s v="High"/>
    <s v="L. Chen"/>
    <s v="Europe"/>
    <d v="2025-08-01T00:00:00"/>
    <x v="6"/>
  </r>
  <r>
    <x v="454"/>
    <s v="BK50677"/>
    <d v="2025-09-21T00:00:00"/>
    <d v="2025-09-22T00:00:00"/>
    <d v="2025-10-08T00:00:00"/>
    <s v="Adidas"/>
    <s v="Retail"/>
    <s v="Germany"/>
    <s v="Colombo"/>
    <s v="Singapore"/>
    <x v="4"/>
    <s v="CMA CGM Jacques Saadé"/>
    <s v="Reefer"/>
    <n v="2"/>
    <s v="Furniture"/>
    <n v="42929.51"/>
    <n v="9915.5300000000007"/>
    <n v="2009.38"/>
    <n v="1114"/>
    <n v="429.3"/>
    <n v="749.38"/>
    <n v="1299.99"/>
    <n v="27411.93"/>
    <n v="24"/>
    <s v="Mechanical"/>
    <n v="82.63"/>
    <s v="Delayed"/>
    <s v="Pending"/>
    <s v="Standard"/>
    <s v="A. Tan"/>
    <s v="Middle East"/>
    <d v="2025-09-01T00:00:00"/>
    <x v="0"/>
  </r>
  <r>
    <x v="455"/>
    <s v="BK50399"/>
    <d v="2025-12-30T00:00:00"/>
    <d v="2026-01-02T00:00:00"/>
    <d v="2026-01-26T00:00:00"/>
    <s v="Nestlé"/>
    <s v="Food"/>
    <s v="Switzerland"/>
    <s v="Shanghai"/>
    <s v="Rotterdam"/>
    <x v="1"/>
    <s v="Ever Ace"/>
    <s v="High Cube"/>
    <n v="1"/>
    <s v="Machinery"/>
    <n v="42952.86"/>
    <n v="12161.2"/>
    <n v="2549.96"/>
    <n v="1101.8399999999999"/>
    <n v="429.53"/>
    <n v="807.97"/>
    <n v="421.17"/>
    <n v="25481.19"/>
    <n v="4"/>
    <s v="Labor Strike"/>
    <n v="101.34"/>
    <s v="Delayed"/>
    <s v="Paid"/>
    <s v="Critical"/>
    <s v="R. Mehta"/>
    <s v="Europe"/>
    <d v="2025-12-01T00:00:00"/>
    <x v="8"/>
  </r>
  <r>
    <x v="456"/>
    <s v="BK50632"/>
    <d v="2025-06-05T00:00:00"/>
    <d v="2025-06-08T00:00:00"/>
    <d v="2025-06-28T00:00:00"/>
    <s v="Adidas"/>
    <s v="Retail"/>
    <s v="Germany"/>
    <s v="Colombo"/>
    <s v="Singapore"/>
    <x v="4"/>
    <s v="Ever Ace"/>
    <s v="20FT"/>
    <n v="2"/>
    <s v="Machinery"/>
    <n v="43108.39"/>
    <n v="7968.26"/>
    <n v="2131.9499999999998"/>
    <n v="534.12"/>
    <n v="431.08"/>
    <n v="221.13"/>
    <n v="1204.9000000000001"/>
    <n v="30616.95"/>
    <n v="4"/>
    <s v="Mechanical"/>
    <n v="66.400000000000006"/>
    <s v="Delayed"/>
    <s v="Paid"/>
    <s v="Critical"/>
    <s v="M. Ahmed"/>
    <s v="Europe"/>
    <d v="2025-06-01T00:00:00"/>
    <x v="16"/>
  </r>
  <r>
    <x v="457"/>
    <s v="BK50343"/>
    <d v="2025-10-01T00:00:00"/>
    <d v="2025-10-02T00:00:00"/>
    <d v="2025-10-20T00:00:00"/>
    <s v="Bosch"/>
    <s v="Manufacturing"/>
    <s v="Germany"/>
    <s v="Jebel Ali"/>
    <s v="Nhava Sheva"/>
    <x v="0"/>
    <s v="OOCL Hong Kong"/>
    <s v="40FT"/>
    <n v="1"/>
    <s v="Furniture"/>
    <n v="43328.98"/>
    <n v="11605.73"/>
    <n v="2288.2800000000002"/>
    <n v="580.35"/>
    <n v="433.29"/>
    <n v="251.23"/>
    <n v="669.87"/>
    <n v="27500.23"/>
    <n v="8"/>
    <s v="Customs"/>
    <n v="96.71"/>
    <s v="Delayed"/>
    <s v="Pending"/>
    <s v="High"/>
    <s v="L. Chen"/>
    <s v="Europe"/>
    <d v="2025-10-01T00:00:00"/>
    <x v="14"/>
  </r>
  <r>
    <x v="458"/>
    <s v="BK50167"/>
    <d v="2025-04-11T00:00:00"/>
    <d v="2025-04-12T00:00:00"/>
    <d v="2025-05-08T00:00:00"/>
    <s v="Adidas"/>
    <s v="Retail"/>
    <s v="Germany"/>
    <s v="New York"/>
    <s v="Nhava Sheva"/>
    <x v="2"/>
    <s v="OOCL Hong Kong"/>
    <s v="High Cube"/>
    <n v="4"/>
    <s v="Machinery"/>
    <n v="43375.22"/>
    <n v="11917.7"/>
    <n v="1849.07"/>
    <n v="877.22"/>
    <n v="433.75"/>
    <n v="682.92"/>
    <n v="1904.88"/>
    <n v="25709.68"/>
    <n v="24"/>
    <s v="Port Congestion"/>
    <n v="99.31"/>
    <s v="Delayed"/>
    <s v="Paid"/>
    <s v="Critical"/>
    <s v="J. Smith"/>
    <s v="Asia"/>
    <d v="2025-04-01T00:00:00"/>
    <x v="3"/>
  </r>
  <r>
    <x v="459"/>
    <s v="BK50722"/>
    <d v="2025-09-29T00:00:00"/>
    <d v="2025-09-30T00:00:00"/>
    <d v="2025-10-20T00:00:00"/>
    <s v="Reliance"/>
    <s v="Retail"/>
    <s v="India"/>
    <s v="Colombo"/>
    <s v="Singapore"/>
    <x v="4"/>
    <s v="Monaco Maersk"/>
    <s v="High Cube"/>
    <n v="4"/>
    <s v="Auto Parts"/>
    <n v="43397.3"/>
    <n v="7763.74"/>
    <n v="2810.96"/>
    <n v="1124.78"/>
    <n v="433.97"/>
    <n v="121.59"/>
    <n v="781.35"/>
    <n v="30360.91"/>
    <n v="24"/>
    <s v="Port Congestion"/>
    <n v="64.7"/>
    <s v="Delayed"/>
    <s v="Pending"/>
    <s v="High"/>
    <s v="M. Ahmed"/>
    <s v="Europe"/>
    <d v="2025-09-01T00:00:00"/>
    <x v="16"/>
  </r>
  <r>
    <x v="460"/>
    <s v="BK50786"/>
    <d v="2025-07-07T00:00:00"/>
    <d v="2025-07-09T00:00:00"/>
    <d v="2025-08-04T00:00:00"/>
    <s v="Siemens"/>
    <s v="Engineering"/>
    <s v="Germany"/>
    <s v="Singapore"/>
    <s v="Rotterdam"/>
    <x v="1"/>
    <s v="Mary Maersk"/>
    <s v="20FT"/>
    <n v="2"/>
    <s v="Chemicals"/>
    <n v="43401.86"/>
    <n v="12093.55"/>
    <n v="1916.74"/>
    <n v="1105.31"/>
    <n v="434.02"/>
    <n v="434.58"/>
    <n v="2474.37"/>
    <n v="24943.29"/>
    <n v="24"/>
    <s v="Labor Strike"/>
    <n v="100.78"/>
    <s v="Delayed"/>
    <s v="Paid"/>
    <s v="Standard"/>
    <s v="L. Chen"/>
    <s v="North America"/>
    <d v="2025-07-01T00:00:00"/>
    <x v="3"/>
  </r>
  <r>
    <x v="461"/>
    <s v="BK50210"/>
    <d v="2025-11-12T00:00:00"/>
    <d v="2025-11-15T00:00:00"/>
    <d v="2025-12-04T00:00:00"/>
    <s v="Toyota"/>
    <s v="Automotive"/>
    <s v="Japan"/>
    <s v="Jebel Ali"/>
    <s v="Nhava Sheva"/>
    <x v="0"/>
    <s v="Ever Ace"/>
    <s v="Reefer"/>
    <n v="2"/>
    <s v="Textiles"/>
    <n v="43485.22"/>
    <n v="8368.15"/>
    <n v="3436.11"/>
    <n v="948.02"/>
    <n v="434.85"/>
    <n v="779.81"/>
    <n v="1520.68"/>
    <n v="27997.599999999999"/>
    <n v="0"/>
    <s v="None"/>
    <n v="69.73"/>
    <s v="Completed"/>
    <s v="Pending"/>
    <s v="Critical"/>
    <s v="L. Chen"/>
    <s v="North America"/>
    <d v="2025-11-01T00:00:00"/>
    <x v="11"/>
  </r>
  <r>
    <x v="462"/>
    <s v="BK50089"/>
    <d v="2025-06-07T00:00:00"/>
    <d v="2025-06-08T00:00:00"/>
    <d v="2025-06-20T00:00:00"/>
    <s v="Amazon"/>
    <s v="E-commerce"/>
    <s v="USA"/>
    <s v="Busan"/>
    <s v="Los Angeles"/>
    <x v="3"/>
    <s v="Mumbai Maersk"/>
    <s v="Reefer"/>
    <n v="1"/>
    <s v="Machinery"/>
    <n v="43489.49"/>
    <n v="12769.37"/>
    <n v="2674.7"/>
    <n v="1137.51"/>
    <n v="434.89"/>
    <n v="846.43"/>
    <n v="2473"/>
    <n v="23153.59"/>
    <n v="0"/>
    <s v="None"/>
    <n v="106.41"/>
    <s v="Completed"/>
    <s v="Pending"/>
    <s v="High"/>
    <s v="M. Ahmed"/>
    <s v="Europe"/>
    <d v="2025-06-01T00:00:00"/>
    <x v="12"/>
  </r>
  <r>
    <x v="463"/>
    <s v="BK50131"/>
    <d v="2025-03-19T00:00:00"/>
    <d v="2025-03-21T00:00:00"/>
    <d v="2025-04-03T00:00:00"/>
    <s v="Amazon"/>
    <s v="E-commerce"/>
    <s v="USA"/>
    <s v="Rotterdam"/>
    <s v="Busan"/>
    <x v="2"/>
    <s v="MSC Gülsün"/>
    <s v="20FT"/>
    <n v="4"/>
    <s v="Furniture"/>
    <n v="43498.57"/>
    <n v="10654.71"/>
    <n v="2328.46"/>
    <n v="859.74"/>
    <n v="434.99"/>
    <n v="526.84"/>
    <n v="944.08"/>
    <n v="27749.75"/>
    <n v="8"/>
    <s v="Mechanical"/>
    <n v="88.79"/>
    <s v="Delayed"/>
    <s v="Paid"/>
    <s v="Critical"/>
    <s v="A. Tan"/>
    <s v="Asia"/>
    <d v="2025-03-01T00:00:00"/>
    <x v="13"/>
  </r>
  <r>
    <x v="464"/>
    <s v="BK50291"/>
    <d v="2025-01-12T00:00:00"/>
    <d v="2025-01-13T00:00:00"/>
    <d v="2025-02-09T00:00:00"/>
    <s v="Samsung"/>
    <s v="Electronics"/>
    <s v="South Korea"/>
    <s v="Jebel Ali"/>
    <s v="Nhava Sheva"/>
    <x v="0"/>
    <s v="Madrid Maersk"/>
    <s v="40FT"/>
    <n v="2"/>
    <s v="Auto Parts"/>
    <n v="43543.519999999997"/>
    <n v="8736.73"/>
    <n v="2305.37"/>
    <n v="1175.22"/>
    <n v="435.44"/>
    <n v="589.71"/>
    <n v="1758.87"/>
    <n v="28542.18"/>
    <n v="0"/>
    <s v="None"/>
    <n v="72.81"/>
    <s v="Completed"/>
    <s v="Paid"/>
    <s v="Critical"/>
    <s v="M. Ahmed"/>
    <s v="North America"/>
    <d v="2025-01-01T00:00:00"/>
    <x v="2"/>
  </r>
  <r>
    <x v="465"/>
    <s v="BK50733"/>
    <d v="2025-08-06T00:00:00"/>
    <d v="2025-08-10T00:00:00"/>
    <d v="2025-09-04T00:00:00"/>
    <s v="Reliance"/>
    <s v="Retail"/>
    <s v="India"/>
    <s v="Los Angeles"/>
    <s v="Colombo"/>
    <x v="2"/>
    <s v="CMA CGM Jacques Saadé"/>
    <s v="20FT"/>
    <n v="4"/>
    <s v="Electronics"/>
    <n v="43574.66"/>
    <n v="8686.7199999999993"/>
    <n v="2069.7199999999998"/>
    <n v="697.51"/>
    <n v="435.75"/>
    <n v="155.24"/>
    <n v="2306.9899999999998"/>
    <n v="29222.73"/>
    <n v="4"/>
    <s v="Weather"/>
    <n v="72.39"/>
    <s v="Delayed"/>
    <s v="Pending"/>
    <s v="Standard"/>
    <s v="L. Chen"/>
    <s v="North America"/>
    <d v="2025-08-01T00:00:00"/>
    <x v="10"/>
  </r>
  <r>
    <x v="466"/>
    <s v="BK50425"/>
    <d v="2025-12-26T00:00:00"/>
    <d v="2025-12-29T00:00:00"/>
    <d v="2026-01-13T00:00:00"/>
    <s v="Samsung"/>
    <s v="Electronics"/>
    <s v="South Korea"/>
    <s v="Singapore"/>
    <s v="Rotterdam"/>
    <x v="1"/>
    <s v="Monaco Maersk"/>
    <s v="Reefer"/>
    <n v="2"/>
    <s v="Furniture"/>
    <n v="43602.55"/>
    <n v="11704.05"/>
    <n v="2841.93"/>
    <n v="1003.04"/>
    <n v="436.03"/>
    <n v="241.91"/>
    <n v="2298.71"/>
    <n v="25076.880000000001"/>
    <n v="36"/>
    <s v="Weather"/>
    <n v="97.53"/>
    <s v="Delayed"/>
    <s v="Paid"/>
    <s v="Standard"/>
    <s v="R. Mehta"/>
    <s v="North America"/>
    <d v="2025-12-01T00:00:00"/>
    <x v="6"/>
  </r>
  <r>
    <x v="467"/>
    <s v="BK50594"/>
    <d v="2025-05-10T00:00:00"/>
    <d v="2025-05-11T00:00:00"/>
    <d v="2025-05-29T00:00:00"/>
    <s v="Nestlé"/>
    <s v="Food"/>
    <s v="Switzerland"/>
    <s v="Singapore"/>
    <s v="Singapore"/>
    <x v="2"/>
    <s v="Monaco Maersk"/>
    <s v="Reefer"/>
    <n v="2"/>
    <s v="Machinery"/>
    <n v="43616.1"/>
    <n v="9579.2099999999991"/>
    <n v="2672.4"/>
    <n v="826.46"/>
    <n v="436.16"/>
    <n v="293.23"/>
    <n v="1711.98"/>
    <n v="28096.66"/>
    <n v="0"/>
    <s v="None"/>
    <n v="79.83"/>
    <s v="Completed"/>
    <s v="Pending"/>
    <s v="Critical"/>
    <s v="L. Chen"/>
    <s v="Middle East"/>
    <d v="2025-05-01T00:00:00"/>
    <x v="14"/>
  </r>
  <r>
    <x v="468"/>
    <s v="BK50358"/>
    <d v="2025-04-24T00:00:00"/>
    <d v="2025-04-28T00:00:00"/>
    <d v="2025-05-26T00:00:00"/>
    <s v="Pfizer"/>
    <s v="Pharma"/>
    <s v="USA"/>
    <s v="Jebel Ali"/>
    <s v="Nhava Sheva"/>
    <x v="0"/>
    <s v="Mumbai Maersk"/>
    <s v="High Cube"/>
    <n v="2"/>
    <s v="Auto Parts"/>
    <n v="43683.24"/>
    <n v="10194.33"/>
    <n v="3076.2"/>
    <n v="783.6"/>
    <n v="436.83"/>
    <n v="314.94"/>
    <n v="1522.62"/>
    <n v="27354.720000000001"/>
    <n v="48"/>
    <s v="Weather"/>
    <n v="84.95"/>
    <s v="Delayed"/>
    <s v="Paid"/>
    <s v="Critical"/>
    <s v="L. Chen"/>
    <s v="Middle East"/>
    <d v="2025-04-01T00:00:00"/>
    <x v="17"/>
  </r>
  <r>
    <x v="469"/>
    <s v="BK50630"/>
    <d v="2025-12-21T00:00:00"/>
    <d v="2025-12-25T00:00:00"/>
    <d v="2026-01-21T00:00:00"/>
    <s v="Siemens"/>
    <s v="Engineering"/>
    <s v="Germany"/>
    <s v="New York"/>
    <s v="Nhava Sheva"/>
    <x v="2"/>
    <s v="Madrid Maersk"/>
    <s v="40FT"/>
    <n v="1"/>
    <s v="Chemicals"/>
    <n v="43766.91"/>
    <n v="12144.6"/>
    <n v="3202.48"/>
    <n v="690.01"/>
    <n v="437.67"/>
    <n v="238.12"/>
    <n v="1367.99"/>
    <n v="25686.04"/>
    <n v="0"/>
    <s v="None"/>
    <n v="101.2"/>
    <s v="Completed"/>
    <s v="Pending"/>
    <s v="Standard"/>
    <s v="M. Ahmed"/>
    <s v="Middle East"/>
    <d v="2025-12-01T00:00:00"/>
    <x v="2"/>
  </r>
  <r>
    <x v="470"/>
    <s v="BK50532"/>
    <d v="2025-07-05T00:00:00"/>
    <d v="2025-07-06T00:00:00"/>
    <d v="2025-07-18T00:00:00"/>
    <s v="Nestlé"/>
    <s v="Food"/>
    <s v="Switzerland"/>
    <s v="Jebel Ali"/>
    <s v="Nhava Sheva"/>
    <x v="0"/>
    <s v="Mary Maersk"/>
    <s v="20FT"/>
    <n v="2"/>
    <s v="Machinery"/>
    <n v="43873.17"/>
    <n v="12019"/>
    <n v="3133.61"/>
    <n v="1077.6099999999999"/>
    <n v="438.73"/>
    <n v="368.05"/>
    <n v="720.8"/>
    <n v="26115.37"/>
    <n v="24"/>
    <s v="Weather"/>
    <n v="100.16"/>
    <s v="Delayed"/>
    <s v="Paid"/>
    <s v="High"/>
    <s v="L. Chen"/>
    <s v="Middle East"/>
    <d v="2025-07-01T00:00:00"/>
    <x v="12"/>
  </r>
  <r>
    <x v="471"/>
    <s v="BK50821"/>
    <d v="2025-12-23T00:00:00"/>
    <d v="2025-12-25T00:00:00"/>
    <d v="2026-01-08T00:00:00"/>
    <s v="Pfizer"/>
    <s v="Pharma"/>
    <s v="USA"/>
    <s v="Busan"/>
    <s v="Los Angeles"/>
    <x v="3"/>
    <s v="Mary Maersk"/>
    <s v="40FT"/>
    <n v="2"/>
    <s v="Food"/>
    <n v="43917.24"/>
    <n v="8495.34"/>
    <n v="2700.68"/>
    <n v="475.6"/>
    <n v="439.17"/>
    <n v="248.18"/>
    <n v="2189.21"/>
    <n v="29369.06"/>
    <n v="8"/>
    <s v="Weather"/>
    <n v="70.790000000000006"/>
    <s v="Delayed"/>
    <s v="Paid"/>
    <s v="Standard"/>
    <s v="A. Tan"/>
    <s v="North America"/>
    <d v="2025-12-01T00:00:00"/>
    <x v="1"/>
  </r>
  <r>
    <x v="472"/>
    <s v="BK50279"/>
    <d v="2025-08-11T00:00:00"/>
    <d v="2025-08-14T00:00:00"/>
    <d v="2025-08-27T00:00:00"/>
    <s v="Samsung"/>
    <s v="Electronics"/>
    <s v="South Korea"/>
    <s v="Jebel Ali"/>
    <s v="Nhava Sheva"/>
    <x v="0"/>
    <s v="Monaco Maersk"/>
    <s v="40FT"/>
    <n v="4"/>
    <s v="Textiles"/>
    <n v="43927.13"/>
    <n v="12794.16"/>
    <n v="2882.25"/>
    <n v="474.64"/>
    <n v="439.27"/>
    <n v="376.98"/>
    <n v="957.88"/>
    <n v="26001.95"/>
    <n v="0"/>
    <s v="None"/>
    <n v="106.62"/>
    <s v="Completed"/>
    <s v="Paid"/>
    <s v="High"/>
    <s v="A. Tan"/>
    <s v="North America"/>
    <d v="2025-08-01T00:00:00"/>
    <x v="13"/>
  </r>
  <r>
    <x v="473"/>
    <s v="BK50679"/>
    <d v="2025-11-25T00:00:00"/>
    <d v="2025-11-28T00:00:00"/>
    <d v="2025-12-22T00:00:00"/>
    <s v="IKEA"/>
    <s v="Retail"/>
    <s v="Sweden"/>
    <s v="Shanghai"/>
    <s v="Rotterdam"/>
    <x v="1"/>
    <s v="CMA CGM Jacques Saadé"/>
    <s v="20FT"/>
    <n v="2"/>
    <s v="Electronics"/>
    <n v="43929.87"/>
    <n v="7126.65"/>
    <n v="1835.2"/>
    <n v="1141.68"/>
    <n v="439.3"/>
    <n v="601.45000000000005"/>
    <n v="785.58"/>
    <n v="32000.01"/>
    <n v="4"/>
    <s v="Mechanical"/>
    <n v="59.39"/>
    <s v="Delayed"/>
    <s v="Pending"/>
    <s v="Critical"/>
    <s v="M. Ahmed"/>
    <s v="North America"/>
    <d v="2025-11-01T00:00:00"/>
    <x v="8"/>
  </r>
  <r>
    <x v="474"/>
    <s v="BK50477"/>
    <d v="2025-10-15T00:00:00"/>
    <d v="2025-10-17T00:00:00"/>
    <d v="2025-11-07T00:00:00"/>
    <s v="Reliance"/>
    <s v="Retail"/>
    <s v="India"/>
    <s v="Singapore"/>
    <s v="Rotterdam"/>
    <x v="1"/>
    <s v="Monaco Maersk"/>
    <s v="High Cube"/>
    <n v="1"/>
    <s v="Electronics"/>
    <n v="43944.54"/>
    <n v="11171.26"/>
    <n v="1885.96"/>
    <n v="660.84"/>
    <n v="439.45"/>
    <n v="623.84"/>
    <n v="2386.7600000000002"/>
    <n v="26776.43"/>
    <n v="0"/>
    <s v="None"/>
    <n v="93.09"/>
    <s v="Completed"/>
    <s v="Paid"/>
    <s v="Standard"/>
    <s v="J. Smith"/>
    <s v="North America"/>
    <d v="2025-10-01T00:00:00"/>
    <x v="9"/>
  </r>
  <r>
    <x v="475"/>
    <s v="BK50181"/>
    <d v="2025-10-23T00:00:00"/>
    <d v="2025-10-26T00:00:00"/>
    <d v="2025-11-22T00:00:00"/>
    <s v="Samsung"/>
    <s v="Electronics"/>
    <s v="South Korea"/>
    <s v="Colombo"/>
    <s v="Hamburg"/>
    <x v="2"/>
    <s v="MSC Gülsün"/>
    <s v="20FT"/>
    <n v="2"/>
    <s v="Electronics"/>
    <n v="43990.73"/>
    <n v="7125.26"/>
    <n v="3481.64"/>
    <n v="536.48"/>
    <n v="439.91"/>
    <n v="814.92"/>
    <n v="2053.5700000000002"/>
    <n v="29538.95"/>
    <n v="4"/>
    <s v="Port Congestion"/>
    <n v="59.38"/>
    <s v="Delayed"/>
    <s v="Paid"/>
    <s v="Standard"/>
    <s v="A. Tan"/>
    <s v="North America"/>
    <d v="2025-10-01T00:00:00"/>
    <x v="2"/>
  </r>
  <r>
    <x v="476"/>
    <s v="BK50932"/>
    <d v="2025-06-15T00:00:00"/>
    <d v="2025-06-16T00:00:00"/>
    <d v="2025-07-11T00:00:00"/>
    <s v="Unilever"/>
    <s v="FMCG"/>
    <s v="UK"/>
    <s v="Shanghai"/>
    <s v="Rotterdam"/>
    <x v="1"/>
    <s v="Ever Ace"/>
    <s v="Reefer"/>
    <n v="2"/>
    <s v="Textiles"/>
    <n v="44016.68"/>
    <n v="12064.3"/>
    <n v="2825.97"/>
    <n v="626"/>
    <n v="440.17"/>
    <n v="534.48"/>
    <n v="570.22"/>
    <n v="26955.54"/>
    <n v="0"/>
    <s v="None"/>
    <n v="100.54"/>
    <s v="Completed"/>
    <s v="Pending"/>
    <s v="High"/>
    <s v="J. Smith"/>
    <s v="Asia"/>
    <d v="2025-06-01T00:00:00"/>
    <x v="10"/>
  </r>
  <r>
    <x v="477"/>
    <s v="BK50929"/>
    <d v="2025-06-30T00:00:00"/>
    <d v="2025-07-03T00:00:00"/>
    <d v="2025-07-18T00:00:00"/>
    <s v="Adidas"/>
    <s v="Retail"/>
    <s v="Germany"/>
    <s v="Jebel Ali"/>
    <s v="Nhava Sheva"/>
    <x v="0"/>
    <s v="OOCL Hong Kong"/>
    <s v="High Cube"/>
    <n v="1"/>
    <s v="Chemicals"/>
    <n v="44064.91"/>
    <n v="8964.3700000000008"/>
    <n v="3425.29"/>
    <n v="1126.1600000000001"/>
    <n v="440.65"/>
    <n v="850.85"/>
    <n v="1568.87"/>
    <n v="27688.720000000001"/>
    <n v="0"/>
    <s v="None"/>
    <n v="74.7"/>
    <s v="Completed"/>
    <s v="Paid"/>
    <s v="Standard"/>
    <s v="J. Smith"/>
    <s v="Europe"/>
    <d v="2025-06-01T00:00:00"/>
    <x v="6"/>
  </r>
  <r>
    <x v="478"/>
    <s v="BK50125"/>
    <d v="2025-07-08T00:00:00"/>
    <d v="2025-07-12T00:00:00"/>
    <d v="2025-07-31T00:00:00"/>
    <s v="IKEA"/>
    <s v="Retail"/>
    <s v="Sweden"/>
    <s v="Rotterdam"/>
    <s v="Los Angeles"/>
    <x v="2"/>
    <s v="CMA CGM Jacques Saadé"/>
    <s v="Reefer"/>
    <n v="1"/>
    <s v="Chemicals"/>
    <n v="44165.9"/>
    <n v="10425.61"/>
    <n v="2050.2600000000002"/>
    <n v="1082.78"/>
    <n v="441.66"/>
    <n v="216.88"/>
    <n v="880.26"/>
    <n v="29068.45"/>
    <n v="4"/>
    <s v="Weather"/>
    <n v="86.88"/>
    <s v="Delayed"/>
    <s v="Paid"/>
    <s v="Critical"/>
    <s v="R. Mehta"/>
    <s v="Middle East"/>
    <d v="2025-07-01T00:00:00"/>
    <x v="11"/>
  </r>
  <r>
    <x v="479"/>
    <s v="BK50274"/>
    <d v="2025-01-18T00:00:00"/>
    <d v="2025-01-22T00:00:00"/>
    <d v="2025-02-16T00:00:00"/>
    <s v="LG"/>
    <s v="Electronics"/>
    <s v="South Korea"/>
    <s v="Busan"/>
    <s v="Hamburg"/>
    <x v="2"/>
    <s v="OOCL Hong Kong"/>
    <s v="20FT"/>
    <n v="2"/>
    <s v="Auto Parts"/>
    <n v="44171.61"/>
    <n v="7664.56"/>
    <n v="3378.47"/>
    <n v="928.95"/>
    <n v="441.72"/>
    <n v="474.16"/>
    <n v="1617.82"/>
    <n v="29665.93"/>
    <n v="12"/>
    <s v="Mechanical"/>
    <n v="63.87"/>
    <s v="Delayed"/>
    <s v="Pending"/>
    <s v="Standard"/>
    <s v="J. Smith"/>
    <s v="North America"/>
    <d v="2025-01-01T00:00:00"/>
    <x v="10"/>
  </r>
  <r>
    <x v="480"/>
    <s v="BK50627"/>
    <d v="2025-10-21T00:00:00"/>
    <d v="2025-10-22T00:00:00"/>
    <d v="2025-11-17T00:00:00"/>
    <s v="Bosch"/>
    <s v="Manufacturing"/>
    <s v="Germany"/>
    <s v="Singapore"/>
    <s v="Rotterdam"/>
    <x v="1"/>
    <s v="Monaco Maersk"/>
    <s v="High Cube"/>
    <n v="1"/>
    <s v="Auto Parts"/>
    <n v="44184.58"/>
    <n v="10790.02"/>
    <n v="2798.77"/>
    <n v="496.29"/>
    <n v="441.85"/>
    <n v="581.80999999999995"/>
    <n v="490.83"/>
    <n v="28585.01"/>
    <n v="0"/>
    <s v="None"/>
    <n v="89.92"/>
    <s v="Completed"/>
    <s v="Paid"/>
    <s v="Standard"/>
    <s v="R. Mehta"/>
    <s v="Europe"/>
    <d v="2025-10-01T00:00:00"/>
    <x v="3"/>
  </r>
  <r>
    <x v="481"/>
    <s v="BK50084"/>
    <d v="2025-03-19T00:00:00"/>
    <d v="2025-03-20T00:00:00"/>
    <d v="2025-03-31T00:00:00"/>
    <s v="Pfizer"/>
    <s v="Pharma"/>
    <s v="USA"/>
    <s v="Singapore"/>
    <s v="Nhava Sheva"/>
    <x v="2"/>
    <s v="OOCL Hong Kong"/>
    <s v="High Cube"/>
    <n v="1"/>
    <s v="Furniture"/>
    <n v="44221.07"/>
    <n v="13095.12"/>
    <n v="3058.25"/>
    <n v="1246.03"/>
    <n v="442.21"/>
    <n v="789.14"/>
    <n v="503.63"/>
    <n v="25086.69"/>
    <n v="4"/>
    <s v="Labor Strike"/>
    <n v="109.13"/>
    <s v="Delayed"/>
    <s v="Pending"/>
    <s v="High"/>
    <s v="L. Chen"/>
    <s v="North America"/>
    <d v="2025-03-01T00:00:00"/>
    <x v="5"/>
  </r>
  <r>
    <x v="482"/>
    <s v="BK50468"/>
    <d v="2025-10-18T00:00:00"/>
    <d v="2025-10-19T00:00:00"/>
    <d v="2025-11-12T00:00:00"/>
    <s v="Amazon"/>
    <s v="E-commerce"/>
    <s v="USA"/>
    <s v="Busan"/>
    <s v="Los Angeles"/>
    <x v="3"/>
    <s v="Madrid Maersk"/>
    <s v="20FT"/>
    <n v="1"/>
    <s v="Machinery"/>
    <n v="44293.03"/>
    <n v="13119"/>
    <n v="2236.9499999999998"/>
    <n v="1217.55"/>
    <n v="442.93"/>
    <n v="834.61"/>
    <n v="1931.25"/>
    <n v="24510.74"/>
    <n v="4"/>
    <s v="Weather"/>
    <n v="109.33"/>
    <s v="Delayed"/>
    <s v="Paid"/>
    <s v="Standard"/>
    <s v="R. Mehta"/>
    <s v="Europe"/>
    <d v="2025-10-01T00:00:00"/>
    <x v="8"/>
  </r>
  <r>
    <x v="483"/>
    <s v="BK50178"/>
    <d v="2025-01-02T00:00:00"/>
    <d v="2025-01-03T00:00:00"/>
    <d v="2025-01-28T00:00:00"/>
    <s v="Amazon"/>
    <s v="E-commerce"/>
    <s v="USA"/>
    <s v="Busan"/>
    <s v="Los Angeles"/>
    <x v="3"/>
    <s v="Monaco Maersk"/>
    <s v="20FT"/>
    <n v="2"/>
    <s v="Electronics"/>
    <n v="44410.76"/>
    <n v="9328.16"/>
    <n v="3502.02"/>
    <n v="721.15"/>
    <n v="444.11"/>
    <n v="850.24"/>
    <n v="2210.77"/>
    <n v="27354.31"/>
    <n v="0"/>
    <s v="None"/>
    <n v="77.73"/>
    <s v="Completed"/>
    <s v="Pending"/>
    <s v="Standard"/>
    <s v="A. Tan"/>
    <s v="Europe"/>
    <d v="2025-01-01T00:00:00"/>
    <x v="10"/>
  </r>
  <r>
    <x v="484"/>
    <s v="BK50416"/>
    <d v="2025-09-24T00:00:00"/>
    <d v="2025-09-27T00:00:00"/>
    <d v="2025-10-16T00:00:00"/>
    <s v="Siemens"/>
    <s v="Engineering"/>
    <s v="Germany"/>
    <s v="Colombo"/>
    <s v="Singapore"/>
    <x v="4"/>
    <s v="OOCL Hong Kong"/>
    <s v="40FT"/>
    <n v="4"/>
    <s v="Machinery"/>
    <n v="44530.06"/>
    <n v="7654.97"/>
    <n v="1952.45"/>
    <n v="663.82"/>
    <n v="445.3"/>
    <n v="582.26"/>
    <n v="1299.97"/>
    <n v="31931.29"/>
    <n v="12"/>
    <s v="Mechanical"/>
    <n v="63.79"/>
    <s v="Delayed"/>
    <s v="Paid"/>
    <s v="High"/>
    <s v="M. Ahmed"/>
    <s v="Europe"/>
    <d v="2025-09-01T00:00:00"/>
    <x v="11"/>
  </r>
  <r>
    <x v="485"/>
    <s v="BK50933"/>
    <d v="2025-03-06T00:00:00"/>
    <d v="2025-03-10T00:00:00"/>
    <d v="2025-04-02T00:00:00"/>
    <s v="Pfizer"/>
    <s v="Pharma"/>
    <s v="USA"/>
    <s v="Colombo"/>
    <s v="Singapore"/>
    <x v="4"/>
    <s v="Madrid Maersk"/>
    <s v="20FT"/>
    <n v="1"/>
    <s v="Machinery"/>
    <n v="44548.98"/>
    <n v="11365.05"/>
    <n v="1996.1"/>
    <n v="1199.28"/>
    <n v="445.49"/>
    <n v="358.31"/>
    <n v="895.81"/>
    <n v="28288.94"/>
    <n v="0"/>
    <s v="None"/>
    <n v="94.71"/>
    <s v="Completed"/>
    <s v="Pending"/>
    <s v="Critical"/>
    <s v="L. Chen"/>
    <s v="Europe"/>
    <d v="2025-03-01T00:00:00"/>
    <x v="7"/>
  </r>
  <r>
    <x v="486"/>
    <s v="BK50194"/>
    <d v="2025-08-25T00:00:00"/>
    <d v="2025-08-26T00:00:00"/>
    <d v="2025-09-14T00:00:00"/>
    <s v="Nestlé"/>
    <s v="Food"/>
    <s v="Switzerland"/>
    <s v="Singapore"/>
    <s v="Rotterdam"/>
    <x v="1"/>
    <s v="CMA CGM Jacques Saadé"/>
    <s v="Reefer"/>
    <n v="4"/>
    <s v="Auto Parts"/>
    <n v="44761.39"/>
    <n v="10245.23"/>
    <n v="3056.85"/>
    <n v="673.93"/>
    <n v="447.61"/>
    <n v="722.02"/>
    <n v="1183.29"/>
    <n v="28432.46"/>
    <n v="0"/>
    <s v="None"/>
    <n v="85.38"/>
    <s v="Completed"/>
    <s v="Paid"/>
    <s v="Critical"/>
    <s v="R. Mehta"/>
    <s v="Europe"/>
    <d v="2025-08-01T00:00:00"/>
    <x v="11"/>
  </r>
  <r>
    <x v="487"/>
    <s v="BK50061"/>
    <d v="2025-10-27T00:00:00"/>
    <d v="2025-10-31T00:00:00"/>
    <d v="2025-11-12T00:00:00"/>
    <s v="LG"/>
    <s v="Electronics"/>
    <s v="South Korea"/>
    <s v="Busan"/>
    <s v="Los Angeles"/>
    <x v="3"/>
    <s v="OOCL Hong Kong"/>
    <s v="High Cube"/>
    <n v="2"/>
    <s v="Auto Parts"/>
    <n v="45033.99"/>
    <n v="9349.27"/>
    <n v="2941.75"/>
    <n v="884.47"/>
    <n v="450.34"/>
    <n v="834.05"/>
    <n v="604.24"/>
    <n v="29969.87"/>
    <n v="0"/>
    <s v="None"/>
    <n v="77.91"/>
    <s v="Completed"/>
    <s v="Pending"/>
    <s v="High"/>
    <s v="A. Tan"/>
    <s v="North America"/>
    <d v="2025-10-01T00:00:00"/>
    <x v="12"/>
  </r>
  <r>
    <x v="488"/>
    <s v="BK50705"/>
    <d v="2025-04-22T00:00:00"/>
    <d v="2025-04-23T00:00:00"/>
    <d v="2025-05-12T00:00:00"/>
    <s v="IKEA"/>
    <s v="Retail"/>
    <s v="Sweden"/>
    <s v="Busan"/>
    <s v="Los Angeles"/>
    <x v="3"/>
    <s v="Mary Maersk"/>
    <s v="40FT"/>
    <n v="2"/>
    <s v="Textiles"/>
    <n v="45054.2"/>
    <n v="11491.95"/>
    <n v="2202.0100000000002"/>
    <n v="1332.17"/>
    <n v="450.54"/>
    <n v="130.47"/>
    <n v="597.58000000000004"/>
    <n v="28849.48"/>
    <n v="12"/>
    <s v="Labor Strike"/>
    <n v="95.77"/>
    <s v="Delayed"/>
    <s v="Paid"/>
    <s v="Critical"/>
    <s v="A. Tan"/>
    <s v="Middle East"/>
    <d v="2025-04-01T00:00:00"/>
    <x v="11"/>
  </r>
  <r>
    <x v="489"/>
    <s v="BK50993"/>
    <d v="2025-09-25T00:00:00"/>
    <d v="2025-09-26T00:00:00"/>
    <d v="2025-10-16T00:00:00"/>
    <s v="Toyota"/>
    <s v="Automotive"/>
    <s v="Japan"/>
    <s v="Jebel Ali"/>
    <s v="Nhava Sheva"/>
    <x v="0"/>
    <s v="Mary Maersk"/>
    <s v="20FT"/>
    <n v="2"/>
    <s v="Auto Parts"/>
    <n v="45090.49"/>
    <n v="7470.66"/>
    <n v="2671.38"/>
    <n v="750.94"/>
    <n v="450.9"/>
    <n v="298.82"/>
    <n v="1631.67"/>
    <n v="31816.12"/>
    <n v="24"/>
    <s v="Weather"/>
    <n v="62.26"/>
    <s v="Delayed"/>
    <s v="Pending"/>
    <s v="Standard"/>
    <s v="A. Tan"/>
    <s v="Europe"/>
    <d v="2025-09-01T00:00:00"/>
    <x v="16"/>
  </r>
  <r>
    <x v="490"/>
    <s v="BK50901"/>
    <d v="2025-01-22T00:00:00"/>
    <d v="2025-01-25T00:00:00"/>
    <d v="2025-02-20T00:00:00"/>
    <s v="Unilever"/>
    <s v="FMCG"/>
    <s v="UK"/>
    <s v="Colombo"/>
    <s v="Singapore"/>
    <x v="4"/>
    <s v="Madrid Maersk"/>
    <s v="20FT"/>
    <n v="2"/>
    <s v="Textiles"/>
    <n v="45453.83"/>
    <n v="12078.43"/>
    <n v="2900.3"/>
    <n v="575.26"/>
    <n v="454.54"/>
    <n v="699.45"/>
    <n v="1791.96"/>
    <n v="26953.89"/>
    <n v="0"/>
    <s v="None"/>
    <n v="100.65"/>
    <s v="Completed"/>
    <s v="Paid"/>
    <s v="Critical"/>
    <s v="R. Mehta"/>
    <s v="Middle East"/>
    <d v="2025-01-01T00:00:00"/>
    <x v="3"/>
  </r>
  <r>
    <x v="491"/>
    <s v="BK50376"/>
    <d v="2025-03-20T00:00:00"/>
    <d v="2025-03-21T00:00:00"/>
    <d v="2025-04-06T00:00:00"/>
    <s v="Bosch"/>
    <s v="Manufacturing"/>
    <s v="Germany"/>
    <s v="Singapore"/>
    <s v="Rotterdam"/>
    <x v="1"/>
    <s v="Mary Maersk"/>
    <s v="Reefer"/>
    <n v="2"/>
    <s v="Electronics"/>
    <n v="45538.59"/>
    <n v="11285.48"/>
    <n v="2127.5"/>
    <n v="472.67"/>
    <n v="455.39"/>
    <n v="556.44000000000005"/>
    <n v="1846.25"/>
    <n v="28794.86"/>
    <n v="0"/>
    <s v="None"/>
    <n v="94.05"/>
    <s v="Completed"/>
    <s v="Pending"/>
    <s v="High"/>
    <s v="A. Tan"/>
    <s v="Europe"/>
    <d v="2025-03-01T00:00:00"/>
    <x v="0"/>
  </r>
  <r>
    <x v="492"/>
    <s v="BK50605"/>
    <d v="2025-02-15T00:00:00"/>
    <d v="2025-02-16T00:00:00"/>
    <d v="2025-03-10T00:00:00"/>
    <s v="Siemens"/>
    <s v="Engineering"/>
    <s v="Germany"/>
    <s v="Busan"/>
    <s v="Los Angeles"/>
    <x v="3"/>
    <s v="Madrid Maersk"/>
    <s v="20FT"/>
    <n v="2"/>
    <s v="Machinery"/>
    <n v="45757.599999999999"/>
    <n v="12168.25"/>
    <n v="3160.69"/>
    <n v="1329.59"/>
    <n v="457.58"/>
    <n v="220.86"/>
    <n v="1812.05"/>
    <n v="26608.58"/>
    <n v="0"/>
    <s v="None"/>
    <n v="101.4"/>
    <s v="Completed"/>
    <s v="Paid"/>
    <s v="Critical"/>
    <s v="J. Smith"/>
    <s v="Europe"/>
    <d v="2025-02-01T00:00:00"/>
    <x v="4"/>
  </r>
  <r>
    <x v="493"/>
    <s v="BK50354"/>
    <d v="2025-09-18T00:00:00"/>
    <d v="2025-09-20T00:00:00"/>
    <d v="2025-10-19T00:00:00"/>
    <s v="Toyota"/>
    <s v="Automotive"/>
    <s v="Japan"/>
    <s v="Busan"/>
    <s v="Los Angeles"/>
    <x v="3"/>
    <s v="Monaco Maersk"/>
    <s v="High Cube"/>
    <n v="2"/>
    <s v="Electronics"/>
    <n v="45765.65"/>
    <n v="11091"/>
    <n v="2215.16"/>
    <n v="663.37"/>
    <n v="457.66"/>
    <n v="486.84"/>
    <n v="1067.7"/>
    <n v="29783.919999999998"/>
    <n v="36"/>
    <s v="Weather"/>
    <n v="92.42"/>
    <s v="Delayed"/>
    <s v="Paid"/>
    <s v="High"/>
    <s v="L. Chen"/>
    <s v="North America"/>
    <d v="2025-09-01T00:00:00"/>
    <x v="20"/>
  </r>
  <r>
    <x v="494"/>
    <s v="BK50355"/>
    <d v="2025-10-26T00:00:00"/>
    <d v="2025-10-29T00:00:00"/>
    <d v="2025-11-26T00:00:00"/>
    <s v="Reliance"/>
    <s v="Retail"/>
    <s v="India"/>
    <s v="Colombo"/>
    <s v="Nhava Sheva"/>
    <x v="2"/>
    <s v="Mary Maersk"/>
    <s v="Reefer"/>
    <n v="2"/>
    <s v="Textiles"/>
    <n v="45830.91"/>
    <n v="10205.9"/>
    <n v="3174.46"/>
    <n v="1063.44"/>
    <n v="458.31"/>
    <n v="768.6"/>
    <n v="2156.4699999999998"/>
    <n v="28003.73"/>
    <n v="0"/>
    <s v="None"/>
    <n v="85.05"/>
    <s v="Completed"/>
    <s v="Paid"/>
    <s v="Standard"/>
    <s v="J. Smith"/>
    <s v="North America"/>
    <d v="2025-10-01T00:00:00"/>
    <x v="17"/>
  </r>
  <r>
    <x v="495"/>
    <s v="BK50362"/>
    <d v="2025-03-18T00:00:00"/>
    <d v="2025-03-20T00:00:00"/>
    <d v="2025-04-06T00:00:00"/>
    <s v="LG"/>
    <s v="Electronics"/>
    <s v="South Korea"/>
    <s v="Rotterdam"/>
    <s v="Hamburg"/>
    <x v="2"/>
    <s v="Ever Ace"/>
    <s v="Reefer"/>
    <n v="2"/>
    <s v="Textiles"/>
    <n v="45921.33"/>
    <n v="11877.18"/>
    <n v="3302.68"/>
    <n v="954.28"/>
    <n v="459.21"/>
    <n v="806.25"/>
    <n v="496.37"/>
    <n v="28025.360000000001"/>
    <n v="12"/>
    <s v="Customs"/>
    <n v="98.98"/>
    <s v="Delayed"/>
    <s v="Pending"/>
    <s v="High"/>
    <s v="M. Ahmed"/>
    <s v="Middle East"/>
    <d v="2025-03-01T00:00:00"/>
    <x v="18"/>
  </r>
  <r>
    <x v="496"/>
    <s v="BK50352"/>
    <d v="2025-07-21T00:00:00"/>
    <d v="2025-07-25T00:00:00"/>
    <d v="2025-08-07T00:00:00"/>
    <s v="Reliance"/>
    <s v="Retail"/>
    <s v="India"/>
    <s v="Shanghai"/>
    <s v="Rotterdam"/>
    <x v="1"/>
    <s v="Mary Maersk"/>
    <s v="40FT"/>
    <n v="2"/>
    <s v="Furniture"/>
    <n v="45939.26"/>
    <n v="11297.44"/>
    <n v="3116.2"/>
    <n v="751.37"/>
    <n v="459.39"/>
    <n v="507.71"/>
    <n v="2489.7399999999998"/>
    <n v="27317.41"/>
    <n v="12"/>
    <s v="Customs"/>
    <n v="94.15"/>
    <s v="Delayed"/>
    <s v="Pending"/>
    <s v="Critical"/>
    <s v="M. Ahmed"/>
    <s v="Middle East"/>
    <d v="2025-07-01T00:00:00"/>
    <x v="13"/>
  </r>
  <r>
    <x v="497"/>
    <s v="BK50550"/>
    <d v="2025-11-11T00:00:00"/>
    <d v="2025-11-14T00:00:00"/>
    <d v="2025-12-11T00:00:00"/>
    <s v="IKEA"/>
    <s v="Retail"/>
    <s v="Sweden"/>
    <s v="Jebel Ali"/>
    <s v="Nhava Sheva"/>
    <x v="0"/>
    <s v="Monaco Maersk"/>
    <s v="High Cube"/>
    <n v="2"/>
    <s v="Food"/>
    <n v="46040.43"/>
    <n v="9935.1200000000008"/>
    <n v="2660.16"/>
    <n v="1164.4100000000001"/>
    <n v="460.4"/>
    <n v="709.89"/>
    <n v="2178.7600000000002"/>
    <n v="28931.69"/>
    <n v="8"/>
    <s v="Labor Strike"/>
    <n v="82.79"/>
    <s v="Delayed"/>
    <s v="Pending"/>
    <s v="Critical"/>
    <s v="M. Ahmed"/>
    <s v="North America"/>
    <d v="2025-11-01T00:00:00"/>
    <x v="2"/>
  </r>
  <r>
    <x v="498"/>
    <s v="BK50247"/>
    <d v="2025-10-16T00:00:00"/>
    <d v="2025-10-19T00:00:00"/>
    <d v="2025-11-07T00:00:00"/>
    <s v="Toyota"/>
    <s v="Automotive"/>
    <s v="Japan"/>
    <s v="Los Angeles"/>
    <s v="Nhava Sheva"/>
    <x v="2"/>
    <s v="Ever Ace"/>
    <s v="Reefer"/>
    <n v="4"/>
    <s v="Textiles"/>
    <n v="46162.080000000002"/>
    <n v="8459.3700000000008"/>
    <n v="2591.7800000000002"/>
    <n v="1007.49"/>
    <n v="461.62"/>
    <n v="642.36"/>
    <n v="326.74"/>
    <n v="32672.720000000001"/>
    <n v="0"/>
    <s v="None"/>
    <n v="70.489999999999995"/>
    <s v="Completed"/>
    <s v="Pending"/>
    <s v="Critical"/>
    <s v="R. Mehta"/>
    <s v="Asia"/>
    <d v="2025-10-01T00:00:00"/>
    <x v="11"/>
  </r>
  <r>
    <x v="499"/>
    <s v="BK50640"/>
    <d v="2025-07-26T00:00:00"/>
    <d v="2025-07-29T00:00:00"/>
    <d v="2025-08-19T00:00:00"/>
    <s v="Unilever"/>
    <s v="FMCG"/>
    <s v="UK"/>
    <s v="Jebel Ali"/>
    <s v="Nhava Sheva"/>
    <x v="0"/>
    <s v="Monaco Maersk"/>
    <s v="20FT"/>
    <n v="2"/>
    <s v="Machinery"/>
    <n v="46273.46"/>
    <n v="9386.35"/>
    <n v="2556.0500000000002"/>
    <n v="1146.3499999999999"/>
    <n v="462.73"/>
    <n v="516.71"/>
    <n v="2472.4299999999998"/>
    <n v="29732.84"/>
    <n v="48"/>
    <s v="Port Congestion"/>
    <n v="78.22"/>
    <s v="Delayed"/>
    <s v="Paid"/>
    <s v="Standard"/>
    <s v="R. Mehta"/>
    <s v="Asia"/>
    <d v="2025-07-01T00:00:00"/>
    <x v="9"/>
  </r>
  <r>
    <x v="500"/>
    <s v="BK50175"/>
    <d v="2025-05-31T00:00:00"/>
    <d v="2025-06-02T00:00:00"/>
    <d v="2025-06-29T00:00:00"/>
    <s v="Nestlé"/>
    <s v="Food"/>
    <s v="Switzerland"/>
    <s v="Shanghai"/>
    <s v="Rotterdam"/>
    <x v="1"/>
    <s v="CMA CGM Jacques Saadé"/>
    <s v="20FT"/>
    <n v="2"/>
    <s v="Machinery"/>
    <n v="46279.09"/>
    <n v="10794.68"/>
    <n v="3061.13"/>
    <n v="970.93"/>
    <n v="462.79"/>
    <n v="353.18"/>
    <n v="1593.99"/>
    <n v="29042.39"/>
    <n v="12"/>
    <s v="Customs"/>
    <n v="89.96"/>
    <s v="Delayed"/>
    <s v="Pending"/>
    <s v="Critical"/>
    <s v="A. Tan"/>
    <s v="Asia"/>
    <d v="2025-05-01T00:00:00"/>
    <x v="2"/>
  </r>
  <r>
    <x v="501"/>
    <s v="BK50983"/>
    <d v="2025-07-22T00:00:00"/>
    <d v="2025-07-24T00:00:00"/>
    <d v="2025-08-03T00:00:00"/>
    <s v="Pfizer"/>
    <s v="Pharma"/>
    <s v="USA"/>
    <s v="Shanghai"/>
    <s v="Rotterdam"/>
    <x v="1"/>
    <s v="CMA CGM Jacques Saadé"/>
    <s v="20FT"/>
    <n v="2"/>
    <s v="Food"/>
    <n v="46353.04"/>
    <n v="9113.17"/>
    <n v="2488.85"/>
    <n v="1388.05"/>
    <n v="463.53"/>
    <n v="861.46"/>
    <n v="2424.4"/>
    <n v="29613.58"/>
    <n v="0"/>
    <s v="None"/>
    <n v="75.94"/>
    <s v="Completed"/>
    <s v="Paid"/>
    <s v="Standard"/>
    <s v="J. Smith"/>
    <s v="Asia"/>
    <d v="2025-07-01T00:00:00"/>
    <x v="15"/>
  </r>
  <r>
    <x v="502"/>
    <s v="BK50095"/>
    <d v="2025-06-11T00:00:00"/>
    <d v="2025-06-14T00:00:00"/>
    <d v="2025-07-01T00:00:00"/>
    <s v="Nestlé"/>
    <s v="Food"/>
    <s v="Switzerland"/>
    <s v="Singapore"/>
    <s v="Rotterdam"/>
    <x v="1"/>
    <s v="OOCL Hong Kong"/>
    <s v="20FT"/>
    <n v="2"/>
    <s v="Furniture"/>
    <n v="46469.62"/>
    <n v="12193.86"/>
    <n v="3656.51"/>
    <n v="947.21"/>
    <n v="464.7"/>
    <n v="477.8"/>
    <n v="1451.06"/>
    <n v="27278.48"/>
    <n v="48"/>
    <s v="Port Congestion"/>
    <n v="101.62"/>
    <s v="Delayed"/>
    <s v="Pending"/>
    <s v="High"/>
    <s v="R. Mehta"/>
    <s v="Europe"/>
    <d v="2025-06-01T00:00:00"/>
    <x v="18"/>
  </r>
  <r>
    <x v="503"/>
    <s v="BK50487"/>
    <d v="2025-05-01T00:00:00"/>
    <d v="2025-05-02T00:00:00"/>
    <d v="2025-05-19T00:00:00"/>
    <s v="Nestlé"/>
    <s v="Food"/>
    <s v="Switzerland"/>
    <s v="Colombo"/>
    <s v="Los Angeles"/>
    <x v="2"/>
    <s v="Mary Maersk"/>
    <s v="40FT"/>
    <n v="2"/>
    <s v="Electronics"/>
    <n v="46694.34"/>
    <n v="11013.22"/>
    <n v="2563.89"/>
    <n v="845.04"/>
    <n v="466.94"/>
    <n v="132.11000000000001"/>
    <n v="2477.48"/>
    <n v="29195.66"/>
    <n v="0"/>
    <s v="None"/>
    <n v="91.78"/>
    <s v="Completed"/>
    <s v="Pending"/>
    <s v="Standard"/>
    <s v="M. Ahmed"/>
    <s v="Asia"/>
    <d v="2025-05-01T00:00:00"/>
    <x v="18"/>
  </r>
  <r>
    <x v="504"/>
    <s v="BK50748"/>
    <d v="2025-11-02T00:00:00"/>
    <d v="2025-11-04T00:00:00"/>
    <d v="2025-11-30T00:00:00"/>
    <s v="Pfizer"/>
    <s v="Pharma"/>
    <s v="USA"/>
    <s v="Colombo"/>
    <s v="Singapore"/>
    <x v="4"/>
    <s v="OOCL Hong Kong"/>
    <s v="40FT"/>
    <n v="2"/>
    <s v="Chemicals"/>
    <n v="46807.45"/>
    <n v="12147.41"/>
    <n v="2302.36"/>
    <n v="840.16"/>
    <n v="468.07"/>
    <n v="651.66999999999996"/>
    <n v="1478.92"/>
    <n v="28918.86"/>
    <n v="12"/>
    <s v="Labor Strike"/>
    <n v="101.23"/>
    <s v="Delayed"/>
    <s v="Paid"/>
    <s v="Critical"/>
    <s v="J. Smith"/>
    <s v="North America"/>
    <d v="2025-11-01T00:00:00"/>
    <x v="3"/>
  </r>
  <r>
    <x v="505"/>
    <s v="BK50335"/>
    <d v="2025-11-30T00:00:00"/>
    <d v="2025-12-02T00:00:00"/>
    <d v="2025-12-17T00:00:00"/>
    <s v="LG"/>
    <s v="Electronics"/>
    <s v="South Korea"/>
    <s v="Jebel Ali"/>
    <s v="Nhava Sheva"/>
    <x v="0"/>
    <s v="OOCL Hong Kong"/>
    <s v="40FT"/>
    <n v="2"/>
    <s v="Textiles"/>
    <n v="47037.18"/>
    <n v="13999.68"/>
    <n v="3749.42"/>
    <n v="895.96"/>
    <n v="470.37"/>
    <n v="131.79"/>
    <n v="1619.77"/>
    <n v="26170.19"/>
    <n v="4"/>
    <s v="Port Congestion"/>
    <n v="116.66"/>
    <s v="Delayed"/>
    <s v="Pending"/>
    <s v="Critical"/>
    <s v="M. Ahmed"/>
    <s v="Middle East"/>
    <d v="2025-11-01T00:00:00"/>
    <x v="6"/>
  </r>
  <r>
    <x v="506"/>
    <s v="BK50774"/>
    <d v="2025-12-26T00:00:00"/>
    <d v="2025-12-27T00:00:00"/>
    <d v="2026-01-08T00:00:00"/>
    <s v="Bosch"/>
    <s v="Manufacturing"/>
    <s v="Germany"/>
    <s v="Shanghai"/>
    <s v="Rotterdam"/>
    <x v="1"/>
    <s v="Monaco Maersk"/>
    <s v="High Cube"/>
    <n v="2"/>
    <s v="Food"/>
    <n v="47049.47"/>
    <n v="13440.69"/>
    <n v="3262.28"/>
    <n v="908.41"/>
    <n v="470.49"/>
    <n v="412.98"/>
    <n v="1847.41"/>
    <n v="26707.21"/>
    <n v="8"/>
    <s v="Mechanical"/>
    <n v="112.01"/>
    <s v="Delayed"/>
    <s v="Paid"/>
    <s v="Critical"/>
    <s v="L. Chen"/>
    <s v="Asia"/>
    <d v="2025-12-01T00:00:00"/>
    <x v="12"/>
  </r>
  <r>
    <x v="507"/>
    <s v="BK50290"/>
    <d v="2025-10-30T00:00:00"/>
    <d v="2025-11-03T00:00:00"/>
    <d v="2025-11-18T00:00:00"/>
    <s v="Amazon"/>
    <s v="E-commerce"/>
    <s v="USA"/>
    <s v="Jebel Ali"/>
    <s v="Nhava Sheva"/>
    <x v="0"/>
    <s v="OOCL Hong Kong"/>
    <s v="High Cube"/>
    <n v="2"/>
    <s v="Furniture"/>
    <n v="47267.43"/>
    <n v="12662.99"/>
    <n v="3451.93"/>
    <n v="1093.75"/>
    <n v="472.67"/>
    <n v="892.67"/>
    <n v="1902.55"/>
    <n v="26790.87"/>
    <n v="8"/>
    <s v="Customs"/>
    <n v="105.52"/>
    <s v="Delayed"/>
    <s v="Paid"/>
    <s v="High"/>
    <s v="M. Ahmed"/>
    <s v="North America"/>
    <d v="2025-10-01T00:00:00"/>
    <x v="6"/>
  </r>
  <r>
    <x v="508"/>
    <s v="BK50347"/>
    <d v="2025-10-25T00:00:00"/>
    <d v="2025-10-26T00:00:00"/>
    <d v="2025-11-15T00:00:00"/>
    <s v="Reliance"/>
    <s v="Retail"/>
    <s v="India"/>
    <s v="New York"/>
    <s v="Rotterdam"/>
    <x v="2"/>
    <s v="CMA CGM Jacques Saadé"/>
    <s v="High Cube"/>
    <n v="4"/>
    <s v="Auto Parts"/>
    <n v="47395.1"/>
    <n v="12332.83"/>
    <n v="3768.2"/>
    <n v="719.61"/>
    <n v="473.95"/>
    <n v="139.63999999999999"/>
    <n v="703.9"/>
    <n v="29256.97"/>
    <n v="36"/>
    <s v="Port Congestion"/>
    <n v="102.77"/>
    <s v="Delayed"/>
    <s v="Paid"/>
    <s v="Critical"/>
    <s v="J. Smith"/>
    <s v="Middle East"/>
    <d v="2025-10-01T00:00:00"/>
    <x v="16"/>
  </r>
  <r>
    <x v="509"/>
    <s v="BK50819"/>
    <d v="2025-09-20T00:00:00"/>
    <d v="2025-09-23T00:00:00"/>
    <d v="2025-10-20T00:00:00"/>
    <s v="Nestlé"/>
    <s v="Food"/>
    <s v="Switzerland"/>
    <s v="New York"/>
    <s v="Busan"/>
    <x v="2"/>
    <s v="MSC Gülsün"/>
    <s v="20FT"/>
    <n v="2"/>
    <s v="Textiles"/>
    <n v="47640.77"/>
    <n v="10117.61"/>
    <n v="3736.63"/>
    <n v="1230.58"/>
    <n v="476.41"/>
    <n v="553.82000000000005"/>
    <n v="1410.88"/>
    <n v="30114.84"/>
    <n v="12"/>
    <s v="Customs"/>
    <n v="84.31"/>
    <s v="Delayed"/>
    <s v="Paid"/>
    <s v="High"/>
    <s v="M. Ahmed"/>
    <s v="Middle East"/>
    <d v="2025-09-01T00:00:00"/>
    <x v="2"/>
  </r>
  <r>
    <x v="510"/>
    <s v="BK50230"/>
    <d v="2025-02-10T00:00:00"/>
    <d v="2025-02-13T00:00:00"/>
    <d v="2025-03-09T00:00:00"/>
    <s v="Unilever"/>
    <s v="FMCG"/>
    <s v="UK"/>
    <s v="Jebel Ali"/>
    <s v="Nhava Sheva"/>
    <x v="0"/>
    <s v="Monaco Maersk"/>
    <s v="40FT"/>
    <n v="4"/>
    <s v="Chemicals"/>
    <n v="47656.06"/>
    <n v="12202.29"/>
    <n v="3567.08"/>
    <n v="512.05999999999995"/>
    <n v="476.56"/>
    <n v="508.31"/>
    <n v="360.16"/>
    <n v="30029.599999999999"/>
    <n v="8"/>
    <s v="Customs"/>
    <n v="101.69"/>
    <s v="Delayed"/>
    <s v="Paid"/>
    <s v="High"/>
    <s v="A. Tan"/>
    <s v="Europe"/>
    <d v="2025-02-01T00:00:00"/>
    <x v="8"/>
  </r>
  <r>
    <x v="511"/>
    <s v="BK50832"/>
    <d v="2025-10-08T00:00:00"/>
    <d v="2025-10-12T00:00:00"/>
    <d v="2025-10-23T00:00:00"/>
    <s v="Adidas"/>
    <s v="Retail"/>
    <s v="Germany"/>
    <s v="Jebel Ali"/>
    <s v="Jebel Ali"/>
    <x v="2"/>
    <s v="Madrid Maersk"/>
    <s v="Reefer"/>
    <n v="2"/>
    <s v="Furniture"/>
    <n v="47821.5"/>
    <n v="9110.9699999999993"/>
    <n v="2818.29"/>
    <n v="1012.95"/>
    <n v="478.22"/>
    <n v="848.15"/>
    <n v="695.11"/>
    <n v="32857.81"/>
    <n v="0"/>
    <s v="None"/>
    <n v="75.92"/>
    <s v="Completed"/>
    <s v="Paid"/>
    <s v="Standard"/>
    <s v="M. Ahmed"/>
    <s v="North America"/>
    <d v="2025-10-01T00:00:00"/>
    <x v="5"/>
  </r>
  <r>
    <x v="512"/>
    <s v="BK50493"/>
    <d v="2025-04-04T00:00:00"/>
    <d v="2025-04-05T00:00:00"/>
    <d v="2025-04-30T00:00:00"/>
    <s v="Adidas"/>
    <s v="Retail"/>
    <s v="Germany"/>
    <s v="Colombo"/>
    <s v="Singapore"/>
    <x v="4"/>
    <s v="Mary Maersk"/>
    <s v="Reefer"/>
    <n v="2"/>
    <s v="Textiles"/>
    <n v="47908.94"/>
    <n v="11108.21"/>
    <n v="2735.31"/>
    <n v="568.41"/>
    <n v="479.09"/>
    <n v="666.42"/>
    <n v="652.02"/>
    <n v="31699.48"/>
    <n v="0"/>
    <s v="None"/>
    <n v="92.57"/>
    <s v="Completed"/>
    <s v="Paid"/>
    <s v="Standard"/>
    <s v="A. Tan"/>
    <s v="Middle East"/>
    <d v="2025-04-01T00:00:00"/>
    <x v="10"/>
  </r>
  <r>
    <x v="513"/>
    <s v="BK50576"/>
    <d v="2025-11-08T00:00:00"/>
    <d v="2025-11-09T00:00:00"/>
    <d v="2025-11-30T00:00:00"/>
    <s v="Unilever"/>
    <s v="FMCG"/>
    <s v="UK"/>
    <s v="Singapore"/>
    <s v="New York"/>
    <x v="2"/>
    <s v="Mary Maersk"/>
    <s v="High Cube"/>
    <n v="4"/>
    <s v="Furniture"/>
    <n v="47920.38"/>
    <n v="10956.62"/>
    <n v="2346.84"/>
    <n v="1284.07"/>
    <n v="479.2"/>
    <n v="571.88"/>
    <n v="518.42999999999995"/>
    <n v="31763.34"/>
    <n v="0"/>
    <s v="None"/>
    <n v="91.31"/>
    <s v="Completed"/>
    <s v="Paid"/>
    <s v="Standard"/>
    <s v="L. Chen"/>
    <s v="Asia"/>
    <d v="2025-11-01T00:00:00"/>
    <x v="9"/>
  </r>
  <r>
    <x v="514"/>
    <s v="BK50660"/>
    <d v="2025-02-01T00:00:00"/>
    <d v="2025-02-04T00:00:00"/>
    <d v="2025-02-20T00:00:00"/>
    <s v="Samsung"/>
    <s v="Electronics"/>
    <s v="South Korea"/>
    <s v="New York"/>
    <s v="Singapore"/>
    <x v="2"/>
    <s v="OOCL Hong Kong"/>
    <s v="40FT"/>
    <n v="4"/>
    <s v="Textiles"/>
    <n v="47926.87"/>
    <n v="11974.52"/>
    <n v="2307.86"/>
    <n v="957.21"/>
    <n v="479.27"/>
    <n v="575.91999999999996"/>
    <n v="2485.08"/>
    <n v="29147.01"/>
    <n v="24"/>
    <s v="Weather"/>
    <n v="99.79"/>
    <s v="Delayed"/>
    <s v="Paid"/>
    <s v="Standard"/>
    <s v="R. Mehta"/>
    <s v="Middle East"/>
    <d v="2025-02-01T00:00:00"/>
    <x v="0"/>
  </r>
  <r>
    <x v="515"/>
    <s v="BK50554"/>
    <d v="2025-07-14T00:00:00"/>
    <d v="2025-07-16T00:00:00"/>
    <d v="2025-08-13T00:00:00"/>
    <s v="Adidas"/>
    <s v="Retail"/>
    <s v="Germany"/>
    <s v="Colombo"/>
    <s v="Singapore"/>
    <x v="4"/>
    <s v="Ever Ace"/>
    <s v="40FT"/>
    <n v="2"/>
    <s v="Electronics"/>
    <n v="48019.97"/>
    <n v="13922.87"/>
    <n v="2267"/>
    <n v="481.36"/>
    <n v="480.2"/>
    <n v="375.19"/>
    <n v="1375.53"/>
    <n v="29117.82"/>
    <n v="0"/>
    <s v="None"/>
    <n v="116.02"/>
    <s v="Completed"/>
    <s v="Paid"/>
    <s v="Critical"/>
    <s v="L. Chen"/>
    <s v="Europe"/>
    <d v="2025-07-01T00:00:00"/>
    <x v="17"/>
  </r>
  <r>
    <x v="516"/>
    <s v="BK50156"/>
    <d v="2025-11-30T00:00:00"/>
    <d v="2025-12-02T00:00:00"/>
    <d v="2025-12-26T00:00:00"/>
    <s v="Pfizer"/>
    <s v="Pharma"/>
    <s v="USA"/>
    <s v="Colombo"/>
    <s v="Singapore"/>
    <x v="4"/>
    <s v="Mary Maersk"/>
    <s v="High Cube"/>
    <n v="2"/>
    <s v="Electronics"/>
    <n v="48197.08"/>
    <n v="11803.4"/>
    <n v="3446.04"/>
    <n v="1340.48"/>
    <n v="481.97"/>
    <n v="596.23"/>
    <n v="1336.89"/>
    <n v="29192.07"/>
    <n v="0"/>
    <s v="None"/>
    <n v="98.36"/>
    <s v="Completed"/>
    <s v="Paid"/>
    <s v="High"/>
    <s v="M. Ahmed"/>
    <s v="Asia"/>
    <d v="2025-11-01T00:00:00"/>
    <x v="8"/>
  </r>
  <r>
    <x v="517"/>
    <s v="BK50259"/>
    <d v="2025-03-05T00:00:00"/>
    <d v="2025-03-08T00:00:00"/>
    <d v="2025-03-31T00:00:00"/>
    <s v="Siemens"/>
    <s v="Engineering"/>
    <s v="Germany"/>
    <s v="Jebel Ali"/>
    <s v="Nhava Sheva"/>
    <x v="0"/>
    <s v="Ever Ace"/>
    <s v="20FT"/>
    <n v="2"/>
    <s v="Auto Parts"/>
    <n v="48349.43"/>
    <n v="13463.68"/>
    <n v="2608.64"/>
    <n v="1018.74"/>
    <n v="483.49"/>
    <n v="790.07"/>
    <n v="2498.0500000000002"/>
    <n v="27486.76"/>
    <n v="0"/>
    <s v="None"/>
    <n v="112.2"/>
    <s v="Completed"/>
    <s v="Pending"/>
    <s v="Critical"/>
    <s v="A. Tan"/>
    <s v="North America"/>
    <d v="2025-03-01T00:00:00"/>
    <x v="7"/>
  </r>
  <r>
    <x v="518"/>
    <s v="BK50474"/>
    <d v="2025-01-07T00:00:00"/>
    <d v="2025-01-08T00:00:00"/>
    <d v="2025-01-21T00:00:00"/>
    <s v="Reliance"/>
    <s v="Retail"/>
    <s v="India"/>
    <s v="Colombo"/>
    <s v="Singapore"/>
    <x v="4"/>
    <s v="Monaco Maersk"/>
    <s v="High Cube"/>
    <n v="2"/>
    <s v="Auto Parts"/>
    <n v="48534.64"/>
    <n v="11816"/>
    <n v="3113.56"/>
    <n v="548.13"/>
    <n v="485.35"/>
    <n v="492.61"/>
    <n v="1179.44"/>
    <n v="30899.55"/>
    <n v="0"/>
    <s v="None"/>
    <n v="98.47"/>
    <s v="Completed"/>
    <s v="Paid"/>
    <s v="Standard"/>
    <s v="R. Mehta"/>
    <s v="Europe"/>
    <d v="2025-01-01T00:00:00"/>
    <x v="13"/>
  </r>
  <r>
    <x v="519"/>
    <s v="BK50326"/>
    <d v="2025-05-02T00:00:00"/>
    <d v="2025-05-06T00:00:00"/>
    <d v="2025-05-21T00:00:00"/>
    <s v="Adidas"/>
    <s v="Retail"/>
    <s v="Germany"/>
    <s v="Busan"/>
    <s v="Los Angeles"/>
    <x v="3"/>
    <s v="Madrid Maersk"/>
    <s v="20FT"/>
    <n v="2"/>
    <s v="Auto Parts"/>
    <n v="48610.400000000001"/>
    <n v="10678.78"/>
    <n v="3510.62"/>
    <n v="827.29"/>
    <n v="486.1"/>
    <n v="504.07"/>
    <n v="2037.81"/>
    <n v="30565.73"/>
    <n v="4"/>
    <s v="Port Congestion"/>
    <n v="88.99"/>
    <s v="Delayed"/>
    <s v="Paid"/>
    <s v="Standard"/>
    <s v="R. Mehta"/>
    <s v="North America"/>
    <d v="2025-05-01T00:00:00"/>
    <x v="6"/>
  </r>
  <r>
    <x v="520"/>
    <s v="BK50276"/>
    <d v="2025-01-13T00:00:00"/>
    <d v="2025-01-17T00:00:00"/>
    <d v="2025-02-12T00:00:00"/>
    <s v="Samsung"/>
    <s v="Electronics"/>
    <s v="South Korea"/>
    <s v="Shanghai"/>
    <s v="Rotterdam"/>
    <x v="1"/>
    <s v="Mumbai Maersk"/>
    <s v="20FT"/>
    <n v="2"/>
    <s v="Auto Parts"/>
    <n v="48667.23"/>
    <n v="10950.02"/>
    <n v="2530.1"/>
    <n v="1007.61"/>
    <n v="486.67"/>
    <n v="525.85"/>
    <n v="535.35"/>
    <n v="32631.63"/>
    <n v="36"/>
    <s v="Port Congestion"/>
    <n v="91.25"/>
    <s v="Delayed"/>
    <s v="Paid"/>
    <s v="High"/>
    <s v="A. Tan"/>
    <s v="Middle East"/>
    <d v="2025-01-01T00:00:00"/>
    <x v="3"/>
  </r>
  <r>
    <x v="521"/>
    <s v="BK50600"/>
    <d v="2025-11-05T00:00:00"/>
    <d v="2025-11-09T00:00:00"/>
    <d v="2025-11-25T00:00:00"/>
    <s v="Adidas"/>
    <s v="Retail"/>
    <s v="Germany"/>
    <s v="Colombo"/>
    <s v="Singapore"/>
    <x v="4"/>
    <s v="MSC Gülsün"/>
    <s v="High Cube"/>
    <n v="2"/>
    <s v="Machinery"/>
    <n v="48871.22"/>
    <n v="10016.09"/>
    <n v="1981.03"/>
    <n v="1435.26"/>
    <n v="488.71"/>
    <n v="364.04"/>
    <n v="433.61"/>
    <n v="34152.480000000003"/>
    <n v="0"/>
    <s v="None"/>
    <n v="83.47"/>
    <s v="Completed"/>
    <s v="Pending"/>
    <s v="Critical"/>
    <s v="M. Ahmed"/>
    <s v="Middle East"/>
    <d v="2025-11-01T00:00:00"/>
    <x v="0"/>
  </r>
  <r>
    <x v="522"/>
    <s v="BK50466"/>
    <d v="2025-10-03T00:00:00"/>
    <d v="2025-10-05T00:00:00"/>
    <d v="2025-10-16T00:00:00"/>
    <s v="Toyota"/>
    <s v="Automotive"/>
    <s v="Japan"/>
    <s v="Jebel Ali"/>
    <s v="Nhava Sheva"/>
    <x v="0"/>
    <s v="OOCL Hong Kong"/>
    <s v="20FT"/>
    <n v="4"/>
    <s v="Auto Parts"/>
    <n v="48909.57"/>
    <n v="8215.69"/>
    <n v="2457.5"/>
    <n v="1316.62"/>
    <n v="489.1"/>
    <n v="103"/>
    <n v="1917.88"/>
    <n v="34409.78"/>
    <n v="0"/>
    <s v="None"/>
    <n v="68.459999999999994"/>
    <s v="Completed"/>
    <s v="Pending"/>
    <s v="High"/>
    <s v="R. Mehta"/>
    <s v="Asia"/>
    <d v="2025-10-01T00:00:00"/>
    <x v="5"/>
  </r>
  <r>
    <x v="523"/>
    <s v="BK50517"/>
    <d v="2025-11-07T00:00:00"/>
    <d v="2025-11-09T00:00:00"/>
    <d v="2025-11-20T00:00:00"/>
    <s v="Siemens"/>
    <s v="Engineering"/>
    <s v="Germany"/>
    <s v="Shanghai"/>
    <s v="Busan"/>
    <x v="2"/>
    <s v="OOCL Hong Kong"/>
    <s v="High Cube"/>
    <n v="2"/>
    <s v="Auto Parts"/>
    <n v="48964.33"/>
    <n v="11073.08"/>
    <n v="3817.21"/>
    <n v="1449.04"/>
    <n v="489.64"/>
    <n v="828.01"/>
    <n v="1229.96"/>
    <n v="30077.39"/>
    <n v="0"/>
    <s v="None"/>
    <n v="92.28"/>
    <s v="Completed"/>
    <s v="Pending"/>
    <s v="Standard"/>
    <s v="R. Mehta"/>
    <s v="Asia"/>
    <d v="2025-11-01T00:00:00"/>
    <x v="5"/>
  </r>
  <r>
    <x v="524"/>
    <s v="BK50051"/>
    <d v="2025-06-17T00:00:00"/>
    <d v="2025-06-20T00:00:00"/>
    <d v="2025-07-03T00:00:00"/>
    <s v="Bosch"/>
    <s v="Manufacturing"/>
    <s v="Germany"/>
    <s v="Colombo"/>
    <s v="Singapore"/>
    <x v="4"/>
    <s v="MSC Gülsün"/>
    <s v="40FT"/>
    <n v="2"/>
    <s v="Food"/>
    <n v="48991.85"/>
    <n v="10933.9"/>
    <n v="2125.0500000000002"/>
    <n v="843.5"/>
    <n v="489.92"/>
    <n v="524.41"/>
    <n v="2098.44"/>
    <n v="31976.63"/>
    <n v="48"/>
    <s v="Mechanical"/>
    <n v="91.12"/>
    <s v="Delayed"/>
    <s v="Paid"/>
    <s v="Standard"/>
    <s v="J. Smith"/>
    <s v="Middle East"/>
    <d v="2025-06-01T00:00:00"/>
    <x v="13"/>
  </r>
  <r>
    <x v="525"/>
    <s v="BK50003"/>
    <d v="2025-12-21T00:00:00"/>
    <d v="2025-12-24T00:00:00"/>
    <d v="2026-01-04T00:00:00"/>
    <s v="Samsung"/>
    <s v="Electronics"/>
    <s v="South Korea"/>
    <s v="Jebel Ali"/>
    <s v="Nhava Sheva"/>
    <x v="0"/>
    <s v="Ever Ace"/>
    <s v="40FT"/>
    <n v="4"/>
    <s v="Machinery"/>
    <n v="49247.29"/>
    <n v="13881.31"/>
    <n v="2247.5100000000002"/>
    <n v="498.97"/>
    <n v="492.47"/>
    <n v="241.6"/>
    <n v="1652.17"/>
    <n v="30233.26"/>
    <n v="4"/>
    <s v="Mechanical"/>
    <n v="115.68"/>
    <s v="Delayed"/>
    <s v="Pending"/>
    <s v="High"/>
    <s v="A. Tan"/>
    <s v="Middle East"/>
    <d v="2025-12-01T00:00:00"/>
    <x v="5"/>
  </r>
  <r>
    <x v="526"/>
    <s v="BK50448"/>
    <d v="2025-02-28T00:00:00"/>
    <d v="2025-03-02T00:00:00"/>
    <d v="2025-03-17T00:00:00"/>
    <s v="Amazon"/>
    <s v="E-commerce"/>
    <s v="USA"/>
    <s v="Shanghai"/>
    <s v="Rotterdam"/>
    <x v="1"/>
    <s v="Mumbai Maersk"/>
    <s v="40FT"/>
    <n v="2"/>
    <s v="Furniture"/>
    <n v="49283.24"/>
    <n v="8483.15"/>
    <n v="3610.44"/>
    <n v="1449.14"/>
    <n v="492.83"/>
    <n v="409.52"/>
    <n v="587.51"/>
    <n v="34250.65"/>
    <n v="8"/>
    <s v="Mechanical"/>
    <n v="70.69"/>
    <s v="Delayed"/>
    <s v="Paid"/>
    <s v="Standard"/>
    <s v="R. Mehta"/>
    <s v="Asia"/>
    <d v="2025-02-01T00:00:00"/>
    <x v="6"/>
  </r>
  <r>
    <x v="527"/>
    <s v="BK50857"/>
    <d v="2025-10-18T00:00:00"/>
    <d v="2025-10-22T00:00:00"/>
    <d v="2025-11-19T00:00:00"/>
    <s v="Samsung"/>
    <s v="Electronics"/>
    <s v="South Korea"/>
    <s v="Shanghai"/>
    <s v="Rotterdam"/>
    <x v="1"/>
    <s v="CMA CGM Jacques Saadé"/>
    <s v="40FT"/>
    <n v="2"/>
    <s v="Auto Parts"/>
    <n v="49609.49"/>
    <n v="9867.11"/>
    <n v="3630.27"/>
    <n v="1360.58"/>
    <n v="496.09"/>
    <n v="681.54"/>
    <n v="1125.8"/>
    <n v="32448.1"/>
    <n v="12"/>
    <s v="Weather"/>
    <n v="82.23"/>
    <s v="Delayed"/>
    <s v="Paid"/>
    <s v="Critical"/>
    <s v="L. Chen"/>
    <s v="North America"/>
    <d v="2025-10-01T00:00:00"/>
    <x v="17"/>
  </r>
  <r>
    <x v="528"/>
    <s v="BK50159"/>
    <d v="2025-08-25T00:00:00"/>
    <d v="2025-08-28T00:00:00"/>
    <d v="2025-09-14T00:00:00"/>
    <s v="Siemens"/>
    <s v="Engineering"/>
    <s v="Germany"/>
    <s v="Colombo"/>
    <s v="Singapore"/>
    <x v="4"/>
    <s v="MSC Gülsün"/>
    <s v="Reefer"/>
    <n v="2"/>
    <s v="Furniture"/>
    <n v="49954.9"/>
    <n v="9184.83"/>
    <n v="3587.43"/>
    <n v="1284.68"/>
    <n v="499.55"/>
    <n v="439.63"/>
    <n v="995.91"/>
    <n v="33962.870000000003"/>
    <n v="36"/>
    <s v="Mechanical"/>
    <n v="76.540000000000006"/>
    <s v="Delayed"/>
    <s v="Paid"/>
    <s v="Standard"/>
    <s v="A. Tan"/>
    <s v="Middle East"/>
    <d v="2025-08-01T00:00:00"/>
    <x v="18"/>
  </r>
  <r>
    <x v="529"/>
    <s v="BK50047"/>
    <d v="2025-10-07T00:00:00"/>
    <d v="2025-10-08T00:00:00"/>
    <d v="2025-10-30T00:00:00"/>
    <s v="Nestlé"/>
    <s v="Food"/>
    <s v="Switzerland"/>
    <s v="Singapore"/>
    <s v="New York"/>
    <x v="2"/>
    <s v="OOCL Hong Kong"/>
    <s v="20FT"/>
    <n v="2"/>
    <s v="Auto Parts"/>
    <n v="49962.16"/>
    <n v="9152.74"/>
    <n v="3967.64"/>
    <n v="1396.46"/>
    <n v="499.62"/>
    <n v="624.05999999999995"/>
    <n v="642.78"/>
    <n v="33678.86"/>
    <n v="0"/>
    <s v="None"/>
    <n v="76.27"/>
    <s v="Completed"/>
    <s v="Paid"/>
    <s v="Standard"/>
    <s v="M. Ahmed"/>
    <s v="North America"/>
    <d v="2025-10-01T00:00:00"/>
    <x v="4"/>
  </r>
  <r>
    <x v="530"/>
    <s v="BK50475"/>
    <d v="2025-03-08T00:00:00"/>
    <d v="2025-03-12T00:00:00"/>
    <d v="2025-03-29T00:00:00"/>
    <s v="Nestlé"/>
    <s v="Food"/>
    <s v="Switzerland"/>
    <s v="Busan"/>
    <s v="Nhava Sheva"/>
    <x v="2"/>
    <s v="Mumbai Maersk"/>
    <s v="40FT"/>
    <n v="2"/>
    <s v="Furniture"/>
    <n v="49976.27"/>
    <n v="12375.61"/>
    <n v="2175.4699999999998"/>
    <n v="899.68"/>
    <n v="499.76"/>
    <n v="732.52"/>
    <n v="322.16000000000003"/>
    <n v="32971.07"/>
    <n v="0"/>
    <s v="None"/>
    <n v="103.13"/>
    <s v="Completed"/>
    <s v="Pending"/>
    <s v="Standard"/>
    <s v="L. Chen"/>
    <s v="Europe"/>
    <d v="2025-03-01T00:00:00"/>
    <x v="18"/>
  </r>
  <r>
    <x v="531"/>
    <s v="BK50267"/>
    <d v="2025-08-16T00:00:00"/>
    <d v="2025-08-19T00:00:00"/>
    <d v="2025-08-30T00:00:00"/>
    <s v="Toyota"/>
    <s v="Automotive"/>
    <s v="Japan"/>
    <s v="Busan"/>
    <s v="Los Angeles"/>
    <x v="3"/>
    <s v="CMA CGM Jacques Saadé"/>
    <s v="20FT"/>
    <n v="2"/>
    <s v="Machinery"/>
    <n v="50169.7"/>
    <n v="8726.11"/>
    <n v="3811.75"/>
    <n v="1465.49"/>
    <n v="501.7"/>
    <n v="529.03"/>
    <n v="995.18"/>
    <n v="34140.44"/>
    <n v="0"/>
    <s v="None"/>
    <n v="72.72"/>
    <s v="Completed"/>
    <s v="Paid"/>
    <s v="High"/>
    <s v="R. Mehta"/>
    <s v="Asia"/>
    <d v="2025-08-01T00:00:00"/>
    <x v="5"/>
  </r>
  <r>
    <x v="532"/>
    <s v="BK50146"/>
    <d v="2025-05-29T00:00:00"/>
    <d v="2025-06-02T00:00:00"/>
    <d v="2025-06-29T00:00:00"/>
    <s v="Nestlé"/>
    <s v="Food"/>
    <s v="Switzerland"/>
    <s v="New York"/>
    <s v="Jebel Ali"/>
    <x v="2"/>
    <s v="Ever Ace"/>
    <s v="Reefer"/>
    <n v="2"/>
    <s v="Machinery"/>
    <n v="50317.04"/>
    <n v="13999.78"/>
    <n v="3232.51"/>
    <n v="538.94000000000005"/>
    <n v="503.17"/>
    <n v="797.88"/>
    <n v="1376.13"/>
    <n v="29868.63"/>
    <n v="4"/>
    <s v="Mechanical"/>
    <n v="116.66"/>
    <s v="Delayed"/>
    <s v="Paid"/>
    <s v="Standard"/>
    <s v="L. Chen"/>
    <s v="Middle East"/>
    <d v="2025-05-01T00:00:00"/>
    <x v="2"/>
  </r>
  <r>
    <x v="533"/>
    <s v="BK50305"/>
    <d v="2025-10-10T00:00:00"/>
    <d v="2025-10-13T00:00:00"/>
    <d v="2025-10-26T00:00:00"/>
    <s v="Pfizer"/>
    <s v="Pharma"/>
    <s v="USA"/>
    <s v="Busan"/>
    <s v="Los Angeles"/>
    <x v="3"/>
    <s v="MSC Gülsün"/>
    <s v="Reefer"/>
    <n v="2"/>
    <s v="Machinery"/>
    <n v="50438.73"/>
    <n v="10261.24"/>
    <n v="2245.92"/>
    <n v="879.98"/>
    <n v="504.39"/>
    <n v="383"/>
    <n v="1173.6600000000001"/>
    <n v="34990.54"/>
    <n v="36"/>
    <s v="Mechanical"/>
    <n v="85.51"/>
    <s v="Delayed"/>
    <s v="Pending"/>
    <s v="Standard"/>
    <s v="L. Chen"/>
    <s v="North America"/>
    <d v="2025-10-01T00:00:00"/>
    <x v="13"/>
  </r>
  <r>
    <x v="534"/>
    <s v="BK50465"/>
    <d v="2025-12-26T00:00:00"/>
    <d v="2025-12-30T00:00:00"/>
    <d v="2026-01-25T00:00:00"/>
    <s v="Samsung"/>
    <s v="Electronics"/>
    <s v="South Korea"/>
    <s v="Hamburg"/>
    <s v="Los Angeles"/>
    <x v="2"/>
    <s v="Mumbai Maersk"/>
    <s v="Reefer"/>
    <n v="4"/>
    <s v="Food"/>
    <n v="50476.7"/>
    <n v="15079.18"/>
    <n v="2117.7399999999998"/>
    <n v="792.93"/>
    <n v="504.77"/>
    <n v="772.44"/>
    <n v="1709.84"/>
    <n v="29499.8"/>
    <n v="4"/>
    <s v="Mechanical"/>
    <n v="125.66"/>
    <s v="Delayed"/>
    <s v="Paid"/>
    <s v="Critical"/>
    <s v="A. Tan"/>
    <s v="Europe"/>
    <d v="2025-12-01T00:00:00"/>
    <x v="3"/>
  </r>
  <r>
    <x v="535"/>
    <s v="BK50898"/>
    <d v="2025-05-31T00:00:00"/>
    <d v="2025-06-03T00:00:00"/>
    <d v="2025-06-22T00:00:00"/>
    <s v="Bosch"/>
    <s v="Manufacturing"/>
    <s v="Germany"/>
    <s v="Jebel Ali"/>
    <s v="Nhava Sheva"/>
    <x v="0"/>
    <s v="OOCL Hong Kong"/>
    <s v="20FT"/>
    <n v="2"/>
    <s v="Chemicals"/>
    <n v="50510.01"/>
    <n v="11445.95"/>
    <n v="3326.06"/>
    <n v="728.92"/>
    <n v="505.1"/>
    <n v="275.08999999999997"/>
    <n v="1286.93"/>
    <n v="32941.96"/>
    <n v="12"/>
    <s v="Port Congestion"/>
    <n v="95.38"/>
    <s v="Delayed"/>
    <s v="Pending"/>
    <s v="Standard"/>
    <s v="L. Chen"/>
    <s v="Middle East"/>
    <d v="2025-05-01T00:00:00"/>
    <x v="11"/>
  </r>
  <r>
    <x v="536"/>
    <s v="BK50612"/>
    <d v="2025-06-14T00:00:00"/>
    <d v="2025-06-18T00:00:00"/>
    <d v="2025-07-02T00:00:00"/>
    <s v="Amazon"/>
    <s v="E-commerce"/>
    <s v="USA"/>
    <s v="Shanghai"/>
    <s v="Rotterdam"/>
    <x v="1"/>
    <s v="CMA CGM Jacques Saadé"/>
    <s v="High Cube"/>
    <n v="4"/>
    <s v="Machinery"/>
    <n v="50619.41"/>
    <n v="13628.65"/>
    <n v="3690.6"/>
    <n v="1488.67"/>
    <n v="506.19"/>
    <n v="328.79"/>
    <n v="576.45000000000005"/>
    <n v="30400.06"/>
    <n v="8"/>
    <s v="Labor Strike"/>
    <n v="113.57"/>
    <s v="Delayed"/>
    <s v="Paid"/>
    <s v="Critical"/>
    <s v="L. Chen"/>
    <s v="Middle East"/>
    <d v="2025-06-01T00:00:00"/>
    <x v="1"/>
  </r>
  <r>
    <x v="537"/>
    <s v="BK50123"/>
    <d v="2025-10-27T00:00:00"/>
    <d v="2025-10-30T00:00:00"/>
    <d v="2025-11-18T00:00:00"/>
    <s v="LG"/>
    <s v="Electronics"/>
    <s v="South Korea"/>
    <s v="Singapore"/>
    <s v="Rotterdam"/>
    <x v="1"/>
    <s v="Madrid Maersk"/>
    <s v="40FT"/>
    <n v="2"/>
    <s v="Food"/>
    <n v="50781.83"/>
    <n v="14155.16"/>
    <n v="3907.21"/>
    <n v="1087.71"/>
    <n v="507.82"/>
    <n v="114.38"/>
    <n v="1528.18"/>
    <n v="29481.37"/>
    <n v="4"/>
    <s v="Customs"/>
    <n v="117.96"/>
    <s v="Delayed"/>
    <s v="Paid"/>
    <s v="Standard"/>
    <s v="M. Ahmed"/>
    <s v="Middle East"/>
    <d v="2025-10-01T00:00:00"/>
    <x v="11"/>
  </r>
  <r>
    <x v="538"/>
    <s v="BK50907"/>
    <d v="2025-01-13T00:00:00"/>
    <d v="2025-01-17T00:00:00"/>
    <d v="2025-02-03T00:00:00"/>
    <s v="Toyota"/>
    <s v="Automotive"/>
    <s v="Japan"/>
    <s v="Singapore"/>
    <s v="Rotterdam"/>
    <x v="1"/>
    <s v="MSC Gülsün"/>
    <s v="40FT"/>
    <n v="4"/>
    <s v="Textiles"/>
    <n v="50795.12"/>
    <n v="15199.77"/>
    <n v="2587.1"/>
    <n v="1394.96"/>
    <n v="507.95"/>
    <n v="687.11"/>
    <n v="1542.43"/>
    <n v="28875.8"/>
    <n v="12"/>
    <s v="Weather"/>
    <n v="126.66"/>
    <s v="Delayed"/>
    <s v="Pending"/>
    <s v="High"/>
    <s v="A. Tan"/>
    <s v="Europe"/>
    <d v="2025-01-01T00:00:00"/>
    <x v="18"/>
  </r>
  <r>
    <x v="539"/>
    <s v="BK50906"/>
    <d v="2025-05-07T00:00:00"/>
    <d v="2025-05-09T00:00:00"/>
    <d v="2025-05-20T00:00:00"/>
    <s v="Pfizer"/>
    <s v="Pharma"/>
    <s v="USA"/>
    <s v="Shanghai"/>
    <s v="Rotterdam"/>
    <x v="1"/>
    <s v="Ever Ace"/>
    <s v="20FT"/>
    <n v="2"/>
    <s v="Textiles"/>
    <n v="50885.51"/>
    <n v="14268.01"/>
    <n v="2932.14"/>
    <n v="1516.16"/>
    <n v="508.86"/>
    <n v="356.15"/>
    <n v="2123.75"/>
    <n v="29180.44"/>
    <n v="24"/>
    <s v="Labor Strike"/>
    <n v="118.9"/>
    <s v="Delayed"/>
    <s v="Pending"/>
    <s v="High"/>
    <s v="R. Mehta"/>
    <s v="Europe"/>
    <d v="2025-05-01T00:00:00"/>
    <x v="5"/>
  </r>
  <r>
    <x v="540"/>
    <s v="BK50280"/>
    <d v="2025-07-01T00:00:00"/>
    <d v="2025-07-04T00:00:00"/>
    <d v="2025-07-19T00:00:00"/>
    <s v="Adidas"/>
    <s v="Retail"/>
    <s v="Germany"/>
    <s v="Shanghai"/>
    <s v="Rotterdam"/>
    <x v="1"/>
    <s v="OOCL Hong Kong"/>
    <s v="20FT"/>
    <n v="2"/>
    <s v="Textiles"/>
    <n v="51104.160000000003"/>
    <n v="10813.11"/>
    <n v="3185.85"/>
    <n v="1076.74"/>
    <n v="511.04"/>
    <n v="204.59"/>
    <n v="1735.92"/>
    <n v="33576.910000000003"/>
    <n v="0"/>
    <s v="None"/>
    <n v="90.11"/>
    <s v="Completed"/>
    <s v="Paid"/>
    <s v="High"/>
    <s v="J. Smith"/>
    <s v="Middle East"/>
    <d v="2025-07-01T00:00:00"/>
    <x v="6"/>
  </r>
  <r>
    <x v="541"/>
    <s v="BK50564"/>
    <d v="2025-01-11T00:00:00"/>
    <d v="2025-01-14T00:00:00"/>
    <d v="2025-02-10T00:00:00"/>
    <s v="Samsung"/>
    <s v="Electronics"/>
    <s v="South Korea"/>
    <s v="Singapore"/>
    <s v="Rotterdam"/>
    <x v="1"/>
    <s v="MSC Gülsün"/>
    <s v="20FT"/>
    <n v="2"/>
    <s v="Auto Parts"/>
    <n v="51473.86"/>
    <n v="14626.67"/>
    <n v="3050.72"/>
    <n v="943.19"/>
    <n v="514.74"/>
    <n v="854.65"/>
    <n v="2172.2800000000002"/>
    <n v="29311.61"/>
    <n v="0"/>
    <s v="None"/>
    <n v="121.89"/>
    <s v="Completed"/>
    <s v="Paid"/>
    <s v="Critical"/>
    <s v="R. Mehta"/>
    <s v="Middle East"/>
    <d v="2025-01-01T00:00:00"/>
    <x v="2"/>
  </r>
  <r>
    <x v="542"/>
    <s v="BK50225"/>
    <d v="2025-06-19T00:00:00"/>
    <d v="2025-06-22T00:00:00"/>
    <d v="2025-07-21T00:00:00"/>
    <s v="LG"/>
    <s v="Electronics"/>
    <s v="South Korea"/>
    <s v="Busan"/>
    <s v="Los Angeles"/>
    <x v="3"/>
    <s v="Monaco Maersk"/>
    <s v="20FT"/>
    <n v="2"/>
    <s v="Electronics"/>
    <n v="51542.239999999998"/>
    <n v="9364.11"/>
    <n v="2383.89"/>
    <n v="1172.75"/>
    <n v="515.41999999999996"/>
    <n v="814.92"/>
    <n v="831.31"/>
    <n v="36459.839999999997"/>
    <n v="36"/>
    <s v="Customs"/>
    <n v="78.03"/>
    <s v="Delayed"/>
    <s v="Pending"/>
    <s v="Critical"/>
    <s v="J. Smith"/>
    <s v="Asia"/>
    <d v="2025-06-01T00:00:00"/>
    <x v="20"/>
  </r>
  <r>
    <x v="543"/>
    <s v="BK50693"/>
    <d v="2025-04-28T00:00:00"/>
    <d v="2025-04-29T00:00:00"/>
    <d v="2025-05-15T00:00:00"/>
    <s v="LG"/>
    <s v="Electronics"/>
    <s v="South Korea"/>
    <s v="Colombo"/>
    <s v="Singapore"/>
    <x v="4"/>
    <s v="Monaco Maersk"/>
    <s v="20FT"/>
    <n v="2"/>
    <s v="Textiles"/>
    <n v="51714.69"/>
    <n v="10269.33"/>
    <n v="4029.92"/>
    <n v="1197.3399999999999"/>
    <n v="517.15"/>
    <n v="546.70000000000005"/>
    <n v="1310.19"/>
    <n v="33844.06"/>
    <n v="12"/>
    <s v="Customs"/>
    <n v="85.58"/>
    <s v="Delayed"/>
    <s v="Paid"/>
    <s v="Critical"/>
    <s v="R. Mehta"/>
    <s v="North America"/>
    <d v="2025-04-01T00:00:00"/>
    <x v="0"/>
  </r>
  <r>
    <x v="544"/>
    <s v="BK50082"/>
    <d v="2025-04-13T00:00:00"/>
    <d v="2025-04-15T00:00:00"/>
    <d v="2025-05-06T00:00:00"/>
    <s v="Reliance"/>
    <s v="Retail"/>
    <s v="India"/>
    <s v="Busan"/>
    <s v="Jebel Ali"/>
    <x v="2"/>
    <s v="Mary Maersk"/>
    <s v="40FT"/>
    <n v="2"/>
    <s v="Chemicals"/>
    <n v="51758.69"/>
    <n v="11843.85"/>
    <n v="2936.27"/>
    <n v="561.66"/>
    <n v="517.59"/>
    <n v="619.66999999999996"/>
    <n v="2480.87"/>
    <n v="32798.78"/>
    <n v="48"/>
    <s v="Labor Strike"/>
    <n v="98.7"/>
    <s v="Delayed"/>
    <s v="Paid"/>
    <s v="High"/>
    <s v="M. Ahmed"/>
    <s v="Asia"/>
    <d v="2025-04-01T00:00:00"/>
    <x v="9"/>
  </r>
  <r>
    <x v="545"/>
    <s v="BK50973"/>
    <d v="2025-03-08T00:00:00"/>
    <d v="2025-03-12T00:00:00"/>
    <d v="2025-04-04T00:00:00"/>
    <s v="LG"/>
    <s v="Electronics"/>
    <s v="South Korea"/>
    <s v="Jebel Ali"/>
    <s v="Nhava Sheva"/>
    <x v="0"/>
    <s v="Madrid Maersk"/>
    <s v="Reefer"/>
    <n v="2"/>
    <s v="Machinery"/>
    <n v="51861.74"/>
    <n v="10586.83"/>
    <n v="4080.01"/>
    <n v="597.48"/>
    <n v="518.62"/>
    <n v="662.43"/>
    <n v="2361.8200000000002"/>
    <n v="33054.550000000003"/>
    <n v="0"/>
    <s v="None"/>
    <n v="88.22"/>
    <s v="Completed"/>
    <s v="Pending"/>
    <s v="Standard"/>
    <s v="M. Ahmed"/>
    <s v="Europe"/>
    <d v="2025-03-01T00:00:00"/>
    <x v="7"/>
  </r>
  <r>
    <x v="546"/>
    <s v="BK50890"/>
    <d v="2025-08-15T00:00:00"/>
    <d v="2025-08-17T00:00:00"/>
    <d v="2025-08-28T00:00:00"/>
    <s v="Reliance"/>
    <s v="Retail"/>
    <s v="India"/>
    <s v="Shanghai"/>
    <s v="Rotterdam"/>
    <x v="1"/>
    <s v="CMA CGM Jacques Saadé"/>
    <s v="Reefer"/>
    <n v="2"/>
    <s v="Auto Parts"/>
    <n v="51950.65"/>
    <n v="12532.72"/>
    <n v="2214.67"/>
    <n v="709.05"/>
    <n v="519.51"/>
    <n v="618.87"/>
    <n v="1637.29"/>
    <n v="33718.54"/>
    <n v="12"/>
    <s v="Customs"/>
    <n v="104.44"/>
    <s v="Delayed"/>
    <s v="Paid"/>
    <s v="Critical"/>
    <s v="M. Ahmed"/>
    <s v="Asia"/>
    <d v="2025-08-01T00:00:00"/>
    <x v="5"/>
  </r>
  <r>
    <x v="547"/>
    <s v="BK50462"/>
    <d v="2025-01-22T00:00:00"/>
    <d v="2025-01-25T00:00:00"/>
    <d v="2025-02-20T00:00:00"/>
    <s v="Pfizer"/>
    <s v="Pharma"/>
    <s v="USA"/>
    <s v="Shanghai"/>
    <s v="Rotterdam"/>
    <x v="1"/>
    <s v="Ever Ace"/>
    <s v="40FT"/>
    <n v="2"/>
    <s v="Furniture"/>
    <n v="52144.3"/>
    <n v="8727.51"/>
    <n v="3472.85"/>
    <n v="618.78"/>
    <n v="521.44000000000005"/>
    <n v="306.42"/>
    <n v="1716.33"/>
    <n v="36780.97"/>
    <n v="4"/>
    <s v="Customs"/>
    <n v="72.73"/>
    <s v="Delayed"/>
    <s v="Pending"/>
    <s v="Critical"/>
    <s v="R. Mehta"/>
    <s v="Asia"/>
    <d v="2025-01-01T00:00:00"/>
    <x v="3"/>
  </r>
  <r>
    <x v="548"/>
    <s v="BK50380"/>
    <d v="2025-01-07T00:00:00"/>
    <d v="2025-01-11T00:00:00"/>
    <d v="2025-01-25T00:00:00"/>
    <s v="Samsung"/>
    <s v="Electronics"/>
    <s v="South Korea"/>
    <s v="Shanghai"/>
    <s v="Rotterdam"/>
    <x v="1"/>
    <s v="Mary Maersk"/>
    <s v="20FT"/>
    <n v="2"/>
    <s v="Food"/>
    <n v="52160.43"/>
    <n v="9745.8700000000008"/>
    <n v="3724.4"/>
    <n v="1275.8499999999999"/>
    <n v="521.6"/>
    <n v="632.53"/>
    <n v="653.15"/>
    <n v="35607.03"/>
    <n v="0"/>
    <s v="None"/>
    <n v="81.22"/>
    <s v="Completed"/>
    <s v="Paid"/>
    <s v="Standard"/>
    <s v="M. Ahmed"/>
    <s v="Europe"/>
    <d v="2025-01-01T00:00:00"/>
    <x v="1"/>
  </r>
  <r>
    <x v="549"/>
    <s v="BK50841"/>
    <d v="2025-02-01T00:00:00"/>
    <d v="2025-02-03T00:00:00"/>
    <d v="2025-02-26T00:00:00"/>
    <s v="Reliance"/>
    <s v="Retail"/>
    <s v="India"/>
    <s v="Shanghai"/>
    <s v="Rotterdam"/>
    <x v="2"/>
    <s v="OOCL Hong Kong"/>
    <s v="High Cube"/>
    <n v="4"/>
    <s v="Electronics"/>
    <n v="52254.46"/>
    <n v="14395.76"/>
    <n v="2860.14"/>
    <n v="1439.73"/>
    <n v="522.54"/>
    <n v="601.14"/>
    <n v="1046.69"/>
    <n v="31388.46"/>
    <n v="12"/>
    <s v="Port Congestion"/>
    <n v="119.96"/>
    <s v="Delayed"/>
    <s v="Paid"/>
    <s v="Critical"/>
    <s v="R. Mehta"/>
    <s v="North America"/>
    <d v="2025-02-01T00:00:00"/>
    <x v="7"/>
  </r>
  <r>
    <x v="550"/>
    <s v="BK50773"/>
    <d v="2025-09-20T00:00:00"/>
    <d v="2025-09-21T00:00:00"/>
    <d v="2025-10-12T00:00:00"/>
    <s v="Amazon"/>
    <s v="E-commerce"/>
    <s v="USA"/>
    <s v="Singapore"/>
    <s v="Rotterdam"/>
    <x v="1"/>
    <s v="Monaco Maersk"/>
    <s v="High Cube"/>
    <n v="2"/>
    <s v="Furniture"/>
    <n v="52494.79"/>
    <n v="14020.58"/>
    <n v="2131.1"/>
    <n v="1136.4000000000001"/>
    <n v="524.95000000000005"/>
    <n v="780.41"/>
    <n v="2499.37"/>
    <n v="31401.98"/>
    <n v="36"/>
    <s v="Mechanical"/>
    <n v="116.84"/>
    <s v="Delayed"/>
    <s v="Pending"/>
    <s v="Standard"/>
    <s v="L. Chen"/>
    <s v="Europe"/>
    <d v="2025-09-01T00:00:00"/>
    <x v="9"/>
  </r>
  <r>
    <x v="551"/>
    <s v="BK50187"/>
    <d v="2025-08-01T00:00:00"/>
    <d v="2025-08-02T00:00:00"/>
    <d v="2025-08-21T00:00:00"/>
    <s v="Samsung"/>
    <s v="Electronics"/>
    <s v="South Korea"/>
    <s v="Colombo"/>
    <s v="Singapore"/>
    <x v="4"/>
    <s v="Ever Ace"/>
    <s v="20FT"/>
    <n v="4"/>
    <s v="Textiles"/>
    <n v="52516.74"/>
    <n v="15724.07"/>
    <n v="3912.45"/>
    <n v="1557.36"/>
    <n v="525.16999999999996"/>
    <n v="819.83"/>
    <n v="1945.12"/>
    <n v="28032.74"/>
    <n v="0"/>
    <s v="None"/>
    <n v="131.03"/>
    <s v="Completed"/>
    <s v="Pending"/>
    <s v="Critical"/>
    <s v="J. Smith"/>
    <s v="Middle East"/>
    <d v="2025-08-01T00:00:00"/>
    <x v="11"/>
  </r>
  <r>
    <x v="552"/>
    <s v="BK50853"/>
    <d v="2025-09-08T00:00:00"/>
    <d v="2025-09-11T00:00:00"/>
    <d v="2025-09-23T00:00:00"/>
    <s v="Nestlé"/>
    <s v="Food"/>
    <s v="Switzerland"/>
    <s v="Colombo"/>
    <s v="Singapore"/>
    <x v="4"/>
    <s v="Ever Ace"/>
    <s v="20FT"/>
    <n v="2"/>
    <s v="Textiles"/>
    <n v="52670.07"/>
    <n v="13794.2"/>
    <n v="3102.97"/>
    <n v="1360.32"/>
    <n v="526.70000000000005"/>
    <n v="138.82"/>
    <n v="2037.26"/>
    <n v="31709.8"/>
    <n v="4"/>
    <s v="Weather"/>
    <n v="114.95"/>
    <s v="Delayed"/>
    <s v="Paid"/>
    <s v="High"/>
    <s v="M. Ahmed"/>
    <s v="Europe"/>
    <d v="2025-09-01T00:00:00"/>
    <x v="12"/>
  </r>
  <r>
    <x v="553"/>
    <s v="BK50888"/>
    <d v="2025-06-21T00:00:00"/>
    <d v="2025-06-25T00:00:00"/>
    <d v="2025-07-08T00:00:00"/>
    <s v="Toyota"/>
    <s v="Automotive"/>
    <s v="Japan"/>
    <s v="Singapore"/>
    <s v="Rotterdam"/>
    <x v="1"/>
    <s v="Mumbai Maersk"/>
    <s v="High Cube"/>
    <n v="2"/>
    <s v="Furniture"/>
    <n v="52738.06"/>
    <n v="11582.28"/>
    <n v="2634.78"/>
    <n v="1029.77"/>
    <n v="527.38"/>
    <n v="763.51"/>
    <n v="905.56"/>
    <n v="35294.78"/>
    <n v="48"/>
    <s v="Labor Strike"/>
    <n v="96.52"/>
    <s v="Delayed"/>
    <s v="Pending"/>
    <s v="High"/>
    <s v="A. Tan"/>
    <s v="North America"/>
    <d v="2025-06-01T00:00:00"/>
    <x v="13"/>
  </r>
  <r>
    <x v="554"/>
    <s v="BK50761"/>
    <d v="2025-12-20T00:00:00"/>
    <d v="2025-12-22T00:00:00"/>
    <d v="2026-01-11T00:00:00"/>
    <s v="Samsung"/>
    <s v="Electronics"/>
    <s v="South Korea"/>
    <s v="Colombo"/>
    <s v="Singapore"/>
    <x v="4"/>
    <s v="MSC Gülsün"/>
    <s v="High Cube"/>
    <n v="2"/>
    <s v="Textiles"/>
    <n v="52758.43"/>
    <n v="9634.3799999999992"/>
    <n v="3169.57"/>
    <n v="1137.97"/>
    <n v="527.58000000000004"/>
    <n v="232.72"/>
    <n v="766.68"/>
    <n v="37289.53"/>
    <n v="24"/>
    <s v="Labor Strike"/>
    <n v="80.290000000000006"/>
    <s v="Delayed"/>
    <s v="Pending"/>
    <s v="Standard"/>
    <s v="L. Chen"/>
    <s v="North America"/>
    <d v="2025-12-01T00:00:00"/>
    <x v="16"/>
  </r>
  <r>
    <x v="555"/>
    <s v="BK50102"/>
    <d v="2025-10-20T00:00:00"/>
    <d v="2025-10-24T00:00:00"/>
    <d v="2025-11-04T00:00:00"/>
    <s v="Adidas"/>
    <s v="Retail"/>
    <s v="Germany"/>
    <s v="Busan"/>
    <s v="Hamburg"/>
    <x v="2"/>
    <s v="Ever Ace"/>
    <s v="Reefer"/>
    <n v="2"/>
    <s v="Machinery"/>
    <n v="52963.47"/>
    <n v="13685.36"/>
    <n v="2524.92"/>
    <n v="743.86"/>
    <n v="529.63"/>
    <n v="417.99"/>
    <n v="814.76"/>
    <n v="34246.949999999997"/>
    <n v="36"/>
    <s v="Customs"/>
    <n v="114.04"/>
    <s v="Delayed"/>
    <s v="Paid"/>
    <s v="High"/>
    <s v="A. Tan"/>
    <s v="Asia"/>
    <d v="2025-10-01T00:00:00"/>
    <x v="5"/>
  </r>
  <r>
    <x v="556"/>
    <s v="BK50866"/>
    <d v="2025-06-20T00:00:00"/>
    <d v="2025-06-24T00:00:00"/>
    <d v="2025-07-19T00:00:00"/>
    <s v="Pfizer"/>
    <s v="Pharma"/>
    <s v="USA"/>
    <s v="Shanghai"/>
    <s v="Rotterdam"/>
    <x v="2"/>
    <s v="Mumbai Maersk"/>
    <s v="High Cube"/>
    <n v="2"/>
    <s v="Food"/>
    <n v="53134.45"/>
    <n v="8716.15"/>
    <n v="3897.37"/>
    <n v="1411.05"/>
    <n v="531.34"/>
    <n v="872.89"/>
    <n v="2005.77"/>
    <n v="35699.879999999997"/>
    <n v="0"/>
    <s v="None"/>
    <n v="72.63"/>
    <s v="Completed"/>
    <s v="Paid"/>
    <s v="Standard"/>
    <s v="R. Mehta"/>
    <s v="Asia"/>
    <d v="2025-06-01T00:00:00"/>
    <x v="10"/>
  </r>
  <r>
    <x v="557"/>
    <s v="BK50324"/>
    <d v="2025-09-09T00:00:00"/>
    <d v="2025-09-13T00:00:00"/>
    <d v="2025-09-26T00:00:00"/>
    <s v="Nestlé"/>
    <s v="Food"/>
    <s v="Switzerland"/>
    <s v="Nhava Sheva"/>
    <s v="Colombo"/>
    <x v="2"/>
    <s v="Monaco Maersk"/>
    <s v="High Cube"/>
    <n v="2"/>
    <s v="Textiles"/>
    <n v="53264.44"/>
    <n v="10353.98"/>
    <n v="2543.73"/>
    <n v="547.32000000000005"/>
    <n v="532.64"/>
    <n v="545.14"/>
    <n v="408.29"/>
    <n v="38333.339999999997"/>
    <n v="4"/>
    <s v="Port Congestion"/>
    <n v="86.28"/>
    <s v="Delayed"/>
    <s v="Pending"/>
    <s v="High"/>
    <s v="R. Mehta"/>
    <s v="North America"/>
    <d v="2025-09-01T00:00:00"/>
    <x v="13"/>
  </r>
  <r>
    <x v="558"/>
    <s v="BK50560"/>
    <d v="2025-11-23T00:00:00"/>
    <d v="2025-11-26T00:00:00"/>
    <d v="2025-12-18T00:00:00"/>
    <s v="Pfizer"/>
    <s v="Pharma"/>
    <s v="USA"/>
    <s v="Shanghai"/>
    <s v="Singapore"/>
    <x v="2"/>
    <s v="Ever Ace"/>
    <s v="40FT"/>
    <n v="2"/>
    <s v="Electronics"/>
    <n v="53574.33"/>
    <n v="11937.17"/>
    <n v="3391.5"/>
    <n v="1094.27"/>
    <n v="535.74"/>
    <n v="231.18"/>
    <n v="375.25"/>
    <n v="36009.22"/>
    <n v="4"/>
    <s v="Port Congestion"/>
    <n v="99.48"/>
    <s v="Delayed"/>
    <s v="Pending"/>
    <s v="High"/>
    <s v="L. Chen"/>
    <s v="Middle East"/>
    <d v="2025-11-01T00:00:00"/>
    <x v="4"/>
  </r>
  <r>
    <x v="559"/>
    <s v="BK50867"/>
    <d v="2025-12-15T00:00:00"/>
    <d v="2025-12-18T00:00:00"/>
    <d v="2026-01-08T00:00:00"/>
    <s v="Bosch"/>
    <s v="Manufacturing"/>
    <s v="Germany"/>
    <s v="Singapore"/>
    <s v="Rotterdam"/>
    <x v="1"/>
    <s v="Madrid Maersk"/>
    <s v="20FT"/>
    <n v="2"/>
    <s v="Electronics"/>
    <n v="53587.5"/>
    <n v="12159.35"/>
    <n v="2631.86"/>
    <n v="699.64"/>
    <n v="535.88"/>
    <n v="880.83"/>
    <n v="1807.1"/>
    <n v="34872.839999999997"/>
    <n v="12"/>
    <s v="Mechanical"/>
    <n v="101.33"/>
    <s v="Delayed"/>
    <s v="Pending"/>
    <s v="High"/>
    <s v="J. Smith"/>
    <s v="Europe"/>
    <d v="2025-12-01T00:00:00"/>
    <x v="9"/>
  </r>
  <r>
    <x v="560"/>
    <s v="BK50316"/>
    <d v="2025-12-29T00:00:00"/>
    <d v="2025-12-31T00:00:00"/>
    <d v="2026-01-16T00:00:00"/>
    <s v="Adidas"/>
    <s v="Retail"/>
    <s v="Germany"/>
    <s v="Los Angeles"/>
    <s v="Shanghai"/>
    <x v="2"/>
    <s v="OOCL Hong Kong"/>
    <s v="High Cube"/>
    <n v="2"/>
    <s v="Textiles"/>
    <n v="53642.01"/>
    <n v="16016.51"/>
    <n v="2360.88"/>
    <n v="1501.92"/>
    <n v="536.41999999999996"/>
    <n v="254.52"/>
    <n v="1241.27"/>
    <n v="31730.49"/>
    <n v="24"/>
    <s v="Labor Strike"/>
    <n v="133.47"/>
    <s v="Delayed"/>
    <s v="Pending"/>
    <s v="Critical"/>
    <s v="L. Chen"/>
    <s v="Middle East"/>
    <d v="2025-12-01T00:00:00"/>
    <x v="0"/>
  </r>
  <r>
    <x v="561"/>
    <s v="BK50777"/>
    <d v="2025-11-09T00:00:00"/>
    <d v="2025-11-10T00:00:00"/>
    <d v="2025-11-21T00:00:00"/>
    <s v="Amazon"/>
    <s v="E-commerce"/>
    <s v="USA"/>
    <s v="Jebel Ali"/>
    <s v="Nhava Sheva"/>
    <x v="0"/>
    <s v="Monaco Maersk"/>
    <s v="High Cube"/>
    <n v="2"/>
    <s v="Chemicals"/>
    <n v="53707.64"/>
    <n v="13148.16"/>
    <n v="3890.66"/>
    <n v="1016.98"/>
    <n v="537.08000000000004"/>
    <n v="441.06"/>
    <n v="1186.6400000000001"/>
    <n v="33487.06"/>
    <n v="12"/>
    <s v="Customs"/>
    <n v="109.57"/>
    <s v="Delayed"/>
    <s v="Pending"/>
    <s v="Standard"/>
    <s v="R. Mehta"/>
    <s v="Asia"/>
    <d v="2025-11-01T00:00:00"/>
    <x v="5"/>
  </r>
  <r>
    <x v="562"/>
    <s v="BK50822"/>
    <d v="2025-08-29T00:00:00"/>
    <d v="2025-09-01T00:00:00"/>
    <d v="2025-09-28T00:00:00"/>
    <s v="Unilever"/>
    <s v="FMCG"/>
    <s v="UK"/>
    <s v="Nhava Sheva"/>
    <s v="Los Angeles"/>
    <x v="2"/>
    <s v="Ever Ace"/>
    <s v="High Cube"/>
    <n v="2"/>
    <s v="Chemicals"/>
    <n v="53779.42"/>
    <n v="13216.21"/>
    <n v="2742.98"/>
    <n v="1002.16"/>
    <n v="537.79"/>
    <n v="651.05999999999995"/>
    <n v="707.11"/>
    <n v="34922.11"/>
    <n v="0"/>
    <s v="None"/>
    <n v="110.14"/>
    <s v="Completed"/>
    <s v="Pending"/>
    <s v="High"/>
    <s v="M. Ahmed"/>
    <s v="North America"/>
    <d v="2025-08-01T00:00:00"/>
    <x v="2"/>
  </r>
  <r>
    <x v="563"/>
    <s v="BK50143"/>
    <d v="2025-09-06T00:00:00"/>
    <d v="2025-09-07T00:00:00"/>
    <d v="2025-10-02T00:00:00"/>
    <s v="Bosch"/>
    <s v="Manufacturing"/>
    <s v="Germany"/>
    <s v="Jebel Ali"/>
    <s v="Nhava Sheva"/>
    <x v="0"/>
    <s v="MSC Gülsün"/>
    <s v="High Cube"/>
    <n v="2"/>
    <s v="Machinery"/>
    <n v="53799.31"/>
    <n v="9056.68"/>
    <n v="2577.25"/>
    <n v="1375.1"/>
    <n v="537.99"/>
    <n v="591.19000000000005"/>
    <n v="2369.48"/>
    <n v="37291.620000000003"/>
    <n v="4"/>
    <s v="Labor Strike"/>
    <n v="75.47"/>
    <s v="Delayed"/>
    <s v="Pending"/>
    <s v="Critical"/>
    <s v="R. Mehta"/>
    <s v="Asia"/>
    <d v="2025-09-01T00:00:00"/>
    <x v="10"/>
  </r>
  <r>
    <x v="564"/>
    <s v="BK50678"/>
    <d v="2025-02-03T00:00:00"/>
    <d v="2025-02-07T00:00:00"/>
    <d v="2025-02-19T00:00:00"/>
    <s v="Samsung"/>
    <s v="Electronics"/>
    <s v="South Korea"/>
    <s v="Singapore"/>
    <s v="Rotterdam"/>
    <x v="1"/>
    <s v="Ever Ace"/>
    <s v="40FT"/>
    <n v="2"/>
    <s v="Chemicals"/>
    <n v="53888.27"/>
    <n v="14946.69"/>
    <n v="3840.66"/>
    <n v="1151.42"/>
    <n v="538.88"/>
    <n v="566.02"/>
    <n v="1528.98"/>
    <n v="31315.62"/>
    <n v="36"/>
    <s v="Port Congestion"/>
    <n v="124.56"/>
    <s v="Delayed"/>
    <s v="Pending"/>
    <s v="Critical"/>
    <s v="A. Tan"/>
    <s v="Europe"/>
    <d v="2025-02-01T00:00:00"/>
    <x v="12"/>
  </r>
  <r>
    <x v="565"/>
    <s v="BK50669"/>
    <d v="2025-08-07T00:00:00"/>
    <d v="2025-08-10T00:00:00"/>
    <d v="2025-08-24T00:00:00"/>
    <s v="Amazon"/>
    <s v="E-commerce"/>
    <s v="USA"/>
    <s v="Colombo"/>
    <s v="Singapore"/>
    <x v="4"/>
    <s v="Madrid Maersk"/>
    <s v="High Cube"/>
    <n v="4"/>
    <s v="Electronics"/>
    <n v="54323.64"/>
    <n v="13840.53"/>
    <n v="2297.46"/>
    <n v="1627.13"/>
    <n v="543.24"/>
    <n v="295.8"/>
    <n v="1884.24"/>
    <n v="33835.24"/>
    <n v="8"/>
    <s v="Labor Strike"/>
    <n v="115.34"/>
    <s v="Delayed"/>
    <s v="Pending"/>
    <s v="Standard"/>
    <s v="A. Tan"/>
    <s v="North America"/>
    <d v="2025-08-01T00:00:00"/>
    <x v="1"/>
  </r>
  <r>
    <x v="566"/>
    <s v="BK50728"/>
    <d v="2025-08-17T00:00:00"/>
    <d v="2025-08-21T00:00:00"/>
    <d v="2025-09-11T00:00:00"/>
    <s v="Toyota"/>
    <s v="Automotive"/>
    <s v="Japan"/>
    <s v="Hamburg"/>
    <s v="Hamburg"/>
    <x v="2"/>
    <s v="MSC Gülsün"/>
    <s v="20FT"/>
    <n v="2"/>
    <s v="Auto Parts"/>
    <n v="54410.95"/>
    <n v="9833.6200000000008"/>
    <n v="3314.01"/>
    <n v="1056.31"/>
    <n v="544.11"/>
    <n v="294.13"/>
    <n v="878.27"/>
    <n v="38490.5"/>
    <n v="48"/>
    <s v="Labor Strike"/>
    <n v="81.95"/>
    <s v="Delayed"/>
    <s v="Pending"/>
    <s v="Standard"/>
    <s v="M. Ahmed"/>
    <s v="Asia"/>
    <d v="2025-08-01T00:00:00"/>
    <x v="9"/>
  </r>
  <r>
    <x v="567"/>
    <s v="BK50547"/>
    <d v="2025-09-19T00:00:00"/>
    <d v="2025-09-21T00:00:00"/>
    <d v="2025-10-19T00:00:00"/>
    <s v="Amazon"/>
    <s v="E-commerce"/>
    <s v="USA"/>
    <s v="Busan"/>
    <s v="Los Angeles"/>
    <x v="3"/>
    <s v="Mumbai Maersk"/>
    <s v="Reefer"/>
    <n v="4"/>
    <s v="Furniture"/>
    <n v="54458.35"/>
    <n v="11571.29"/>
    <n v="3388.19"/>
    <n v="669.61"/>
    <n v="544.58000000000004"/>
    <n v="148.38"/>
    <n v="320.42"/>
    <n v="37815.879999999997"/>
    <n v="36"/>
    <s v="Customs"/>
    <n v="96.43"/>
    <s v="Delayed"/>
    <s v="Pending"/>
    <s v="Standard"/>
    <s v="J. Smith"/>
    <s v="Middle East"/>
    <d v="2025-09-01T00:00:00"/>
    <x v="17"/>
  </r>
  <r>
    <x v="568"/>
    <s v="BK50344"/>
    <d v="2025-11-11T00:00:00"/>
    <d v="2025-11-14T00:00:00"/>
    <d v="2025-12-05T00:00:00"/>
    <s v="Samsung"/>
    <s v="Electronics"/>
    <s v="South Korea"/>
    <s v="Los Angeles"/>
    <s v="New York"/>
    <x v="2"/>
    <s v="Mumbai Maersk"/>
    <s v="High Cube"/>
    <n v="2"/>
    <s v="Chemicals"/>
    <n v="54519.83"/>
    <n v="15949.51"/>
    <n v="2942.11"/>
    <n v="1008.44"/>
    <n v="545.20000000000005"/>
    <n v="877.32"/>
    <n v="1839.95"/>
    <n v="31357.3"/>
    <n v="48"/>
    <s v="Customs"/>
    <n v="132.91"/>
    <s v="Delayed"/>
    <s v="Paid"/>
    <s v="Critical"/>
    <s v="L. Chen"/>
    <s v="Asia"/>
    <d v="2025-11-01T00:00:00"/>
    <x v="9"/>
  </r>
  <r>
    <x v="569"/>
    <s v="BK50052"/>
    <d v="2025-07-26T00:00:00"/>
    <d v="2025-07-29T00:00:00"/>
    <d v="2025-08-20T00:00:00"/>
    <s v="Pfizer"/>
    <s v="Pharma"/>
    <s v="USA"/>
    <s v="Busan"/>
    <s v="Los Angeles"/>
    <x v="3"/>
    <s v="Mumbai Maersk"/>
    <s v="Reefer"/>
    <n v="4"/>
    <s v="Auto Parts"/>
    <n v="54541.06"/>
    <n v="13211.06"/>
    <n v="3106.57"/>
    <n v="1603.78"/>
    <n v="545.41"/>
    <n v="204.99"/>
    <n v="640.54"/>
    <n v="35228.71"/>
    <n v="36"/>
    <s v="Labor Strike"/>
    <n v="110.09"/>
    <s v="Delayed"/>
    <s v="Paid"/>
    <s v="High"/>
    <s v="M. Ahmed"/>
    <s v="Europe"/>
    <d v="2025-07-01T00:00:00"/>
    <x v="4"/>
  </r>
  <r>
    <x v="570"/>
    <s v="BK50571"/>
    <d v="2025-04-25T00:00:00"/>
    <d v="2025-04-28T00:00:00"/>
    <d v="2025-05-18T00:00:00"/>
    <s v="Adidas"/>
    <s v="Retail"/>
    <s v="Germany"/>
    <s v="Shanghai"/>
    <s v="Rotterdam"/>
    <x v="1"/>
    <s v="CMA CGM Jacques Saadé"/>
    <s v="Reefer"/>
    <n v="2"/>
    <s v="Food"/>
    <n v="54545.760000000002"/>
    <n v="13048.58"/>
    <n v="2731.69"/>
    <n v="653.79"/>
    <n v="545.46"/>
    <n v="666.69"/>
    <n v="1356.21"/>
    <n v="35543.339999999997"/>
    <n v="0"/>
    <s v="None"/>
    <n v="108.74"/>
    <s v="Completed"/>
    <s v="Pending"/>
    <s v="Standard"/>
    <s v="L. Chen"/>
    <s v="Middle East"/>
    <d v="2025-04-01T00:00:00"/>
    <x v="16"/>
  </r>
  <r>
    <x v="571"/>
    <s v="BK50296"/>
    <d v="2025-08-29T00:00:00"/>
    <d v="2025-08-31T00:00:00"/>
    <d v="2025-09-10T00:00:00"/>
    <s v="Nestlé"/>
    <s v="Food"/>
    <s v="Switzerland"/>
    <s v="Busan"/>
    <s v="Los Angeles"/>
    <x v="3"/>
    <s v="Ever Ace"/>
    <s v="20FT"/>
    <n v="2"/>
    <s v="Textiles"/>
    <n v="54688.44"/>
    <n v="9585.27"/>
    <n v="3476.86"/>
    <n v="1460.93"/>
    <n v="546.88"/>
    <n v="538.49"/>
    <n v="1115.24"/>
    <n v="37964.769999999997"/>
    <n v="0"/>
    <s v="None"/>
    <n v="79.88"/>
    <s v="Completed"/>
    <s v="Paid"/>
    <s v="Critical"/>
    <s v="L. Chen"/>
    <s v="Middle East"/>
    <d v="2025-08-01T00:00:00"/>
    <x v="15"/>
  </r>
  <r>
    <x v="572"/>
    <s v="BK50457"/>
    <d v="2025-02-07T00:00:00"/>
    <d v="2025-02-10T00:00:00"/>
    <d v="2025-02-20T00:00:00"/>
    <s v="IKEA"/>
    <s v="Retail"/>
    <s v="Sweden"/>
    <s v="Busan"/>
    <s v="Los Angeles"/>
    <x v="3"/>
    <s v="Madrid Maersk"/>
    <s v="40FT"/>
    <n v="4"/>
    <s v="Textiles"/>
    <n v="54736.76"/>
    <n v="15250.57"/>
    <n v="3020.72"/>
    <n v="1266.5899999999999"/>
    <n v="547.37"/>
    <n v="771.14"/>
    <n v="1305.1099999999999"/>
    <n v="32575.26"/>
    <n v="4"/>
    <s v="Mechanical"/>
    <n v="127.09"/>
    <s v="Delayed"/>
    <s v="Pending"/>
    <s v="High"/>
    <s v="R. Mehta"/>
    <s v="Asia"/>
    <d v="2025-02-01T00:00:00"/>
    <x v="15"/>
  </r>
  <r>
    <x v="573"/>
    <s v="BK50653"/>
    <d v="2025-04-25T00:00:00"/>
    <d v="2025-04-29T00:00:00"/>
    <d v="2025-05-14T00:00:00"/>
    <s v="Siemens"/>
    <s v="Engineering"/>
    <s v="Germany"/>
    <s v="Colombo"/>
    <s v="Singapore"/>
    <x v="4"/>
    <s v="Mumbai Maersk"/>
    <s v="20FT"/>
    <n v="2"/>
    <s v="Auto Parts"/>
    <n v="54813.15"/>
    <n v="9532.7999999999993"/>
    <n v="3272.94"/>
    <n v="1172.47"/>
    <n v="548.13"/>
    <n v="163.24"/>
    <n v="2333.91"/>
    <n v="37789.660000000003"/>
    <n v="8"/>
    <s v="Labor Strike"/>
    <n v="79.44"/>
    <s v="Delayed"/>
    <s v="Paid"/>
    <s v="High"/>
    <s v="A. Tan"/>
    <s v="Asia"/>
    <d v="2025-04-01T00:00:00"/>
    <x v="6"/>
  </r>
  <r>
    <x v="574"/>
    <s v="BK50209"/>
    <d v="2025-02-28T00:00:00"/>
    <d v="2025-03-03T00:00:00"/>
    <d v="2025-03-17T00:00:00"/>
    <s v="Nestlé"/>
    <s v="Food"/>
    <s v="Switzerland"/>
    <s v="Jebel Ali"/>
    <s v="Nhava Sheva"/>
    <x v="0"/>
    <s v="OOCL Hong Kong"/>
    <s v="40FT"/>
    <n v="2"/>
    <s v="Food"/>
    <n v="54848.67"/>
    <n v="12032.59"/>
    <n v="3357.19"/>
    <n v="921.82"/>
    <n v="548.49"/>
    <n v="491.61"/>
    <n v="2036.9"/>
    <n v="35460.07"/>
    <n v="36"/>
    <s v="Labor Strike"/>
    <n v="100.27"/>
    <s v="Delayed"/>
    <s v="Pending"/>
    <s v="Standard"/>
    <s v="A. Tan"/>
    <s v="Europe"/>
    <d v="2025-02-01T00:00:00"/>
    <x v="1"/>
  </r>
  <r>
    <x v="575"/>
    <s v="BK50680"/>
    <d v="2025-08-19T00:00:00"/>
    <d v="2025-08-23T00:00:00"/>
    <d v="2025-09-08T00:00:00"/>
    <s v="Nestlé"/>
    <s v="Food"/>
    <s v="Switzerland"/>
    <s v="Busan"/>
    <s v="Los Angeles"/>
    <x v="3"/>
    <s v="Ever Ace"/>
    <s v="Reefer"/>
    <n v="4"/>
    <s v="Textiles"/>
    <n v="55051.68"/>
    <n v="11226.43"/>
    <n v="4005.81"/>
    <n v="1025.92"/>
    <n v="550.52"/>
    <n v="726.33"/>
    <n v="1122.8"/>
    <n v="36393.870000000003"/>
    <n v="36"/>
    <s v="Customs"/>
    <n v="93.55"/>
    <s v="Delayed"/>
    <s v="Pending"/>
    <s v="Critical"/>
    <s v="M. Ahmed"/>
    <s v="Europe"/>
    <d v="2025-08-01T00:00:00"/>
    <x v="0"/>
  </r>
  <r>
    <x v="576"/>
    <s v="BK50694"/>
    <d v="2025-11-04T00:00:00"/>
    <d v="2025-11-07T00:00:00"/>
    <d v="2025-12-02T00:00:00"/>
    <s v="Amazon"/>
    <s v="E-commerce"/>
    <s v="USA"/>
    <s v="Jebel Ali"/>
    <s v="Nhava Sheva"/>
    <x v="0"/>
    <s v="CMA CGM Jacques Saadé"/>
    <s v="40FT"/>
    <n v="2"/>
    <s v="Machinery"/>
    <n v="55236.51"/>
    <n v="11417.92"/>
    <n v="2310.9699999999998"/>
    <n v="755.43"/>
    <n v="552.37"/>
    <n v="191.18"/>
    <n v="513.95000000000005"/>
    <n v="39494.69"/>
    <n v="48"/>
    <s v="Port Congestion"/>
    <n v="95.15"/>
    <s v="Delayed"/>
    <s v="Pending"/>
    <s v="Standard"/>
    <s v="M. Ahmed"/>
    <s v="Europe"/>
    <d v="2025-11-01T00:00:00"/>
    <x v="10"/>
  </r>
  <r>
    <x v="577"/>
    <s v="BK50273"/>
    <d v="2025-04-22T00:00:00"/>
    <d v="2025-04-23T00:00:00"/>
    <d v="2025-05-10T00:00:00"/>
    <s v="Unilever"/>
    <s v="FMCG"/>
    <s v="UK"/>
    <s v="Colombo"/>
    <s v="Nhava Sheva"/>
    <x v="2"/>
    <s v="Mary Maersk"/>
    <s v="High Cube"/>
    <n v="2"/>
    <s v="Furniture"/>
    <n v="55292.12"/>
    <n v="15045.28"/>
    <n v="3328.81"/>
    <n v="592.53"/>
    <n v="552.91999999999996"/>
    <n v="355.2"/>
    <n v="1284.4100000000001"/>
    <n v="34132.97"/>
    <n v="0"/>
    <s v="None"/>
    <n v="125.38"/>
    <s v="Completed"/>
    <s v="Paid"/>
    <s v="High"/>
    <s v="M. Ahmed"/>
    <s v="Europe"/>
    <d v="2025-04-01T00:00:00"/>
    <x v="18"/>
  </r>
  <r>
    <x v="578"/>
    <s v="BK50730"/>
    <d v="2025-09-22T00:00:00"/>
    <d v="2025-09-26T00:00:00"/>
    <d v="2025-10-09T00:00:00"/>
    <s v="Pfizer"/>
    <s v="Pharma"/>
    <s v="USA"/>
    <s v="Nhava Sheva"/>
    <s v="Jebel Ali"/>
    <x v="2"/>
    <s v="Mumbai Maersk"/>
    <s v="High Cube"/>
    <n v="2"/>
    <s v="Textiles"/>
    <n v="55353.75"/>
    <n v="10466.91"/>
    <n v="3195.93"/>
    <n v="600"/>
    <n v="553.54"/>
    <n v="620.36"/>
    <n v="2420.37"/>
    <n v="37496.639999999999"/>
    <n v="36"/>
    <s v="Labor Strike"/>
    <n v="87.22"/>
    <s v="Delayed"/>
    <s v="Pending"/>
    <s v="Critical"/>
    <s v="L. Chen"/>
    <s v="North America"/>
    <d v="2025-09-01T00:00:00"/>
    <x v="13"/>
  </r>
  <r>
    <x v="579"/>
    <s v="BK50338"/>
    <d v="2025-01-25T00:00:00"/>
    <d v="2025-01-26T00:00:00"/>
    <d v="2025-02-10T00:00:00"/>
    <s v="Amazon"/>
    <s v="E-commerce"/>
    <s v="USA"/>
    <s v="Shanghai"/>
    <s v="Rotterdam"/>
    <x v="1"/>
    <s v="OOCL Hong Kong"/>
    <s v="40FT"/>
    <n v="2"/>
    <s v="Auto Parts"/>
    <n v="55381.54"/>
    <n v="16612.37"/>
    <n v="3590.9"/>
    <n v="1093.99"/>
    <n v="553.82000000000005"/>
    <n v="146.38999999999999"/>
    <n v="888.1"/>
    <n v="32495.97"/>
    <n v="48"/>
    <s v="Mechanical"/>
    <n v="138.44"/>
    <s v="Delayed"/>
    <s v="Pending"/>
    <s v="High"/>
    <s v="J. Smith"/>
    <s v="North America"/>
    <d v="2025-01-01T00:00:00"/>
    <x v="6"/>
  </r>
  <r>
    <x v="580"/>
    <s v="BK50964"/>
    <d v="2025-08-03T00:00:00"/>
    <d v="2025-08-07T00:00:00"/>
    <d v="2025-09-03T00:00:00"/>
    <s v="Unilever"/>
    <s v="FMCG"/>
    <s v="UK"/>
    <s v="Busan"/>
    <s v="Los Angeles"/>
    <x v="3"/>
    <s v="OOCL Hong Kong"/>
    <s v="40FT"/>
    <n v="2"/>
    <s v="Textiles"/>
    <n v="55390.91"/>
    <n v="9029.49"/>
    <n v="3007.6"/>
    <n v="709.84"/>
    <n v="553.91"/>
    <n v="893.02"/>
    <n v="1192.25"/>
    <n v="40004.800000000003"/>
    <n v="0"/>
    <s v="None"/>
    <n v="75.25"/>
    <s v="Completed"/>
    <s v="Paid"/>
    <s v="High"/>
    <s v="L. Chen"/>
    <s v="North America"/>
    <d v="2025-08-01T00:00:00"/>
    <x v="2"/>
  </r>
  <r>
    <x v="581"/>
    <s v="BK50659"/>
    <d v="2025-11-29T00:00:00"/>
    <d v="2025-12-02T00:00:00"/>
    <d v="2025-12-31T00:00:00"/>
    <s v="Toyota"/>
    <s v="Automotive"/>
    <s v="Japan"/>
    <s v="Singapore"/>
    <s v="Rotterdam"/>
    <x v="1"/>
    <s v="CMA CGM Jacques Saadé"/>
    <s v="40FT"/>
    <n v="2"/>
    <s v="Furniture"/>
    <n v="55391.27"/>
    <n v="10145.209999999999"/>
    <n v="3439.04"/>
    <n v="715.5"/>
    <n v="553.91"/>
    <n v="711.46"/>
    <n v="928.56"/>
    <n v="38897.589999999997"/>
    <n v="36"/>
    <s v="Weather"/>
    <n v="84.54"/>
    <s v="Delayed"/>
    <s v="Pending"/>
    <s v="Critical"/>
    <s v="R. Mehta"/>
    <s v="Europe"/>
    <d v="2025-11-01T00:00:00"/>
    <x v="20"/>
  </r>
  <r>
    <x v="582"/>
    <s v="BK50529"/>
    <d v="2025-04-04T00:00:00"/>
    <d v="2025-04-07T00:00:00"/>
    <d v="2025-04-18T00:00:00"/>
    <s v="Pfizer"/>
    <s v="Pharma"/>
    <s v="USA"/>
    <s v="Colombo"/>
    <s v="Singapore"/>
    <x v="4"/>
    <s v="Mary Maersk"/>
    <s v="High Cube"/>
    <n v="2"/>
    <s v="Food"/>
    <n v="55439.69"/>
    <n v="15392.22"/>
    <n v="2577.94"/>
    <n v="592.59"/>
    <n v="554.4"/>
    <n v="856.72"/>
    <n v="2154.61"/>
    <n v="33311.21"/>
    <n v="0"/>
    <s v="None"/>
    <n v="128.27000000000001"/>
    <s v="Completed"/>
    <s v="Pending"/>
    <s v="Critical"/>
    <s v="J. Smith"/>
    <s v="Middle East"/>
    <d v="2025-04-01T00:00:00"/>
    <x v="5"/>
  </r>
  <r>
    <x v="583"/>
    <s v="BK50666"/>
    <d v="2025-02-13T00:00:00"/>
    <d v="2025-02-15T00:00:00"/>
    <d v="2025-03-13T00:00:00"/>
    <s v="Samsung"/>
    <s v="Electronics"/>
    <s v="South Korea"/>
    <s v="Busan"/>
    <s v="Los Angeles"/>
    <x v="3"/>
    <s v="CMA CGM Jacques Saadé"/>
    <s v="High Cube"/>
    <n v="2"/>
    <s v="Machinery"/>
    <n v="55477.39"/>
    <n v="15693.65"/>
    <n v="3378.36"/>
    <n v="724.12"/>
    <n v="554.77"/>
    <n v="379.15"/>
    <n v="1783.87"/>
    <n v="32963.47"/>
    <n v="4"/>
    <s v="Customs"/>
    <n v="130.78"/>
    <s v="Delayed"/>
    <s v="Paid"/>
    <s v="Critical"/>
    <s v="L. Chen"/>
    <s v="Asia"/>
    <d v="2025-02-01T00:00:00"/>
    <x v="3"/>
  </r>
  <r>
    <x v="584"/>
    <s v="BK50171"/>
    <d v="2025-07-17T00:00:00"/>
    <d v="2025-07-20T00:00:00"/>
    <d v="2025-08-09T00:00:00"/>
    <s v="Toyota"/>
    <s v="Automotive"/>
    <s v="Japan"/>
    <s v="Hamburg"/>
    <s v="Los Angeles"/>
    <x v="2"/>
    <s v="Monaco Maersk"/>
    <s v="Reefer"/>
    <n v="2"/>
    <s v="Furniture"/>
    <n v="55577.26"/>
    <n v="11589.49"/>
    <n v="3038.95"/>
    <n v="1608.83"/>
    <n v="555.77"/>
    <n v="500.79"/>
    <n v="1380.21"/>
    <n v="36903.22"/>
    <n v="0"/>
    <s v="None"/>
    <n v="96.58"/>
    <s v="Completed"/>
    <s v="Pending"/>
    <s v="Critical"/>
    <s v="A. Tan"/>
    <s v="North America"/>
    <d v="2025-07-01T00:00:00"/>
    <x v="16"/>
  </r>
  <r>
    <x v="585"/>
    <s v="BK50023"/>
    <d v="2025-06-11T00:00:00"/>
    <d v="2025-06-15T00:00:00"/>
    <d v="2025-07-07T00:00:00"/>
    <s v="LG"/>
    <s v="Electronics"/>
    <s v="South Korea"/>
    <s v="Hamburg"/>
    <s v="Colombo"/>
    <x v="2"/>
    <s v="Madrid Maersk"/>
    <s v="High Cube"/>
    <n v="2"/>
    <s v="Chemicals"/>
    <n v="55757.52"/>
    <n v="15415.04"/>
    <n v="2413.1799999999998"/>
    <n v="1190.45"/>
    <n v="557.58000000000004"/>
    <n v="879.98"/>
    <n v="952.95"/>
    <n v="34348.339999999997"/>
    <n v="0"/>
    <s v="None"/>
    <n v="128.46"/>
    <s v="Completed"/>
    <s v="Paid"/>
    <s v="Standard"/>
    <s v="J. Smith"/>
    <s v="North America"/>
    <d v="2025-06-01T00:00:00"/>
    <x v="4"/>
  </r>
  <r>
    <x v="586"/>
    <s v="BK50389"/>
    <d v="2025-07-25T00:00:00"/>
    <d v="2025-07-28T00:00:00"/>
    <d v="2025-08-25T00:00:00"/>
    <s v="Adidas"/>
    <s v="Retail"/>
    <s v="Germany"/>
    <s v="Jebel Ali"/>
    <s v="Nhava Sheva"/>
    <x v="0"/>
    <s v="Mary Maersk"/>
    <s v="Reefer"/>
    <n v="2"/>
    <s v="Machinery"/>
    <n v="55805.51"/>
    <n v="13792.57"/>
    <n v="3730.69"/>
    <n v="1567.66"/>
    <n v="558.05999999999995"/>
    <n v="686.48"/>
    <n v="1297.74"/>
    <n v="34172.31"/>
    <n v="48"/>
    <s v="Mechanical"/>
    <n v="114.94"/>
    <s v="Delayed"/>
    <s v="Paid"/>
    <s v="High"/>
    <s v="M. Ahmed"/>
    <s v="Middle East"/>
    <d v="2025-07-01T00:00:00"/>
    <x v="17"/>
  </r>
  <r>
    <x v="587"/>
    <s v="BK50745"/>
    <d v="2025-02-03T00:00:00"/>
    <d v="2025-02-04T00:00:00"/>
    <d v="2025-02-24T00:00:00"/>
    <s v="Nestlé"/>
    <s v="Food"/>
    <s v="Switzerland"/>
    <s v="Singapore"/>
    <s v="Rotterdam"/>
    <x v="1"/>
    <s v="CMA CGM Jacques Saadé"/>
    <s v="Reefer"/>
    <n v="2"/>
    <s v="Machinery"/>
    <n v="55850.3"/>
    <n v="12888.54"/>
    <n v="4251.1400000000003"/>
    <n v="1166.51"/>
    <n v="558.5"/>
    <n v="324.74"/>
    <n v="390.74"/>
    <n v="36270.129999999997"/>
    <n v="0"/>
    <s v="None"/>
    <n v="107.4"/>
    <s v="Completed"/>
    <s v="Pending"/>
    <s v="Standard"/>
    <s v="M. Ahmed"/>
    <s v="North America"/>
    <d v="2025-02-01T00:00:00"/>
    <x v="16"/>
  </r>
  <r>
    <x v="588"/>
    <s v="BK50873"/>
    <d v="2025-06-04T00:00:00"/>
    <d v="2025-06-06T00:00:00"/>
    <d v="2025-07-03T00:00:00"/>
    <s v="Toyota"/>
    <s v="Automotive"/>
    <s v="Japan"/>
    <s v="Colombo"/>
    <s v="Singapore"/>
    <x v="4"/>
    <s v="Ever Ace"/>
    <s v="40FT"/>
    <n v="2"/>
    <s v="Electronics"/>
    <n v="55893.63"/>
    <n v="16100.29"/>
    <n v="3046.56"/>
    <n v="846.25"/>
    <n v="558.94000000000005"/>
    <n v="184.19"/>
    <n v="1019.62"/>
    <n v="34137.78"/>
    <n v="0"/>
    <s v="None"/>
    <n v="134.16999999999999"/>
    <s v="Completed"/>
    <s v="Paid"/>
    <s v="High"/>
    <s v="M. Ahmed"/>
    <s v="Europe"/>
    <d v="2025-06-01T00:00:00"/>
    <x v="2"/>
  </r>
  <r>
    <x v="589"/>
    <s v="BK50788"/>
    <d v="2025-08-30T00:00:00"/>
    <d v="2025-09-03T00:00:00"/>
    <d v="2025-09-13T00:00:00"/>
    <s v="Unilever"/>
    <s v="FMCG"/>
    <s v="UK"/>
    <s v="Jebel Ali"/>
    <s v="Singapore"/>
    <x v="2"/>
    <s v="Madrid Maersk"/>
    <s v="40FT"/>
    <n v="2"/>
    <s v="Chemicals"/>
    <n v="55921.89"/>
    <n v="9385.2000000000007"/>
    <n v="3721.4"/>
    <n v="928.57"/>
    <n v="559.22"/>
    <n v="675.78"/>
    <n v="914.58"/>
    <n v="39737.14"/>
    <n v="0"/>
    <s v="None"/>
    <n v="78.209999999999994"/>
    <s v="Completed"/>
    <s v="Paid"/>
    <s v="High"/>
    <s v="L. Chen"/>
    <s v="North America"/>
    <d v="2025-08-01T00:00:00"/>
    <x v="15"/>
  </r>
  <r>
    <x v="590"/>
    <s v="BK50406"/>
    <d v="2025-08-27T00:00:00"/>
    <d v="2025-08-30T00:00:00"/>
    <d v="2025-09-17T00:00:00"/>
    <s v="LG"/>
    <s v="Electronics"/>
    <s v="South Korea"/>
    <s v="Colombo"/>
    <s v="Jebel Ali"/>
    <x v="2"/>
    <s v="OOCL Hong Kong"/>
    <s v="High Cube"/>
    <n v="4"/>
    <s v="Auto Parts"/>
    <n v="56105.58"/>
    <n v="9564.34"/>
    <n v="4431.12"/>
    <n v="1408.64"/>
    <n v="561.05999999999995"/>
    <n v="787.94"/>
    <n v="2182.85"/>
    <n v="37169.629999999997"/>
    <n v="0"/>
    <s v="None"/>
    <n v="79.7"/>
    <s v="Completed"/>
    <s v="Pending"/>
    <s v="High"/>
    <s v="R. Mehta"/>
    <s v="Middle East"/>
    <d v="2025-08-01T00:00:00"/>
    <x v="14"/>
  </r>
  <r>
    <x v="591"/>
    <s v="BK50859"/>
    <d v="2025-10-04T00:00:00"/>
    <d v="2025-10-06T00:00:00"/>
    <d v="2025-10-27T00:00:00"/>
    <s v="Bosch"/>
    <s v="Manufacturing"/>
    <s v="Germany"/>
    <s v="Busan"/>
    <s v="Rotterdam"/>
    <x v="2"/>
    <s v="Mumbai Maersk"/>
    <s v="20FT"/>
    <n v="2"/>
    <s v="Machinery"/>
    <n v="56344.06"/>
    <n v="13054.93"/>
    <n v="2816.22"/>
    <n v="859.82"/>
    <n v="563.44000000000005"/>
    <n v="594.13"/>
    <n v="1859.55"/>
    <n v="36595.97"/>
    <n v="0"/>
    <s v="None"/>
    <n v="108.79"/>
    <s v="Completed"/>
    <s v="Pending"/>
    <s v="Standard"/>
    <s v="J. Smith"/>
    <s v="North America"/>
    <d v="2025-10-01T00:00:00"/>
    <x v="9"/>
  </r>
  <r>
    <x v="592"/>
    <s v="BK50696"/>
    <d v="2025-03-03T00:00:00"/>
    <d v="2025-03-05T00:00:00"/>
    <d v="2025-03-15T00:00:00"/>
    <s v="Nestlé"/>
    <s v="Food"/>
    <s v="Switzerland"/>
    <s v="Jebel Ali"/>
    <s v="Nhava Sheva"/>
    <x v="0"/>
    <s v="CMA CGM Jacques Saadé"/>
    <s v="Reefer"/>
    <n v="2"/>
    <s v="Electronics"/>
    <n v="56399.69"/>
    <n v="14989.8"/>
    <n v="2900.71"/>
    <n v="1350.27"/>
    <n v="564"/>
    <n v="344.49"/>
    <n v="650.1"/>
    <n v="35600.32"/>
    <n v="12"/>
    <s v="Weather"/>
    <n v="124.91"/>
    <s v="Delayed"/>
    <s v="Pending"/>
    <s v="Critical"/>
    <s v="A. Tan"/>
    <s v="Europe"/>
    <d v="2025-03-01T00:00:00"/>
    <x v="15"/>
  </r>
  <r>
    <x v="593"/>
    <s v="BK50223"/>
    <d v="2025-05-15T00:00:00"/>
    <d v="2025-05-19T00:00:00"/>
    <d v="2025-06-06T00:00:00"/>
    <s v="Pfizer"/>
    <s v="Pharma"/>
    <s v="USA"/>
    <s v="Colombo"/>
    <s v="Singapore"/>
    <x v="4"/>
    <s v="Madrid Maersk"/>
    <s v="20FT"/>
    <n v="2"/>
    <s v="Food"/>
    <n v="56510.63"/>
    <n v="9270.7000000000007"/>
    <n v="3564.58"/>
    <n v="818.98"/>
    <n v="565.11"/>
    <n v="313.74"/>
    <n v="2455.1799999999998"/>
    <n v="39522.339999999997"/>
    <n v="8"/>
    <s v="Weather"/>
    <n v="77.260000000000005"/>
    <s v="Delayed"/>
    <s v="Paid"/>
    <s v="High"/>
    <s v="M. Ahmed"/>
    <s v="North America"/>
    <d v="2025-05-01T00:00:00"/>
    <x v="14"/>
  </r>
  <r>
    <x v="594"/>
    <s v="BK50220"/>
    <d v="2025-08-17T00:00:00"/>
    <d v="2025-08-19T00:00:00"/>
    <d v="2025-09-13T00:00:00"/>
    <s v="IKEA"/>
    <s v="Retail"/>
    <s v="Sweden"/>
    <s v="Busan"/>
    <s v="Los Angeles"/>
    <x v="3"/>
    <s v="OOCL Hong Kong"/>
    <s v="High Cube"/>
    <n v="2"/>
    <s v="Furniture"/>
    <n v="56533.05"/>
    <n v="12591.83"/>
    <n v="2372.04"/>
    <n v="979.47"/>
    <n v="565.33000000000004"/>
    <n v="500.33"/>
    <n v="856.03"/>
    <n v="38668.019999999997"/>
    <n v="24"/>
    <s v="Port Congestion"/>
    <n v="104.93"/>
    <s v="Delayed"/>
    <s v="Paid"/>
    <s v="High"/>
    <s v="J. Smith"/>
    <s v="Middle East"/>
    <d v="2025-08-01T00:00:00"/>
    <x v="10"/>
  </r>
  <r>
    <x v="595"/>
    <s v="BK50689"/>
    <d v="2025-07-23T00:00:00"/>
    <d v="2025-07-27T00:00:00"/>
    <d v="2025-08-20T00:00:00"/>
    <s v="LG"/>
    <s v="Electronics"/>
    <s v="South Korea"/>
    <s v="Jebel Ali"/>
    <s v="Nhava Sheva"/>
    <x v="0"/>
    <s v="MSC Gülsün"/>
    <s v="40FT"/>
    <n v="2"/>
    <s v="Chemicals"/>
    <n v="56680.14"/>
    <n v="13415.76"/>
    <n v="4277.3100000000004"/>
    <n v="1000.76"/>
    <n v="566.79999999999995"/>
    <n v="601.30999999999995"/>
    <n v="1580.92"/>
    <n v="35237.279999999999"/>
    <n v="8"/>
    <s v="Customs"/>
    <n v="111.8"/>
    <s v="Delayed"/>
    <s v="Paid"/>
    <s v="Critical"/>
    <s v="J. Smith"/>
    <s v="Europe"/>
    <d v="2025-07-01T00:00:00"/>
    <x v="8"/>
  </r>
  <r>
    <x v="596"/>
    <s v="BK50397"/>
    <d v="2025-08-16T00:00:00"/>
    <d v="2025-08-17T00:00:00"/>
    <d v="2025-08-31T00:00:00"/>
    <s v="Amazon"/>
    <s v="E-commerce"/>
    <s v="USA"/>
    <s v="Los Angeles"/>
    <s v="Singapore"/>
    <x v="2"/>
    <s v="MSC Gülsün"/>
    <s v="Reefer"/>
    <n v="4"/>
    <s v="Machinery"/>
    <n v="56741.91"/>
    <n v="13884.77"/>
    <n v="4002.95"/>
    <n v="1322.15"/>
    <n v="567.41999999999996"/>
    <n v="474.85"/>
    <n v="917.96"/>
    <n v="35571.81"/>
    <n v="48"/>
    <s v="Mechanical"/>
    <n v="115.71"/>
    <s v="Delayed"/>
    <s v="Pending"/>
    <s v="High"/>
    <s v="R. Mehta"/>
    <s v="Asia"/>
    <d v="2025-08-01T00:00:00"/>
    <x v="1"/>
  </r>
  <r>
    <x v="597"/>
    <s v="BK50954"/>
    <d v="2025-12-09T00:00:00"/>
    <d v="2025-12-11T00:00:00"/>
    <d v="2026-01-01T00:00:00"/>
    <s v="Unilever"/>
    <s v="FMCG"/>
    <s v="UK"/>
    <s v="Singapore"/>
    <s v="Los Angeles"/>
    <x v="2"/>
    <s v="Monaco Maersk"/>
    <s v="40FT"/>
    <n v="2"/>
    <s v="Food"/>
    <n v="56791.77"/>
    <n v="12898.47"/>
    <n v="3066.15"/>
    <n v="1286.1300000000001"/>
    <n v="567.91999999999996"/>
    <n v="642.04999999999995"/>
    <n v="1827.34"/>
    <n v="36503.71"/>
    <n v="0"/>
    <s v="None"/>
    <n v="107.49"/>
    <s v="Completed"/>
    <s v="Paid"/>
    <s v="High"/>
    <s v="R. Mehta"/>
    <s v="Europe"/>
    <d v="2025-12-01T00:00:00"/>
    <x v="9"/>
  </r>
  <r>
    <x v="598"/>
    <s v="BK50662"/>
    <d v="2025-04-17T00:00:00"/>
    <d v="2025-04-21T00:00:00"/>
    <d v="2025-05-10T00:00:00"/>
    <s v="Pfizer"/>
    <s v="Pharma"/>
    <s v="USA"/>
    <s v="Colombo"/>
    <s v="Singapore"/>
    <x v="4"/>
    <s v="Mumbai Maersk"/>
    <s v="40FT"/>
    <n v="2"/>
    <s v="Auto Parts"/>
    <n v="57087.71"/>
    <n v="14143.33"/>
    <n v="3418.81"/>
    <n v="1535.93"/>
    <n v="570.88"/>
    <n v="385.05"/>
    <n v="1184.98"/>
    <n v="35848.730000000003"/>
    <n v="4"/>
    <s v="Weather"/>
    <n v="117.86"/>
    <s v="Delayed"/>
    <s v="Paid"/>
    <s v="Standard"/>
    <s v="J. Smith"/>
    <s v="Asia"/>
    <d v="2025-04-01T00:00:00"/>
    <x v="11"/>
  </r>
  <r>
    <x v="599"/>
    <s v="BK50192"/>
    <d v="2025-10-30T00:00:00"/>
    <d v="2025-11-03T00:00:00"/>
    <d v="2025-11-21T00:00:00"/>
    <s v="Reliance"/>
    <s v="Retail"/>
    <s v="India"/>
    <s v="Rotterdam"/>
    <s v="Los Angeles"/>
    <x v="2"/>
    <s v="Mary Maersk"/>
    <s v="40FT"/>
    <n v="2"/>
    <s v="Food"/>
    <n v="57409.54"/>
    <n v="14310.28"/>
    <n v="3915.86"/>
    <n v="1213.1600000000001"/>
    <n v="574.1"/>
    <n v="715.27"/>
    <n v="500.27"/>
    <n v="36180.6"/>
    <n v="0"/>
    <s v="None"/>
    <n v="119.25"/>
    <s v="Completed"/>
    <s v="Paid"/>
    <s v="Critical"/>
    <s v="R. Mehta"/>
    <s v="Asia"/>
    <d v="2025-10-01T00:00:00"/>
    <x v="14"/>
  </r>
  <r>
    <x v="600"/>
    <s v="BK50445"/>
    <d v="2025-10-30T00:00:00"/>
    <d v="2025-11-01T00:00:00"/>
    <d v="2025-11-26T00:00:00"/>
    <s v="Pfizer"/>
    <s v="Pharma"/>
    <s v="USA"/>
    <s v="Colombo"/>
    <s v="Singapore"/>
    <x v="4"/>
    <s v="CMA CGM Jacques Saadé"/>
    <s v="Reefer"/>
    <n v="4"/>
    <s v="Electronics"/>
    <n v="57467"/>
    <n v="16306.5"/>
    <n v="2680.18"/>
    <n v="1414.99"/>
    <n v="574.66999999999996"/>
    <n v="630.44000000000005"/>
    <n v="2361.86"/>
    <n v="33498.36"/>
    <n v="4"/>
    <s v="Weather"/>
    <n v="135.88999999999999"/>
    <s v="Delayed"/>
    <s v="Pending"/>
    <s v="High"/>
    <s v="L. Chen"/>
    <s v="Europe"/>
    <d v="2025-10-01T00:00:00"/>
    <x v="10"/>
  </r>
  <r>
    <x v="601"/>
    <s v="BK50778"/>
    <d v="2025-03-11T00:00:00"/>
    <d v="2025-03-12T00:00:00"/>
    <d v="2025-03-24T00:00:00"/>
    <s v="Adidas"/>
    <s v="Retail"/>
    <s v="Germany"/>
    <s v="Busan"/>
    <s v="Rotterdam"/>
    <x v="2"/>
    <s v="Madrid Maersk"/>
    <s v="High Cube"/>
    <n v="2"/>
    <s v="Furniture"/>
    <n v="57545.7"/>
    <n v="17010.43"/>
    <n v="4492.92"/>
    <n v="1569.89"/>
    <n v="575.46"/>
    <n v="706.15"/>
    <n v="371.25"/>
    <n v="32819.599999999999"/>
    <n v="0"/>
    <s v="None"/>
    <n v="141.75"/>
    <s v="Completed"/>
    <s v="Pending"/>
    <s v="Standard"/>
    <s v="M. Ahmed"/>
    <s v="Asia"/>
    <d v="2025-03-01T00:00:00"/>
    <x v="12"/>
  </r>
  <r>
    <x v="602"/>
    <s v="BK50427"/>
    <d v="2025-04-06T00:00:00"/>
    <d v="2025-04-08T00:00:00"/>
    <d v="2025-04-29T00:00:00"/>
    <s v="Unilever"/>
    <s v="FMCG"/>
    <s v="UK"/>
    <s v="Colombo"/>
    <s v="Singapore"/>
    <x v="4"/>
    <s v="OOCL Hong Kong"/>
    <s v="High Cube"/>
    <n v="2"/>
    <s v="Electronics"/>
    <n v="57738.559999999998"/>
    <n v="11015.92"/>
    <n v="3818.47"/>
    <n v="1617.83"/>
    <n v="577.39"/>
    <n v="372.29"/>
    <n v="1254.1300000000001"/>
    <n v="39082.53"/>
    <n v="0"/>
    <s v="None"/>
    <n v="91.8"/>
    <s v="Completed"/>
    <s v="Pending"/>
    <s v="High"/>
    <s v="A. Tan"/>
    <s v="Europe"/>
    <d v="2025-04-01T00:00:00"/>
    <x v="9"/>
  </r>
  <r>
    <x v="603"/>
    <s v="BK50971"/>
    <d v="2025-04-19T00:00:00"/>
    <d v="2025-04-20T00:00:00"/>
    <d v="2025-05-03T00:00:00"/>
    <s v="Adidas"/>
    <s v="Retail"/>
    <s v="Germany"/>
    <s v="Busan"/>
    <s v="Jebel Ali"/>
    <x v="2"/>
    <s v="Mumbai Maersk"/>
    <s v="Reefer"/>
    <n v="2"/>
    <s v="Machinery"/>
    <n v="57772.38"/>
    <n v="13177.45"/>
    <n v="4514.2700000000004"/>
    <n v="1332.71"/>
    <n v="577.72"/>
    <n v="718.05"/>
    <n v="2014.21"/>
    <n v="35437.97"/>
    <n v="8"/>
    <s v="Port Congestion"/>
    <n v="109.81"/>
    <s v="Delayed"/>
    <s v="Paid"/>
    <s v="High"/>
    <s v="R. Mehta"/>
    <s v="North America"/>
    <d v="2025-04-01T00:00:00"/>
    <x v="13"/>
  </r>
  <r>
    <x v="604"/>
    <s v="BK50968"/>
    <d v="2025-10-26T00:00:00"/>
    <d v="2025-10-30T00:00:00"/>
    <d v="2025-11-22T00:00:00"/>
    <s v="Unilever"/>
    <s v="FMCG"/>
    <s v="UK"/>
    <s v="Jebel Ali"/>
    <s v="Nhava Sheva"/>
    <x v="0"/>
    <s v="Mary Maersk"/>
    <s v="High Cube"/>
    <n v="2"/>
    <s v="Electronics"/>
    <n v="57783.59"/>
    <n v="16129.49"/>
    <n v="4086.69"/>
    <n v="652.01"/>
    <n v="577.84"/>
    <n v="285.82"/>
    <n v="391.21"/>
    <n v="35660.53"/>
    <n v="8"/>
    <s v="Mechanical"/>
    <n v="134.41"/>
    <s v="Delayed"/>
    <s v="Pending"/>
    <s v="Critical"/>
    <s v="L. Chen"/>
    <s v="Middle East"/>
    <d v="2025-10-01T00:00:00"/>
    <x v="7"/>
  </r>
  <r>
    <x v="605"/>
    <s v="BK50523"/>
    <d v="2025-08-14T00:00:00"/>
    <d v="2025-08-15T00:00:00"/>
    <d v="2025-09-11T00:00:00"/>
    <s v="Toyota"/>
    <s v="Automotive"/>
    <s v="Japan"/>
    <s v="Shanghai"/>
    <s v="Rotterdam"/>
    <x v="1"/>
    <s v="MSC Gülsün"/>
    <s v="20FT"/>
    <n v="2"/>
    <s v="Food"/>
    <n v="57974.07"/>
    <n v="15560.01"/>
    <n v="3242.59"/>
    <n v="1061.57"/>
    <n v="579.74"/>
    <n v="486.39"/>
    <n v="623.54"/>
    <n v="36420.230000000003"/>
    <n v="0"/>
    <s v="None"/>
    <n v="129.66999999999999"/>
    <s v="Completed"/>
    <s v="Paid"/>
    <s v="High"/>
    <s v="A. Tan"/>
    <s v="Asia"/>
    <d v="2025-08-01T00:00:00"/>
    <x v="2"/>
  </r>
  <r>
    <x v="606"/>
    <s v="BK50085"/>
    <d v="2025-08-08T00:00:00"/>
    <d v="2025-08-09T00:00:00"/>
    <d v="2025-09-04T00:00:00"/>
    <s v="LG"/>
    <s v="Electronics"/>
    <s v="South Korea"/>
    <s v="Shanghai"/>
    <s v="Rotterdam"/>
    <x v="1"/>
    <s v="Ever Ace"/>
    <s v="20FT"/>
    <n v="2"/>
    <s v="Machinery"/>
    <n v="58213.16"/>
    <n v="14612.99"/>
    <n v="3952.11"/>
    <n v="1393.65"/>
    <n v="582.13"/>
    <n v="587.22"/>
    <n v="2271.11"/>
    <n v="34813.949999999997"/>
    <n v="0"/>
    <s v="None"/>
    <n v="121.77"/>
    <s v="Completed"/>
    <s v="Paid"/>
    <s v="High"/>
    <s v="R. Mehta"/>
    <s v="North America"/>
    <d v="2025-08-01T00:00:00"/>
    <x v="3"/>
  </r>
  <r>
    <x v="607"/>
    <s v="BK50661"/>
    <d v="2025-01-12T00:00:00"/>
    <d v="2025-01-16T00:00:00"/>
    <d v="2025-02-13T00:00:00"/>
    <s v="Toyota"/>
    <s v="Automotive"/>
    <s v="Japan"/>
    <s v="Jebel Ali"/>
    <s v="Hamburg"/>
    <x v="2"/>
    <s v="MSC Gülsün"/>
    <s v="40FT"/>
    <n v="2"/>
    <s v="Machinery"/>
    <n v="58213.62"/>
    <n v="11992.08"/>
    <n v="2447.23"/>
    <n v="1410.61"/>
    <n v="582.14"/>
    <n v="875.39"/>
    <n v="2408.58"/>
    <n v="38497.589999999997"/>
    <n v="24"/>
    <s v="Mechanical"/>
    <n v="99.93"/>
    <s v="Delayed"/>
    <s v="Paid"/>
    <s v="High"/>
    <s v="R. Mehta"/>
    <s v="Asia"/>
    <d v="2025-01-01T00:00:00"/>
    <x v="17"/>
  </r>
  <r>
    <x v="608"/>
    <s v="BK50006"/>
    <d v="2025-08-16T00:00:00"/>
    <d v="2025-08-19T00:00:00"/>
    <d v="2025-09-11T00:00:00"/>
    <s v="Bosch"/>
    <s v="Manufacturing"/>
    <s v="Germany"/>
    <s v="Busan"/>
    <s v="Los Angeles"/>
    <x v="3"/>
    <s v="Mary Maersk"/>
    <s v="High Cube"/>
    <n v="2"/>
    <s v="Chemicals"/>
    <n v="58605.69"/>
    <n v="9838.74"/>
    <n v="2538.7800000000002"/>
    <n v="1540.42"/>
    <n v="586.05999999999995"/>
    <n v="222.65"/>
    <n v="934.84"/>
    <n v="42944.2"/>
    <n v="4"/>
    <s v="Weather"/>
    <n v="81.99"/>
    <s v="Delayed"/>
    <s v="Paid"/>
    <s v="High"/>
    <s v="R. Mehta"/>
    <s v="Asia"/>
    <d v="2025-08-01T00:00:00"/>
    <x v="7"/>
  </r>
  <r>
    <x v="609"/>
    <s v="BK50800"/>
    <d v="2025-03-15T00:00:00"/>
    <d v="2025-03-17T00:00:00"/>
    <d v="2025-03-28T00:00:00"/>
    <s v="Nestlé"/>
    <s v="Food"/>
    <s v="Switzerland"/>
    <s v="Jebel Ali"/>
    <s v="Nhava Sheva"/>
    <x v="0"/>
    <s v="Mary Maersk"/>
    <s v="Reefer"/>
    <n v="2"/>
    <s v="Auto Parts"/>
    <n v="58667.03"/>
    <n v="10044.99"/>
    <n v="4514.6000000000004"/>
    <n v="689.58"/>
    <n v="586.66999999999996"/>
    <n v="311.43"/>
    <n v="1833.42"/>
    <n v="40686.339999999997"/>
    <n v="12"/>
    <s v="Labor Strike"/>
    <n v="83.71"/>
    <s v="Delayed"/>
    <s v="Pending"/>
    <s v="Critical"/>
    <s v="R. Mehta"/>
    <s v="Middle East"/>
    <d v="2025-03-01T00:00:00"/>
    <x v="5"/>
  </r>
  <r>
    <x v="610"/>
    <s v="BK50710"/>
    <d v="2025-07-10T00:00:00"/>
    <d v="2025-07-12T00:00:00"/>
    <d v="2025-07-25T00:00:00"/>
    <s v="Toyota"/>
    <s v="Automotive"/>
    <s v="Japan"/>
    <s v="Nhava Sheva"/>
    <s v="Nhava Sheva"/>
    <x v="2"/>
    <s v="MSC Gülsün"/>
    <s v="Reefer"/>
    <n v="4"/>
    <s v="Food"/>
    <n v="58706.39"/>
    <n v="12541.18"/>
    <n v="4550.91"/>
    <n v="1668.1"/>
    <n v="587.05999999999995"/>
    <n v="794.07"/>
    <n v="561.4"/>
    <n v="38003.67"/>
    <n v="0"/>
    <s v="None"/>
    <n v="104.51"/>
    <s v="Completed"/>
    <s v="Pending"/>
    <s v="High"/>
    <s v="L. Chen"/>
    <s v="North America"/>
    <d v="2025-07-01T00:00:00"/>
    <x v="13"/>
  </r>
  <r>
    <x v="611"/>
    <s v="BK50152"/>
    <d v="2025-09-25T00:00:00"/>
    <d v="2025-09-26T00:00:00"/>
    <d v="2025-10-19T00:00:00"/>
    <s v="Samsung"/>
    <s v="Electronics"/>
    <s v="South Korea"/>
    <s v="Busan"/>
    <s v="Los Angeles"/>
    <x v="3"/>
    <s v="Monaco Maersk"/>
    <s v="High Cube"/>
    <n v="4"/>
    <s v="Machinery"/>
    <n v="58892.89"/>
    <n v="12085.59"/>
    <n v="3432.6"/>
    <n v="906.05"/>
    <n v="588.92999999999995"/>
    <n v="434.07"/>
    <n v="1661.18"/>
    <n v="39784.47"/>
    <n v="24"/>
    <s v="Labor Strike"/>
    <n v="100.71"/>
    <s v="Delayed"/>
    <s v="Pending"/>
    <s v="High"/>
    <s v="L. Chen"/>
    <s v="Asia"/>
    <d v="2025-09-01T00:00:00"/>
    <x v="7"/>
  </r>
  <r>
    <x v="612"/>
    <s v="BK50166"/>
    <d v="2025-12-17T00:00:00"/>
    <d v="2025-12-21T00:00:00"/>
    <d v="2026-01-11T00:00:00"/>
    <s v="Nestlé"/>
    <s v="Food"/>
    <s v="Switzerland"/>
    <s v="Singapore"/>
    <s v="Rotterdam"/>
    <x v="1"/>
    <s v="Mumbai Maersk"/>
    <s v="20FT"/>
    <n v="4"/>
    <s v="Machinery"/>
    <n v="58987.53"/>
    <n v="15129.58"/>
    <n v="4144.1400000000003"/>
    <n v="593.34"/>
    <n v="589.88"/>
    <n v="792.61"/>
    <n v="770.94"/>
    <n v="36967.040000000001"/>
    <n v="8"/>
    <s v="Customs"/>
    <n v="126.08"/>
    <s v="Delayed"/>
    <s v="Pending"/>
    <s v="High"/>
    <s v="M. Ahmed"/>
    <s v="North America"/>
    <d v="2025-12-01T00:00:00"/>
    <x v="9"/>
  </r>
  <r>
    <x v="613"/>
    <s v="BK50811"/>
    <d v="2025-10-02T00:00:00"/>
    <d v="2025-10-06T00:00:00"/>
    <d v="2025-11-01T00:00:00"/>
    <s v="Unilever"/>
    <s v="FMCG"/>
    <s v="UK"/>
    <s v="Jebel Ali"/>
    <s v="Colombo"/>
    <x v="2"/>
    <s v="CMA CGM Jacques Saadé"/>
    <s v="High Cube"/>
    <n v="2"/>
    <s v="Machinery"/>
    <n v="59208.12"/>
    <n v="12620.41"/>
    <n v="3426.55"/>
    <n v="890.25"/>
    <n v="592.08000000000004"/>
    <n v="878.36"/>
    <n v="1145.57"/>
    <n v="39654.9"/>
    <n v="36"/>
    <s v="Mechanical"/>
    <n v="105.17"/>
    <s v="Delayed"/>
    <s v="Pending"/>
    <s v="Critical"/>
    <s v="L. Chen"/>
    <s v="Asia"/>
    <d v="2025-10-01T00:00:00"/>
    <x v="3"/>
  </r>
  <r>
    <x v="614"/>
    <s v="BK50936"/>
    <d v="2025-09-06T00:00:00"/>
    <d v="2025-09-09T00:00:00"/>
    <d v="2025-10-06T00:00:00"/>
    <s v="Unilever"/>
    <s v="FMCG"/>
    <s v="UK"/>
    <s v="Singapore"/>
    <s v="Los Angeles"/>
    <x v="2"/>
    <s v="CMA CGM Jacques Saadé"/>
    <s v="20FT"/>
    <n v="2"/>
    <s v="Chemicals"/>
    <n v="59218.93"/>
    <n v="13062.49"/>
    <n v="2480.4899999999998"/>
    <n v="1199.67"/>
    <n v="592.19000000000005"/>
    <n v="245.39"/>
    <n v="1017.24"/>
    <n v="40621.46"/>
    <n v="4"/>
    <s v="Labor Strike"/>
    <n v="108.85"/>
    <s v="Delayed"/>
    <s v="Paid"/>
    <s v="High"/>
    <s v="L. Chen"/>
    <s v="North America"/>
    <d v="2025-09-01T00:00:00"/>
    <x v="2"/>
  </r>
  <r>
    <x v="615"/>
    <s v="BK50609"/>
    <d v="2025-10-30T00:00:00"/>
    <d v="2025-11-02T00:00:00"/>
    <d v="2025-11-12T00:00:00"/>
    <s v="Unilever"/>
    <s v="FMCG"/>
    <s v="UK"/>
    <s v="Singapore"/>
    <s v="Rotterdam"/>
    <x v="1"/>
    <s v="CMA CGM Jacques Saadé"/>
    <s v="40FT"/>
    <n v="2"/>
    <s v="Auto Parts"/>
    <n v="59313.98"/>
    <n v="14964.64"/>
    <n v="2509.17"/>
    <n v="1283.1300000000001"/>
    <n v="593.14"/>
    <n v="798.59"/>
    <n v="517.29"/>
    <n v="38648.019999999997"/>
    <n v="0"/>
    <s v="None"/>
    <n v="124.71"/>
    <s v="Completed"/>
    <s v="Paid"/>
    <s v="High"/>
    <s v="L. Chen"/>
    <s v="North America"/>
    <d v="2025-10-01T00:00:00"/>
    <x v="15"/>
  </r>
  <r>
    <x v="616"/>
    <s v="BK50244"/>
    <d v="2025-04-15T00:00:00"/>
    <d v="2025-04-16T00:00:00"/>
    <d v="2025-05-12T00:00:00"/>
    <s v="Reliance"/>
    <s v="Retail"/>
    <s v="India"/>
    <s v="Singapore"/>
    <s v="Rotterdam"/>
    <x v="1"/>
    <s v="OOCL Hong Kong"/>
    <s v="20FT"/>
    <n v="4"/>
    <s v="Machinery"/>
    <n v="59358.879999999997"/>
    <n v="13844.87"/>
    <n v="2967.83"/>
    <n v="598.39"/>
    <n v="593.59"/>
    <n v="872.66"/>
    <n v="1497.96"/>
    <n v="38983.58"/>
    <n v="0"/>
    <s v="None"/>
    <n v="115.37"/>
    <s v="Completed"/>
    <s v="Paid"/>
    <s v="Critical"/>
    <s v="J. Smith"/>
    <s v="Middle East"/>
    <d v="2025-04-01T00:00:00"/>
    <x v="3"/>
  </r>
  <r>
    <x v="617"/>
    <s v="BK50502"/>
    <d v="2025-09-29T00:00:00"/>
    <d v="2025-10-02T00:00:00"/>
    <d v="2025-10-23T00:00:00"/>
    <s v="Reliance"/>
    <s v="Retail"/>
    <s v="India"/>
    <s v="Jebel Ali"/>
    <s v="New York"/>
    <x v="2"/>
    <s v="CMA CGM Jacques Saadé"/>
    <s v="40FT"/>
    <n v="2"/>
    <s v="Textiles"/>
    <n v="59441.57"/>
    <n v="14060.56"/>
    <n v="3298.42"/>
    <n v="1633.17"/>
    <n v="594.41999999999996"/>
    <n v="143.38"/>
    <n v="2018.44"/>
    <n v="37693.18"/>
    <n v="8"/>
    <s v="Port Congestion"/>
    <n v="117.17"/>
    <s v="Delayed"/>
    <s v="Paid"/>
    <s v="Critical"/>
    <s v="L. Chen"/>
    <s v="Asia"/>
    <d v="2025-09-01T00:00:00"/>
    <x v="9"/>
  </r>
  <r>
    <x v="618"/>
    <s v="BK50447"/>
    <d v="2025-10-05T00:00:00"/>
    <d v="2025-10-08T00:00:00"/>
    <d v="2025-11-03T00:00:00"/>
    <s v="Bosch"/>
    <s v="Manufacturing"/>
    <s v="Germany"/>
    <s v="Colombo"/>
    <s v="Singapore"/>
    <x v="4"/>
    <s v="Ever Ace"/>
    <s v="20FT"/>
    <n v="4"/>
    <s v="Food"/>
    <n v="59585.32"/>
    <n v="17329.84"/>
    <n v="2520.5300000000002"/>
    <n v="1335.65"/>
    <n v="595.85"/>
    <n v="656.28"/>
    <n v="1289.71"/>
    <n v="35857.46"/>
    <n v="8"/>
    <s v="Customs"/>
    <n v="144.41999999999999"/>
    <s v="Delayed"/>
    <s v="Pending"/>
    <s v="Standard"/>
    <s v="M. Ahmed"/>
    <s v="Asia"/>
    <d v="2025-10-01T00:00:00"/>
    <x v="3"/>
  </r>
  <r>
    <x v="619"/>
    <s v="BK50886"/>
    <d v="2025-02-02T00:00:00"/>
    <d v="2025-02-05T00:00:00"/>
    <d v="2025-02-22T00:00:00"/>
    <s v="Toyota"/>
    <s v="Automotive"/>
    <s v="Japan"/>
    <s v="Singapore"/>
    <s v="Rotterdam"/>
    <x v="1"/>
    <s v="CMA CGM Jacques Saadé"/>
    <s v="20FT"/>
    <n v="2"/>
    <s v="Chemicals"/>
    <n v="59619.05"/>
    <n v="11984.39"/>
    <n v="3798.56"/>
    <n v="754.34"/>
    <n v="596.19000000000005"/>
    <n v="300.43"/>
    <n v="1280.8399999999999"/>
    <n v="40904.300000000003"/>
    <n v="36"/>
    <s v="Weather"/>
    <n v="99.87"/>
    <s v="Delayed"/>
    <s v="Pending"/>
    <s v="Critical"/>
    <s v="A. Tan"/>
    <s v="Europe"/>
    <d v="2025-02-01T00:00:00"/>
    <x v="18"/>
  </r>
  <r>
    <x v="620"/>
    <s v="BK50059"/>
    <d v="2025-05-26T00:00:00"/>
    <d v="2025-05-30T00:00:00"/>
    <d v="2025-06-13T00:00:00"/>
    <s v="Adidas"/>
    <s v="Retail"/>
    <s v="Germany"/>
    <s v="Jebel Ali"/>
    <s v="Nhava Sheva"/>
    <x v="0"/>
    <s v="Monaco Maersk"/>
    <s v="Reefer"/>
    <n v="2"/>
    <s v="Furniture"/>
    <n v="59760.08"/>
    <n v="14377.64"/>
    <n v="3788.17"/>
    <n v="1172.57"/>
    <n v="597.6"/>
    <n v="865.57"/>
    <n v="1252"/>
    <n v="37706.53"/>
    <n v="36"/>
    <s v="Weather"/>
    <n v="119.81"/>
    <s v="Delayed"/>
    <s v="Paid"/>
    <s v="High"/>
    <s v="M. Ahmed"/>
    <s v="Middle East"/>
    <d v="2025-05-01T00:00:00"/>
    <x v="1"/>
  </r>
  <r>
    <x v="621"/>
    <s v="BK50140"/>
    <d v="2025-10-05T00:00:00"/>
    <d v="2025-10-06T00:00:00"/>
    <d v="2025-11-02T00:00:00"/>
    <s v="Pfizer"/>
    <s v="Pharma"/>
    <s v="USA"/>
    <s v="Shanghai"/>
    <s v="Rotterdam"/>
    <x v="1"/>
    <s v="Madrid Maersk"/>
    <s v="Reefer"/>
    <n v="2"/>
    <s v="Electronics"/>
    <n v="59848.5"/>
    <n v="13625.55"/>
    <n v="4771.07"/>
    <n v="1480.25"/>
    <n v="598.49"/>
    <n v="576.16"/>
    <n v="386.94"/>
    <n v="38410.04"/>
    <n v="0"/>
    <s v="None"/>
    <n v="113.55"/>
    <s v="Completed"/>
    <s v="Paid"/>
    <s v="Standard"/>
    <s v="R. Mehta"/>
    <s v="Asia"/>
    <d v="2025-10-01T00:00:00"/>
    <x v="2"/>
  </r>
  <r>
    <x v="622"/>
    <s v="BK50282"/>
    <d v="2025-05-03T00:00:00"/>
    <d v="2025-05-06T00:00:00"/>
    <d v="2025-05-29T00:00:00"/>
    <s v="Bosch"/>
    <s v="Manufacturing"/>
    <s v="Germany"/>
    <s v="New York"/>
    <s v="Singapore"/>
    <x v="2"/>
    <s v="Mumbai Maersk"/>
    <s v="20FT"/>
    <n v="2"/>
    <s v="Chemicals"/>
    <n v="60716.9"/>
    <n v="14239.91"/>
    <n v="2528.92"/>
    <n v="1404.14"/>
    <n v="607.16999999999996"/>
    <n v="728.63"/>
    <n v="2099.3200000000002"/>
    <n v="39108.81"/>
    <n v="8"/>
    <s v="Labor Strike"/>
    <n v="118.67"/>
    <s v="Delayed"/>
    <s v="Pending"/>
    <s v="High"/>
    <s v="A. Tan"/>
    <s v="Europe"/>
    <d v="2025-05-01T00:00:00"/>
    <x v="7"/>
  </r>
  <r>
    <x v="623"/>
    <s v="BK50706"/>
    <d v="2025-07-27T00:00:00"/>
    <d v="2025-07-28T00:00:00"/>
    <d v="2025-08-19T00:00:00"/>
    <s v="Amazon"/>
    <s v="E-commerce"/>
    <s v="USA"/>
    <s v="Singapore"/>
    <s v="New York"/>
    <x v="2"/>
    <s v="CMA CGM Jacques Saadé"/>
    <s v="High Cube"/>
    <n v="2"/>
    <s v="Textiles"/>
    <n v="60963.95"/>
    <n v="14624.88"/>
    <n v="2457.39"/>
    <n v="1523.21"/>
    <n v="609.64"/>
    <n v="109.86"/>
    <n v="1805.27"/>
    <n v="39833.699999999997"/>
    <n v="48"/>
    <s v="Customs"/>
    <n v="121.87"/>
    <s v="Delayed"/>
    <s v="Pending"/>
    <s v="Critical"/>
    <s v="M. Ahmed"/>
    <s v="Asia"/>
    <d v="2025-07-01T00:00:00"/>
    <x v="4"/>
  </r>
  <r>
    <x v="624"/>
    <s v="BK50286"/>
    <d v="2025-03-16T00:00:00"/>
    <d v="2025-03-18T00:00:00"/>
    <d v="2025-04-15T00:00:00"/>
    <s v="Pfizer"/>
    <s v="Pharma"/>
    <s v="USA"/>
    <s v="Colombo"/>
    <s v="Singapore"/>
    <x v="4"/>
    <s v="MSC Gülsün"/>
    <s v="40FT"/>
    <n v="2"/>
    <s v="Machinery"/>
    <n v="61063.64"/>
    <n v="12068.73"/>
    <n v="3604.42"/>
    <n v="1268.83"/>
    <n v="610.64"/>
    <n v="317.74"/>
    <n v="1180.51"/>
    <n v="42012.77"/>
    <n v="8"/>
    <s v="Weather"/>
    <n v="100.57"/>
    <s v="Delayed"/>
    <s v="Pending"/>
    <s v="Critical"/>
    <s v="A. Tan"/>
    <s v="Asia"/>
    <d v="2025-03-01T00:00:00"/>
    <x v="17"/>
  </r>
  <r>
    <x v="625"/>
    <s v="BK50572"/>
    <d v="2025-07-22T00:00:00"/>
    <d v="2025-07-23T00:00:00"/>
    <d v="2025-08-03T00:00:00"/>
    <s v="Siemens"/>
    <s v="Engineering"/>
    <s v="Germany"/>
    <s v="Busan"/>
    <s v="Nhava Sheva"/>
    <x v="2"/>
    <s v="Madrid Maersk"/>
    <s v="High Cube"/>
    <n v="2"/>
    <s v="Auto Parts"/>
    <n v="61289.63"/>
    <n v="16820.349999999999"/>
    <n v="4612.3599999999997"/>
    <n v="993"/>
    <n v="612.9"/>
    <n v="126.81"/>
    <n v="1355.16"/>
    <n v="36769.050000000003"/>
    <n v="12"/>
    <s v="Port Congestion"/>
    <n v="140.16999999999999"/>
    <s v="Delayed"/>
    <s v="Paid"/>
    <s v="Standard"/>
    <s v="L. Chen"/>
    <s v="Asia"/>
    <d v="2025-07-01T00:00:00"/>
    <x v="5"/>
  </r>
  <r>
    <x v="626"/>
    <s v="BK50525"/>
    <d v="2025-04-24T00:00:00"/>
    <d v="2025-04-27T00:00:00"/>
    <d v="2025-05-20T00:00:00"/>
    <s v="Samsung"/>
    <s v="Electronics"/>
    <s v="South Korea"/>
    <s v="Busan"/>
    <s v="Jebel Ali"/>
    <x v="2"/>
    <s v="OOCL Hong Kong"/>
    <s v="High Cube"/>
    <n v="4"/>
    <s v="Auto Parts"/>
    <n v="61337.61"/>
    <n v="18001.64"/>
    <n v="3629.26"/>
    <n v="1616.36"/>
    <n v="613.38"/>
    <n v="173.61"/>
    <n v="314.86"/>
    <n v="36988.5"/>
    <n v="0"/>
    <s v="None"/>
    <n v="150.01"/>
    <s v="Completed"/>
    <s v="Paid"/>
    <s v="High"/>
    <s v="A. Tan"/>
    <s v="Asia"/>
    <d v="2025-04-01T00:00:00"/>
    <x v="7"/>
  </r>
  <r>
    <x v="627"/>
    <s v="BK50775"/>
    <d v="2025-11-26T00:00:00"/>
    <d v="2025-11-29T00:00:00"/>
    <d v="2025-12-18T00:00:00"/>
    <s v="LG"/>
    <s v="Electronics"/>
    <s v="South Korea"/>
    <s v="Shanghai"/>
    <s v="Rotterdam"/>
    <x v="1"/>
    <s v="MSC Gülsün"/>
    <s v="40FT"/>
    <n v="2"/>
    <s v="Furniture"/>
    <n v="61345.7"/>
    <n v="16763.89"/>
    <n v="2904.06"/>
    <n v="1454"/>
    <n v="613.46"/>
    <n v="400.24"/>
    <n v="2476.0300000000002"/>
    <n v="36734.019999999997"/>
    <n v="0"/>
    <s v="None"/>
    <n v="139.69999999999999"/>
    <s v="Completed"/>
    <s v="Paid"/>
    <s v="Standard"/>
    <s v="J. Smith"/>
    <s v="Middle East"/>
    <d v="2025-11-01T00:00:00"/>
    <x v="11"/>
  </r>
  <r>
    <x v="628"/>
    <s v="BK50303"/>
    <d v="2025-03-27T00:00:00"/>
    <d v="2025-03-29T00:00:00"/>
    <d v="2025-04-21T00:00:00"/>
    <s v="Samsung"/>
    <s v="Electronics"/>
    <s v="South Korea"/>
    <s v="New York"/>
    <s v="Colombo"/>
    <x v="2"/>
    <s v="CMA CGM Jacques Saadé"/>
    <s v="Reefer"/>
    <n v="2"/>
    <s v="Furniture"/>
    <n v="61354.82"/>
    <n v="15422.81"/>
    <n v="4364.28"/>
    <n v="1107.6099999999999"/>
    <n v="613.54999999999995"/>
    <n v="646.09"/>
    <n v="2440.08"/>
    <n v="36760.400000000001"/>
    <n v="0"/>
    <s v="None"/>
    <n v="128.52000000000001"/>
    <s v="Completed"/>
    <s v="Pending"/>
    <s v="High"/>
    <s v="A. Tan"/>
    <s v="Asia"/>
    <d v="2025-03-01T00:00:00"/>
    <x v="7"/>
  </r>
  <r>
    <x v="629"/>
    <s v="BK50098"/>
    <d v="2025-01-24T00:00:00"/>
    <d v="2025-01-26T00:00:00"/>
    <d v="2025-02-08T00:00:00"/>
    <s v="Amazon"/>
    <s v="E-commerce"/>
    <s v="USA"/>
    <s v="Busan"/>
    <s v="Los Angeles"/>
    <x v="3"/>
    <s v="CMA CGM Jacques Saadé"/>
    <s v="Reefer"/>
    <n v="2"/>
    <s v="Chemicals"/>
    <n v="61610.66"/>
    <n v="15061.4"/>
    <n v="3528.34"/>
    <n v="1471.8"/>
    <n v="616.11"/>
    <n v="543.15"/>
    <n v="2043.92"/>
    <n v="38345.94"/>
    <n v="48"/>
    <s v="Mechanical"/>
    <n v="125.51"/>
    <s v="Delayed"/>
    <s v="Paid"/>
    <s v="Standard"/>
    <s v="J. Smith"/>
    <s v="Europe"/>
    <d v="2025-01-01T00:00:00"/>
    <x v="13"/>
  </r>
  <r>
    <x v="630"/>
    <s v="BK50780"/>
    <d v="2025-09-12T00:00:00"/>
    <d v="2025-09-15T00:00:00"/>
    <d v="2025-09-25T00:00:00"/>
    <s v="Amazon"/>
    <s v="E-commerce"/>
    <s v="USA"/>
    <s v="Jebel Ali"/>
    <s v="Nhava Sheva"/>
    <x v="0"/>
    <s v="MSC Gülsün"/>
    <s v="High Cube"/>
    <n v="2"/>
    <s v="Food"/>
    <n v="61785.7"/>
    <n v="16600.46"/>
    <n v="3087.69"/>
    <n v="681.23"/>
    <n v="617.86"/>
    <n v="702.64"/>
    <n v="2386.6"/>
    <n v="37709.22"/>
    <n v="12"/>
    <s v="Mechanical"/>
    <n v="138.34"/>
    <s v="Delayed"/>
    <s v="Pending"/>
    <s v="High"/>
    <s v="M. Ahmed"/>
    <s v="Middle East"/>
    <d v="2025-09-01T00:00:00"/>
    <x v="15"/>
  </r>
  <r>
    <x v="631"/>
    <s v="BK50610"/>
    <d v="2025-07-15T00:00:00"/>
    <d v="2025-07-19T00:00:00"/>
    <d v="2025-08-14T00:00:00"/>
    <s v="Unilever"/>
    <s v="FMCG"/>
    <s v="UK"/>
    <s v="Busan"/>
    <s v="Los Angeles"/>
    <x v="3"/>
    <s v="Monaco Maersk"/>
    <s v="High Cube"/>
    <n v="2"/>
    <s v="Textiles"/>
    <n v="62000.71"/>
    <n v="17260.12"/>
    <n v="2899.12"/>
    <n v="1386.15"/>
    <n v="620.01"/>
    <n v="214.29"/>
    <n v="728.36"/>
    <n v="38892.660000000003"/>
    <n v="12"/>
    <s v="Mechanical"/>
    <n v="143.83000000000001"/>
    <s v="Delayed"/>
    <s v="Pending"/>
    <s v="Standard"/>
    <s v="J. Smith"/>
    <s v="Middle East"/>
    <d v="2025-07-01T00:00:00"/>
    <x v="3"/>
  </r>
  <r>
    <x v="632"/>
    <s v="BK50918"/>
    <d v="2025-10-25T00:00:00"/>
    <d v="2025-10-29T00:00:00"/>
    <d v="2025-11-19T00:00:00"/>
    <s v="Toyota"/>
    <s v="Automotive"/>
    <s v="Japan"/>
    <s v="Busan"/>
    <s v="Hamburg"/>
    <x v="2"/>
    <s v="Mumbai Maersk"/>
    <s v="Reefer"/>
    <n v="2"/>
    <s v="Auto Parts"/>
    <n v="62047.39"/>
    <n v="11547.61"/>
    <n v="4383.95"/>
    <n v="827.76"/>
    <n v="620.47"/>
    <n v="791.41"/>
    <n v="1410.75"/>
    <n v="42465.440000000002"/>
    <n v="0"/>
    <s v="None"/>
    <n v="96.23"/>
    <s v="Completed"/>
    <s v="Paid"/>
    <s v="Standard"/>
    <s v="A. Tan"/>
    <s v="Europe"/>
    <d v="2025-10-01T00:00:00"/>
    <x v="9"/>
  </r>
  <r>
    <x v="633"/>
    <s v="BK50074"/>
    <d v="2025-03-26T00:00:00"/>
    <d v="2025-03-29T00:00:00"/>
    <d v="2025-04-11T00:00:00"/>
    <s v="Siemens"/>
    <s v="Engineering"/>
    <s v="Germany"/>
    <s v="Colombo"/>
    <s v="Singapore"/>
    <x v="4"/>
    <s v="Mumbai Maersk"/>
    <s v="20FT"/>
    <n v="4"/>
    <s v="Textiles"/>
    <n v="62047.42"/>
    <n v="15724"/>
    <n v="4830.3100000000004"/>
    <n v="1068.48"/>
    <n v="620.47"/>
    <n v="233.15"/>
    <n v="855.39"/>
    <n v="38715.620000000003"/>
    <n v="0"/>
    <s v="None"/>
    <n v="131.03"/>
    <s v="Completed"/>
    <s v="Paid"/>
    <s v="Standard"/>
    <s v="R. Mehta"/>
    <s v="Asia"/>
    <d v="2025-03-01T00:00:00"/>
    <x v="13"/>
  </r>
  <r>
    <x v="634"/>
    <s v="BK50965"/>
    <d v="2025-04-11T00:00:00"/>
    <d v="2025-04-13T00:00:00"/>
    <d v="2025-05-03T00:00:00"/>
    <s v="Samsung"/>
    <s v="Electronics"/>
    <s v="South Korea"/>
    <s v="Busan"/>
    <s v="Los Angeles"/>
    <x v="3"/>
    <s v="Madrid Maersk"/>
    <s v="High Cube"/>
    <n v="2"/>
    <s v="Chemicals"/>
    <n v="62097.02"/>
    <n v="12699.25"/>
    <n v="4512.22"/>
    <n v="674.6"/>
    <n v="620.97"/>
    <n v="770.9"/>
    <n v="723.17"/>
    <n v="42095.91"/>
    <n v="48"/>
    <s v="Mechanical"/>
    <n v="105.83"/>
    <s v="Delayed"/>
    <s v="Pending"/>
    <s v="Critical"/>
    <s v="A. Tan"/>
    <s v="Asia"/>
    <d v="2025-04-01T00:00:00"/>
    <x v="16"/>
  </r>
  <r>
    <x v="635"/>
    <s v="BK50436"/>
    <d v="2025-01-19T00:00:00"/>
    <d v="2025-01-23T00:00:00"/>
    <d v="2025-02-20T00:00:00"/>
    <s v="LG"/>
    <s v="Electronics"/>
    <s v="South Korea"/>
    <s v="Hamburg"/>
    <s v="Los Angeles"/>
    <x v="2"/>
    <s v="MSC Gülsün"/>
    <s v="Reefer"/>
    <n v="2"/>
    <s v="Machinery"/>
    <n v="62208.67"/>
    <n v="10409.51"/>
    <n v="4469.1899999999996"/>
    <n v="938.45"/>
    <n v="622.09"/>
    <n v="764.5"/>
    <n v="400.99"/>
    <n v="44603.94"/>
    <n v="36"/>
    <s v="Weather"/>
    <n v="86.75"/>
    <s v="Delayed"/>
    <s v="Paid"/>
    <s v="Standard"/>
    <s v="J. Smith"/>
    <s v="North America"/>
    <d v="2025-01-01T00:00:00"/>
    <x v="17"/>
  </r>
  <r>
    <x v="636"/>
    <s v="BK50077"/>
    <d v="2025-06-24T00:00:00"/>
    <d v="2025-06-28T00:00:00"/>
    <d v="2025-07-24T00:00:00"/>
    <s v="LG"/>
    <s v="Electronics"/>
    <s v="South Korea"/>
    <s v="Shanghai"/>
    <s v="Rotterdam"/>
    <x v="1"/>
    <s v="OOCL Hong Kong"/>
    <s v="High Cube"/>
    <n v="4"/>
    <s v="Furniture"/>
    <n v="62271.68"/>
    <n v="17425.71"/>
    <n v="3544.97"/>
    <n v="1821.53"/>
    <n v="622.72"/>
    <n v="877.31"/>
    <n v="2311.04"/>
    <n v="35668.400000000001"/>
    <n v="0"/>
    <s v="None"/>
    <n v="145.21"/>
    <s v="Completed"/>
    <s v="Paid"/>
    <s v="Standard"/>
    <s v="L. Chen"/>
    <s v="Europe"/>
    <d v="2025-06-01T00:00:00"/>
    <x v="3"/>
  </r>
  <r>
    <x v="637"/>
    <s v="BK50910"/>
    <d v="2025-05-28T00:00:00"/>
    <d v="2025-06-01T00:00:00"/>
    <d v="2025-06-15T00:00:00"/>
    <s v="Nestlé"/>
    <s v="Food"/>
    <s v="Switzerland"/>
    <s v="Nhava Sheva"/>
    <s v="Rotterdam"/>
    <x v="2"/>
    <s v="Mary Maersk"/>
    <s v="20FT"/>
    <n v="2"/>
    <s v="Auto Parts"/>
    <n v="62589.4"/>
    <n v="16624.169999999998"/>
    <n v="3673.84"/>
    <n v="1356.32"/>
    <n v="625.89"/>
    <n v="522.38"/>
    <n v="825.52"/>
    <n v="38961.279999999999"/>
    <n v="36"/>
    <s v="Customs"/>
    <n v="138.53"/>
    <s v="Delayed"/>
    <s v="Paid"/>
    <s v="Standard"/>
    <s v="L. Chen"/>
    <s v="Middle East"/>
    <d v="2025-05-01T00:00:00"/>
    <x v="1"/>
  </r>
  <r>
    <x v="638"/>
    <s v="BK50288"/>
    <d v="2025-03-20T00:00:00"/>
    <d v="2025-03-23T00:00:00"/>
    <d v="2025-04-16T00:00:00"/>
    <s v="Siemens"/>
    <s v="Engineering"/>
    <s v="Germany"/>
    <s v="Busan"/>
    <s v="Los Angeles"/>
    <x v="3"/>
    <s v="Madrid Maersk"/>
    <s v="High Cube"/>
    <n v="2"/>
    <s v="Textiles"/>
    <n v="62744.31"/>
    <n v="14868.24"/>
    <n v="4237.8599999999997"/>
    <n v="1068.04"/>
    <n v="627.44000000000005"/>
    <n v="398.72"/>
    <n v="384.56"/>
    <n v="41159.449999999997"/>
    <n v="0"/>
    <s v="None"/>
    <n v="123.9"/>
    <s v="Completed"/>
    <s v="Pending"/>
    <s v="Critical"/>
    <s v="M. Ahmed"/>
    <s v="Asia"/>
    <d v="2025-03-01T00:00:00"/>
    <x v="8"/>
  </r>
  <r>
    <x v="639"/>
    <s v="BK50330"/>
    <d v="2025-12-09T00:00:00"/>
    <d v="2025-12-11T00:00:00"/>
    <d v="2026-01-07T00:00:00"/>
    <s v="Nestlé"/>
    <s v="Food"/>
    <s v="Switzerland"/>
    <s v="Nhava Sheva"/>
    <s v="Colombo"/>
    <x v="2"/>
    <s v="Madrid Maersk"/>
    <s v="20FT"/>
    <n v="2"/>
    <s v="Furniture"/>
    <n v="62872.11"/>
    <n v="13077.98"/>
    <n v="2997.44"/>
    <n v="740.58"/>
    <n v="628.72"/>
    <n v="542.36"/>
    <n v="1453.78"/>
    <n v="43431.25"/>
    <n v="0"/>
    <s v="None"/>
    <n v="108.98"/>
    <s v="Completed"/>
    <s v="Paid"/>
    <s v="High"/>
    <s v="J. Smith"/>
    <s v="Asia"/>
    <d v="2025-12-01T00:00:00"/>
    <x v="2"/>
  </r>
  <r>
    <x v="640"/>
    <s v="BK50516"/>
    <d v="2025-08-07T00:00:00"/>
    <d v="2025-08-09T00:00:00"/>
    <d v="2025-08-31T00:00:00"/>
    <s v="Unilever"/>
    <s v="FMCG"/>
    <s v="UK"/>
    <s v="Nhava Sheva"/>
    <s v="Los Angeles"/>
    <x v="2"/>
    <s v="Madrid Maersk"/>
    <s v="40FT"/>
    <n v="2"/>
    <s v="Machinery"/>
    <n v="63112.56"/>
    <n v="18808.169999999998"/>
    <n v="3745.5"/>
    <n v="643.12"/>
    <n v="631.13"/>
    <n v="751.14"/>
    <n v="2456.59"/>
    <n v="36076.910000000003"/>
    <n v="36"/>
    <s v="Mechanical"/>
    <n v="156.72999999999999"/>
    <s v="Delayed"/>
    <s v="Pending"/>
    <s v="High"/>
    <s v="M. Ahmed"/>
    <s v="North America"/>
    <d v="2025-08-01T00:00:00"/>
    <x v="4"/>
  </r>
  <r>
    <x v="641"/>
    <s v="BK50980"/>
    <d v="2025-09-28T00:00:00"/>
    <d v="2025-10-01T00:00:00"/>
    <d v="2025-10-14T00:00:00"/>
    <s v="Amazon"/>
    <s v="E-commerce"/>
    <s v="USA"/>
    <s v="Rotterdam"/>
    <s v="Shanghai"/>
    <x v="2"/>
    <s v="MSC Gülsün"/>
    <s v="20FT"/>
    <n v="2"/>
    <s v="Furniture"/>
    <n v="63324.01"/>
    <n v="15119.38"/>
    <n v="4862.1499999999996"/>
    <n v="1525.89"/>
    <n v="633.24"/>
    <n v="647.26"/>
    <n v="1954.9"/>
    <n v="38581.19"/>
    <n v="12"/>
    <s v="Weather"/>
    <n v="125.99"/>
    <s v="Delayed"/>
    <s v="Pending"/>
    <s v="High"/>
    <s v="M. Ahmed"/>
    <s v="Middle East"/>
    <d v="2025-09-01T00:00:00"/>
    <x v="13"/>
  </r>
  <r>
    <x v="642"/>
    <s v="BK50070"/>
    <d v="2025-06-28T00:00:00"/>
    <d v="2025-07-01T00:00:00"/>
    <d v="2025-07-26T00:00:00"/>
    <s v="Toyota"/>
    <s v="Automotive"/>
    <s v="Japan"/>
    <s v="Singapore"/>
    <s v="Rotterdam"/>
    <x v="1"/>
    <s v="Mumbai Maersk"/>
    <s v="High Cube"/>
    <n v="2"/>
    <s v="Auto Parts"/>
    <n v="63390.11"/>
    <n v="14883.13"/>
    <n v="5021.68"/>
    <n v="647.54"/>
    <n v="633.9"/>
    <n v="769.11"/>
    <n v="507.55"/>
    <n v="40927.199999999997"/>
    <n v="48"/>
    <s v="Weather"/>
    <n v="124.03"/>
    <s v="Delayed"/>
    <s v="Paid"/>
    <s v="High"/>
    <s v="J. Smith"/>
    <s v="Middle East"/>
    <d v="2025-06-01T00:00:00"/>
    <x v="10"/>
  </r>
  <r>
    <x v="643"/>
    <s v="BK50834"/>
    <d v="2025-04-15T00:00:00"/>
    <d v="2025-04-17T00:00:00"/>
    <d v="2025-05-12T00:00:00"/>
    <s v="Nestlé"/>
    <s v="Food"/>
    <s v="Switzerland"/>
    <s v="Nhava Sheva"/>
    <s v="Nhava Sheva"/>
    <x v="2"/>
    <s v="Monaco Maersk"/>
    <s v="20FT"/>
    <n v="2"/>
    <s v="Food"/>
    <n v="63738.31"/>
    <n v="10540.81"/>
    <n v="3728.6"/>
    <n v="826.85"/>
    <n v="637.38"/>
    <n v="259.57"/>
    <n v="771.81"/>
    <n v="46973.29"/>
    <n v="4"/>
    <s v="Labor Strike"/>
    <n v="87.84"/>
    <s v="Delayed"/>
    <s v="Pending"/>
    <s v="Standard"/>
    <s v="J. Smith"/>
    <s v="Asia"/>
    <d v="2025-04-01T00:00:00"/>
    <x v="10"/>
  </r>
  <r>
    <x v="644"/>
    <s v="BK50471"/>
    <d v="2025-09-28T00:00:00"/>
    <d v="2025-10-02T00:00:00"/>
    <d v="2025-10-25T00:00:00"/>
    <s v="Amazon"/>
    <s v="E-commerce"/>
    <s v="USA"/>
    <s v="Singapore"/>
    <s v="Rotterdam"/>
    <x v="1"/>
    <s v="Ever Ace"/>
    <s v="20FT"/>
    <n v="2"/>
    <s v="Food"/>
    <n v="63869.93"/>
    <n v="11464.23"/>
    <n v="4441.04"/>
    <n v="1597.83"/>
    <n v="638.70000000000005"/>
    <n v="850.17"/>
    <n v="2032.6"/>
    <n v="42845.36"/>
    <n v="0"/>
    <s v="None"/>
    <n v="95.54"/>
    <s v="Completed"/>
    <s v="Paid"/>
    <s v="Critical"/>
    <s v="A. Tan"/>
    <s v="North America"/>
    <d v="2025-09-01T00:00:00"/>
    <x v="7"/>
  </r>
  <r>
    <x v="645"/>
    <s v="BK50897"/>
    <d v="2025-11-25T00:00:00"/>
    <d v="2025-11-27T00:00:00"/>
    <d v="2025-12-18T00:00:00"/>
    <s v="Amazon"/>
    <s v="E-commerce"/>
    <s v="USA"/>
    <s v="Busan"/>
    <s v="Los Angeles"/>
    <x v="3"/>
    <s v="Monaco Maersk"/>
    <s v="Reefer"/>
    <n v="4"/>
    <s v="Chemicals"/>
    <n v="63889.71"/>
    <n v="15760.41"/>
    <n v="4713.0600000000004"/>
    <n v="1428.08"/>
    <n v="638.9"/>
    <n v="513.89"/>
    <n v="2086.85"/>
    <n v="38748.519999999997"/>
    <n v="0"/>
    <s v="None"/>
    <n v="131.34"/>
    <s v="Completed"/>
    <s v="Paid"/>
    <s v="High"/>
    <s v="A. Tan"/>
    <s v="Middle East"/>
    <d v="2025-11-01T00:00:00"/>
    <x v="9"/>
  </r>
  <r>
    <x v="646"/>
    <s v="BK50655"/>
    <d v="2025-12-15T00:00:00"/>
    <d v="2025-12-19T00:00:00"/>
    <d v="2026-01-06T00:00:00"/>
    <s v="Amazon"/>
    <s v="E-commerce"/>
    <s v="USA"/>
    <s v="Colombo"/>
    <s v="Singapore"/>
    <x v="4"/>
    <s v="Mumbai Maersk"/>
    <s v="High Cube"/>
    <n v="2"/>
    <s v="Food"/>
    <n v="64005.64"/>
    <n v="18713.2"/>
    <n v="3875.78"/>
    <n v="1045.26"/>
    <n v="640.05999999999995"/>
    <n v="873.17"/>
    <n v="989.22"/>
    <n v="37868.949999999997"/>
    <n v="0"/>
    <s v="None"/>
    <n v="155.94"/>
    <s v="Completed"/>
    <s v="Pending"/>
    <s v="High"/>
    <s v="J. Smith"/>
    <s v="Asia"/>
    <d v="2025-12-01T00:00:00"/>
    <x v="14"/>
  </r>
  <r>
    <x v="647"/>
    <s v="BK50544"/>
    <d v="2025-05-09T00:00:00"/>
    <d v="2025-05-11T00:00:00"/>
    <d v="2025-06-01T00:00:00"/>
    <s v="Amazon"/>
    <s v="E-commerce"/>
    <s v="USA"/>
    <s v="Shanghai"/>
    <s v="Rotterdam"/>
    <x v="1"/>
    <s v="OOCL Hong Kong"/>
    <s v="Reefer"/>
    <n v="2"/>
    <s v="Food"/>
    <n v="64360.94"/>
    <n v="15893.22"/>
    <n v="3552.86"/>
    <n v="646.03"/>
    <n v="643.61"/>
    <n v="139.08000000000001"/>
    <n v="1785.92"/>
    <n v="41700.22"/>
    <n v="48"/>
    <s v="Mechanical"/>
    <n v="132.44"/>
    <s v="Delayed"/>
    <s v="Pending"/>
    <s v="High"/>
    <s v="L. Chen"/>
    <s v="Europe"/>
    <d v="2025-05-01T00:00:00"/>
    <x v="9"/>
  </r>
  <r>
    <x v="648"/>
    <s v="BK50806"/>
    <d v="2025-07-11T00:00:00"/>
    <d v="2025-07-14T00:00:00"/>
    <d v="2025-08-01T00:00:00"/>
    <s v="Adidas"/>
    <s v="Retail"/>
    <s v="Germany"/>
    <s v="Jebel Ali"/>
    <s v="Nhava Sheva"/>
    <x v="0"/>
    <s v="Mumbai Maersk"/>
    <s v="40FT"/>
    <n v="4"/>
    <s v="Textiles"/>
    <n v="64475.45"/>
    <n v="13148.93"/>
    <n v="4331.18"/>
    <n v="1559.28"/>
    <n v="644.75"/>
    <n v="692.29"/>
    <n v="2120.46"/>
    <n v="41978.559999999998"/>
    <n v="24"/>
    <s v="Customs"/>
    <n v="109.57"/>
    <s v="Delayed"/>
    <s v="Paid"/>
    <s v="Standard"/>
    <s v="L. Chen"/>
    <s v="Middle East"/>
    <d v="2025-07-01T00:00:00"/>
    <x v="14"/>
  </r>
  <r>
    <x v="649"/>
    <s v="BK50851"/>
    <d v="2025-06-30T00:00:00"/>
    <d v="2025-07-02T00:00:00"/>
    <d v="2025-07-29T00:00:00"/>
    <s v="IKEA"/>
    <s v="Retail"/>
    <s v="Sweden"/>
    <s v="Colombo"/>
    <s v="Singapore"/>
    <x v="4"/>
    <s v="Madrid Maersk"/>
    <s v="20FT"/>
    <n v="2"/>
    <s v="Auto Parts"/>
    <n v="64900.01"/>
    <n v="10961.6"/>
    <n v="4262.8500000000004"/>
    <n v="1737.77"/>
    <n v="649"/>
    <n v="744.37"/>
    <n v="1615.71"/>
    <n v="44928.71"/>
    <n v="24"/>
    <s v="Weather"/>
    <n v="91.35"/>
    <s v="Delayed"/>
    <s v="Paid"/>
    <s v="Standard"/>
    <s v="R. Mehta"/>
    <s v="Middle East"/>
    <d v="2025-06-01T00:00:00"/>
    <x v="2"/>
  </r>
  <r>
    <x v="650"/>
    <s v="BK50378"/>
    <d v="2025-11-02T00:00:00"/>
    <d v="2025-11-05T00:00:00"/>
    <d v="2025-11-28T00:00:00"/>
    <s v="Adidas"/>
    <s v="Retail"/>
    <s v="Germany"/>
    <s v="Singapore"/>
    <s v="Rotterdam"/>
    <x v="1"/>
    <s v="MSC Gülsün"/>
    <s v="20FT"/>
    <n v="2"/>
    <s v="Furniture"/>
    <n v="64948.6"/>
    <n v="12498.86"/>
    <n v="3094.82"/>
    <n v="1637.94"/>
    <n v="649.49"/>
    <n v="250.19"/>
    <n v="2311.58"/>
    <n v="44505.72"/>
    <n v="0"/>
    <s v="None"/>
    <n v="104.16"/>
    <s v="Completed"/>
    <s v="Paid"/>
    <s v="High"/>
    <s v="A. Tan"/>
    <s v="Europe"/>
    <d v="2025-11-01T00:00:00"/>
    <x v="7"/>
  </r>
  <r>
    <x v="651"/>
    <s v="BK50101"/>
    <d v="2025-12-17T00:00:00"/>
    <d v="2025-12-18T00:00:00"/>
    <d v="2026-01-08T00:00:00"/>
    <s v="Bosch"/>
    <s v="Manufacturing"/>
    <s v="Germany"/>
    <s v="Singapore"/>
    <s v="Rotterdam"/>
    <x v="1"/>
    <s v="MSC Gülsün"/>
    <s v="20FT"/>
    <n v="2"/>
    <s v="Machinery"/>
    <n v="65088.54"/>
    <n v="16649.93"/>
    <n v="4056.39"/>
    <n v="1890.48"/>
    <n v="650.89"/>
    <n v="665.48"/>
    <n v="1765.68"/>
    <n v="39409.69"/>
    <n v="24"/>
    <s v="Mechanical"/>
    <n v="138.75"/>
    <s v="Delayed"/>
    <s v="Paid"/>
    <s v="High"/>
    <s v="L. Chen"/>
    <s v="Middle East"/>
    <d v="2025-12-01T00:00:00"/>
    <x v="9"/>
  </r>
  <r>
    <x v="652"/>
    <s v="BK50283"/>
    <d v="2025-12-15T00:00:00"/>
    <d v="2025-12-16T00:00:00"/>
    <d v="2026-01-08T00:00:00"/>
    <s v="Nestlé"/>
    <s v="Food"/>
    <s v="Switzerland"/>
    <s v="Jebel Ali"/>
    <s v="Busan"/>
    <x v="2"/>
    <s v="Mary Maersk"/>
    <s v="Reefer"/>
    <n v="2"/>
    <s v="Chemicals"/>
    <n v="65100.33"/>
    <n v="15683.51"/>
    <n v="4163.63"/>
    <n v="1178.06"/>
    <n v="651"/>
    <n v="564.5"/>
    <n v="2282.7800000000002"/>
    <n v="40576.85"/>
    <n v="0"/>
    <s v="None"/>
    <n v="130.69999999999999"/>
    <s v="Completed"/>
    <s v="Paid"/>
    <s v="Critical"/>
    <s v="R. Mehta"/>
    <s v="Middle East"/>
    <d v="2025-12-01T00:00:00"/>
    <x v="7"/>
  </r>
  <r>
    <x v="653"/>
    <s v="BK50461"/>
    <d v="2025-09-16T00:00:00"/>
    <d v="2025-09-17T00:00:00"/>
    <d v="2025-10-13T00:00:00"/>
    <s v="Amazon"/>
    <s v="E-commerce"/>
    <s v="USA"/>
    <s v="Singapore"/>
    <s v="Los Angeles"/>
    <x v="2"/>
    <s v="OOCL Hong Kong"/>
    <s v="40FT"/>
    <n v="2"/>
    <s v="Auto Parts"/>
    <n v="65280.84"/>
    <n v="13571.24"/>
    <n v="3058.68"/>
    <n v="1747.2"/>
    <n v="652.80999999999995"/>
    <n v="890.86"/>
    <n v="691.86"/>
    <n v="44668.19"/>
    <n v="4"/>
    <s v="Labor Strike"/>
    <n v="113.09"/>
    <s v="Delayed"/>
    <s v="Pending"/>
    <s v="Critical"/>
    <s v="R. Mehta"/>
    <s v="Middle East"/>
    <d v="2025-09-01T00:00:00"/>
    <x v="3"/>
  </r>
  <r>
    <x v="654"/>
    <s v="BK50656"/>
    <d v="2025-09-28T00:00:00"/>
    <d v="2025-09-29T00:00:00"/>
    <d v="2025-10-20T00:00:00"/>
    <s v="Amazon"/>
    <s v="E-commerce"/>
    <s v="USA"/>
    <s v="Busan"/>
    <s v="Los Angeles"/>
    <x v="3"/>
    <s v="OOCL Hong Kong"/>
    <s v="High Cube"/>
    <n v="4"/>
    <s v="Auto Parts"/>
    <n v="65393.84"/>
    <n v="14150.95"/>
    <n v="5174.99"/>
    <n v="1841.56"/>
    <n v="653.94000000000005"/>
    <n v="106.27"/>
    <n v="2015.62"/>
    <n v="41450.51"/>
    <n v="24"/>
    <s v="Mechanical"/>
    <n v="117.92"/>
    <s v="Delayed"/>
    <s v="Paid"/>
    <s v="Critical"/>
    <s v="R. Mehta"/>
    <s v="Middle East"/>
    <d v="2025-09-01T00:00:00"/>
    <x v="9"/>
  </r>
  <r>
    <x v="655"/>
    <s v="BK50246"/>
    <d v="2025-01-11T00:00:00"/>
    <d v="2025-01-14T00:00:00"/>
    <d v="2025-01-29T00:00:00"/>
    <s v="IKEA"/>
    <s v="Retail"/>
    <s v="Sweden"/>
    <s v="Singapore"/>
    <s v="Rotterdam"/>
    <x v="1"/>
    <s v="Ever Ace"/>
    <s v="20FT"/>
    <n v="4"/>
    <s v="Electronics"/>
    <n v="65496.68"/>
    <n v="16701.080000000002"/>
    <n v="4771.6099999999997"/>
    <n v="1736.81"/>
    <n v="654.97"/>
    <n v="599.92999999999995"/>
    <n v="2439.6"/>
    <n v="38592.68"/>
    <n v="0"/>
    <s v="None"/>
    <n v="139.18"/>
    <s v="Completed"/>
    <s v="Paid"/>
    <s v="Critical"/>
    <s v="M. Ahmed"/>
    <s v="Europe"/>
    <d v="2025-01-01T00:00:00"/>
    <x v="6"/>
  </r>
  <r>
    <x v="656"/>
    <s v="BK50738"/>
    <d v="2025-11-09T00:00:00"/>
    <d v="2025-11-12T00:00:00"/>
    <d v="2025-11-27T00:00:00"/>
    <s v="Unilever"/>
    <s v="FMCG"/>
    <s v="UK"/>
    <s v="Shanghai"/>
    <s v="Rotterdam"/>
    <x v="1"/>
    <s v="Mumbai Maersk"/>
    <s v="40FT"/>
    <n v="4"/>
    <s v="Auto Parts"/>
    <n v="65741.03"/>
    <n v="13897.64"/>
    <n v="3778.79"/>
    <n v="684.42"/>
    <n v="657.41"/>
    <n v="785.7"/>
    <n v="1460.02"/>
    <n v="44477.05"/>
    <n v="12"/>
    <s v="Weather"/>
    <n v="115.81"/>
    <s v="Delayed"/>
    <s v="Pending"/>
    <s v="Standard"/>
    <s v="A. Tan"/>
    <s v="Asia"/>
    <d v="2025-11-01T00:00:00"/>
    <x v="6"/>
  </r>
  <r>
    <x v="657"/>
    <s v="BK50882"/>
    <d v="2025-03-20T00:00:00"/>
    <d v="2025-03-23T00:00:00"/>
    <d v="2025-04-19T00:00:00"/>
    <s v="Pfizer"/>
    <s v="Pharma"/>
    <s v="USA"/>
    <s v="Busan"/>
    <s v="Hamburg"/>
    <x v="2"/>
    <s v="Mumbai Maersk"/>
    <s v="High Cube"/>
    <n v="4"/>
    <s v="Food"/>
    <n v="65928.14"/>
    <n v="16189.9"/>
    <n v="3275.43"/>
    <n v="868.12"/>
    <n v="659.28"/>
    <n v="600.12"/>
    <n v="448.94"/>
    <n v="43886.35"/>
    <n v="0"/>
    <s v="None"/>
    <n v="134.91999999999999"/>
    <s v="Completed"/>
    <s v="Pending"/>
    <s v="High"/>
    <s v="A. Tan"/>
    <s v="Asia"/>
    <d v="2025-03-01T00:00:00"/>
    <x v="2"/>
  </r>
  <r>
    <x v="658"/>
    <s v="BK50492"/>
    <d v="2025-11-02T00:00:00"/>
    <d v="2025-11-05T00:00:00"/>
    <d v="2025-12-02T00:00:00"/>
    <s v="IKEA"/>
    <s v="Retail"/>
    <s v="Sweden"/>
    <s v="Shanghai"/>
    <s v="Rotterdam"/>
    <x v="1"/>
    <s v="OOCL Hong Kong"/>
    <s v="Reefer"/>
    <n v="2"/>
    <s v="Textiles"/>
    <n v="66092.62"/>
    <n v="15039.32"/>
    <n v="5085.6899999999996"/>
    <n v="1817"/>
    <n v="660.93"/>
    <n v="623.49"/>
    <n v="1044.8900000000001"/>
    <n v="41821.300000000003"/>
    <n v="8"/>
    <s v="Labor Strike"/>
    <n v="125.33"/>
    <s v="Delayed"/>
    <s v="Paid"/>
    <s v="High"/>
    <s v="A. Tan"/>
    <s v="Middle East"/>
    <d v="2025-11-01T00:00:00"/>
    <x v="2"/>
  </r>
  <r>
    <x v="659"/>
    <s v="BK50387"/>
    <d v="2025-04-14T00:00:00"/>
    <d v="2025-04-16T00:00:00"/>
    <d v="2025-04-30T00:00:00"/>
    <s v="IKEA"/>
    <s v="Retail"/>
    <s v="Sweden"/>
    <s v="Busan"/>
    <s v="Los Angeles"/>
    <x v="3"/>
    <s v="CMA CGM Jacques Saadé"/>
    <s v="40FT"/>
    <n v="4"/>
    <s v="Auto Parts"/>
    <n v="66097.77"/>
    <n v="12262.99"/>
    <n v="4705.83"/>
    <n v="1193.6400000000001"/>
    <n v="660.98"/>
    <n v="408.13"/>
    <n v="2347.7199999999998"/>
    <n v="44518.48"/>
    <n v="12"/>
    <s v="Customs"/>
    <n v="102.19"/>
    <s v="Delayed"/>
    <s v="Pending"/>
    <s v="Critical"/>
    <s v="L. Chen"/>
    <s v="North America"/>
    <d v="2025-04-01T00:00:00"/>
    <x v="1"/>
  </r>
  <r>
    <x v="660"/>
    <s v="BK50232"/>
    <d v="2025-02-04T00:00:00"/>
    <d v="2025-02-05T00:00:00"/>
    <d v="2025-02-19T00:00:00"/>
    <s v="Nestlé"/>
    <s v="Food"/>
    <s v="Switzerland"/>
    <s v="Shanghai"/>
    <s v="New York"/>
    <x v="2"/>
    <s v="OOCL Hong Kong"/>
    <s v="Reefer"/>
    <n v="2"/>
    <s v="Textiles"/>
    <n v="66189.17"/>
    <n v="18659.27"/>
    <n v="4308.07"/>
    <n v="1625.84"/>
    <n v="661.89"/>
    <n v="693.91"/>
    <n v="2169.25"/>
    <n v="38070.94"/>
    <n v="0"/>
    <s v="None"/>
    <n v="155.49"/>
    <s v="Completed"/>
    <s v="Paid"/>
    <s v="High"/>
    <s v="M. Ahmed"/>
    <s v="Middle East"/>
    <d v="2025-02-01T00:00:00"/>
    <x v="1"/>
  </r>
  <r>
    <x v="661"/>
    <s v="BK50881"/>
    <d v="2025-09-21T00:00:00"/>
    <d v="2025-09-22T00:00:00"/>
    <d v="2025-10-14T00:00:00"/>
    <s v="LG"/>
    <s v="Electronics"/>
    <s v="South Korea"/>
    <s v="Busan"/>
    <s v="Los Angeles"/>
    <x v="3"/>
    <s v="MSC Gülsün"/>
    <s v="20FT"/>
    <n v="2"/>
    <s v="Textiles"/>
    <n v="66365.78"/>
    <n v="13488.81"/>
    <n v="4772.91"/>
    <n v="904.71"/>
    <n v="663.66"/>
    <n v="846.78"/>
    <n v="1951.33"/>
    <n v="43737.58"/>
    <n v="24"/>
    <s v="Port Congestion"/>
    <n v="112.41"/>
    <s v="Delayed"/>
    <s v="Paid"/>
    <s v="Standard"/>
    <s v="R. Mehta"/>
    <s v="Middle East"/>
    <d v="2025-09-01T00:00:00"/>
    <x v="4"/>
  </r>
  <r>
    <x v="662"/>
    <s v="BK50798"/>
    <d v="2025-07-06T00:00:00"/>
    <d v="2025-07-07T00:00:00"/>
    <d v="2025-07-23T00:00:00"/>
    <s v="Amazon"/>
    <s v="E-commerce"/>
    <s v="USA"/>
    <s v="Colombo"/>
    <s v="Busan"/>
    <x v="2"/>
    <s v="Madrid Maersk"/>
    <s v="40FT"/>
    <n v="2"/>
    <s v="Electronics"/>
    <n v="66367.710000000006"/>
    <n v="13415.71"/>
    <n v="3909.68"/>
    <n v="970.44"/>
    <n v="663.68"/>
    <n v="267.86"/>
    <n v="1640.14"/>
    <n v="45500.2"/>
    <n v="0"/>
    <s v="None"/>
    <n v="111.8"/>
    <s v="Completed"/>
    <s v="Paid"/>
    <s v="Standard"/>
    <s v="A. Tan"/>
    <s v="Europe"/>
    <d v="2025-07-01T00:00:00"/>
    <x v="0"/>
  </r>
  <r>
    <x v="663"/>
    <s v="BK50369"/>
    <d v="2025-05-27T00:00:00"/>
    <d v="2025-05-31T00:00:00"/>
    <d v="2025-06-13T00:00:00"/>
    <s v="Samsung"/>
    <s v="Electronics"/>
    <s v="South Korea"/>
    <s v="Busan"/>
    <s v="Los Angeles"/>
    <x v="3"/>
    <s v="Mary Maersk"/>
    <s v="40FT"/>
    <n v="4"/>
    <s v="Machinery"/>
    <n v="66458.84"/>
    <n v="14870.46"/>
    <n v="3889.15"/>
    <n v="817.2"/>
    <n v="664.59"/>
    <n v="719.84"/>
    <n v="1974.94"/>
    <n v="43522.66"/>
    <n v="8"/>
    <s v="Labor Strike"/>
    <n v="123.92"/>
    <s v="Delayed"/>
    <s v="Pending"/>
    <s v="Critical"/>
    <s v="L. Chen"/>
    <s v="North America"/>
    <d v="2025-05-01T00:00:00"/>
    <x v="13"/>
  </r>
  <r>
    <x v="664"/>
    <s v="BK50702"/>
    <d v="2025-12-06T00:00:00"/>
    <d v="2025-12-08T00:00:00"/>
    <d v="2025-12-20T00:00:00"/>
    <s v="Pfizer"/>
    <s v="Pharma"/>
    <s v="USA"/>
    <s v="Shanghai"/>
    <s v="Busan"/>
    <x v="2"/>
    <s v="Ever Ace"/>
    <s v="High Cube"/>
    <n v="4"/>
    <s v="Textiles"/>
    <n v="66556.7"/>
    <n v="18479.740000000002"/>
    <n v="2735.49"/>
    <n v="1614.45"/>
    <n v="665.57"/>
    <n v="891.07"/>
    <n v="1379.17"/>
    <n v="40791.21"/>
    <n v="0"/>
    <s v="None"/>
    <n v="154"/>
    <s v="Completed"/>
    <s v="Paid"/>
    <s v="Critical"/>
    <s v="R. Mehta"/>
    <s v="Asia"/>
    <d v="2025-12-01T00:00:00"/>
    <x v="12"/>
  </r>
  <r>
    <x v="665"/>
    <s v="BK50875"/>
    <d v="2025-05-30T00:00:00"/>
    <d v="2025-05-31T00:00:00"/>
    <d v="2025-06-18T00:00:00"/>
    <s v="IKEA"/>
    <s v="Retail"/>
    <s v="Sweden"/>
    <s v="Busan"/>
    <s v="Los Angeles"/>
    <x v="3"/>
    <s v="MSC Gülsün"/>
    <s v="Reefer"/>
    <n v="4"/>
    <s v="Electronics"/>
    <n v="66581.09"/>
    <n v="19058.55"/>
    <n v="5075.2"/>
    <n v="729.89"/>
    <n v="665.81"/>
    <n v="463.16"/>
    <n v="328.45"/>
    <n v="40260.03"/>
    <n v="0"/>
    <s v="None"/>
    <n v="158.82"/>
    <s v="Completed"/>
    <s v="Paid"/>
    <s v="Critical"/>
    <s v="R. Mehta"/>
    <s v="Asia"/>
    <d v="2025-05-01T00:00:00"/>
    <x v="14"/>
  </r>
  <r>
    <x v="666"/>
    <s v="BK50329"/>
    <d v="2025-02-05T00:00:00"/>
    <d v="2025-02-07T00:00:00"/>
    <d v="2025-02-21T00:00:00"/>
    <s v="Samsung"/>
    <s v="Electronics"/>
    <s v="South Korea"/>
    <s v="Hamburg"/>
    <s v="Jebel Ali"/>
    <x v="2"/>
    <s v="OOCL Hong Kong"/>
    <s v="High Cube"/>
    <n v="4"/>
    <s v="Electronics"/>
    <n v="66587.360000000001"/>
    <n v="12477.09"/>
    <n v="3929.2"/>
    <n v="748.84"/>
    <n v="665.87"/>
    <n v="101.74"/>
    <n v="1225.42"/>
    <n v="47439.199999999997"/>
    <n v="36"/>
    <s v="Weather"/>
    <n v="103.98"/>
    <s v="Delayed"/>
    <s v="Pending"/>
    <s v="Standard"/>
    <s v="M. Ahmed"/>
    <s v="Asia"/>
    <d v="2025-02-01T00:00:00"/>
    <x v="1"/>
  </r>
  <r>
    <x v="667"/>
    <s v="BK50476"/>
    <d v="2025-04-02T00:00:00"/>
    <d v="2025-04-05T00:00:00"/>
    <d v="2025-04-26T00:00:00"/>
    <s v="Siemens"/>
    <s v="Engineering"/>
    <s v="Germany"/>
    <s v="Singapore"/>
    <s v="Rotterdam"/>
    <x v="1"/>
    <s v="CMA CGM Jacques Saadé"/>
    <s v="40FT"/>
    <n v="4"/>
    <s v="Food"/>
    <n v="66607.55"/>
    <n v="14280.76"/>
    <n v="4013.42"/>
    <n v="1681.49"/>
    <n v="666.08"/>
    <n v="784.73"/>
    <n v="326.74"/>
    <n v="44854.33"/>
    <n v="0"/>
    <s v="None"/>
    <n v="119.01"/>
    <s v="Completed"/>
    <s v="Pending"/>
    <s v="High"/>
    <s v="M. Ahmed"/>
    <s v="Asia"/>
    <d v="2025-04-01T00:00:00"/>
    <x v="9"/>
  </r>
  <r>
    <x v="668"/>
    <s v="BK50611"/>
    <d v="2025-06-19T00:00:00"/>
    <d v="2025-06-20T00:00:00"/>
    <d v="2025-07-11T00:00:00"/>
    <s v="Bosch"/>
    <s v="Manufacturing"/>
    <s v="Germany"/>
    <s v="Busan"/>
    <s v="New York"/>
    <x v="2"/>
    <s v="CMA CGM Jacques Saadé"/>
    <s v="Reefer"/>
    <n v="2"/>
    <s v="Textiles"/>
    <n v="66693.070000000007"/>
    <n v="14983.25"/>
    <n v="4738.59"/>
    <n v="862.99"/>
    <n v="666.93"/>
    <n v="420.44"/>
    <n v="1562.8"/>
    <n v="43458.07"/>
    <n v="8"/>
    <s v="Port Congestion"/>
    <n v="124.86"/>
    <s v="Delayed"/>
    <s v="Pending"/>
    <s v="Standard"/>
    <s v="A. Tan"/>
    <s v="North America"/>
    <d v="2025-06-01T00:00:00"/>
    <x v="9"/>
  </r>
  <r>
    <x v="669"/>
    <s v="BK50746"/>
    <d v="2025-01-24T00:00:00"/>
    <d v="2025-01-28T00:00:00"/>
    <d v="2025-02-15T00:00:00"/>
    <s v="Unilever"/>
    <s v="FMCG"/>
    <s v="UK"/>
    <s v="Busan"/>
    <s v="Los Angeles"/>
    <x v="3"/>
    <s v="MSC Gülsün"/>
    <s v="40FT"/>
    <n v="2"/>
    <s v="Textiles"/>
    <n v="66939.02"/>
    <n v="15777.19"/>
    <n v="3326.02"/>
    <n v="1083.76"/>
    <n v="669.39"/>
    <n v="166.85"/>
    <n v="1507.67"/>
    <n v="44408.14"/>
    <n v="0"/>
    <s v="None"/>
    <n v="131.47999999999999"/>
    <s v="Completed"/>
    <s v="Paid"/>
    <s v="Critical"/>
    <s v="A. Tan"/>
    <s v="Middle East"/>
    <d v="2025-01-01T00:00:00"/>
    <x v="14"/>
  </r>
  <r>
    <x v="670"/>
    <s v="BK50384"/>
    <d v="2025-03-23T00:00:00"/>
    <d v="2025-03-26T00:00:00"/>
    <d v="2025-04-09T00:00:00"/>
    <s v="Samsung"/>
    <s v="Electronics"/>
    <s v="South Korea"/>
    <s v="Shanghai"/>
    <s v="Rotterdam"/>
    <x v="1"/>
    <s v="Madrid Maersk"/>
    <s v="40FT"/>
    <n v="2"/>
    <s v="Auto Parts"/>
    <n v="66948.759999999995"/>
    <n v="13166.66"/>
    <n v="4175.08"/>
    <n v="1524.78"/>
    <n v="669.49"/>
    <n v="450.74"/>
    <n v="583.13"/>
    <n v="46378.879999999997"/>
    <n v="0"/>
    <s v="None"/>
    <n v="109.72"/>
    <s v="Completed"/>
    <s v="Paid"/>
    <s v="Standard"/>
    <s v="J. Smith"/>
    <s v="Europe"/>
    <d v="2025-03-01T00:00:00"/>
    <x v="1"/>
  </r>
  <r>
    <x v="671"/>
    <s v="BK50562"/>
    <d v="2025-09-04T00:00:00"/>
    <d v="2025-09-05T00:00:00"/>
    <d v="2025-09-23T00:00:00"/>
    <s v="Nestlé"/>
    <s v="Food"/>
    <s v="Switzerland"/>
    <s v="Singapore"/>
    <s v="Los Angeles"/>
    <x v="2"/>
    <s v="Madrid Maersk"/>
    <s v="Reefer"/>
    <n v="2"/>
    <s v="Chemicals"/>
    <n v="67048.41"/>
    <n v="16525.900000000001"/>
    <n v="3877.31"/>
    <n v="1050.58"/>
    <n v="670.48"/>
    <n v="828.01"/>
    <n v="1952.37"/>
    <n v="42143.76"/>
    <n v="0"/>
    <s v="None"/>
    <n v="137.72"/>
    <s v="Completed"/>
    <s v="Paid"/>
    <s v="Standard"/>
    <s v="R. Mehta"/>
    <s v="Middle East"/>
    <d v="2025-09-01T00:00:00"/>
    <x v="14"/>
  </r>
  <r>
    <x v="672"/>
    <s v="BK50116"/>
    <d v="2025-05-20T00:00:00"/>
    <d v="2025-05-24T00:00:00"/>
    <d v="2025-06-11T00:00:00"/>
    <s v="IKEA"/>
    <s v="Retail"/>
    <s v="Sweden"/>
    <s v="Jebel Ali"/>
    <s v="Nhava Sheva"/>
    <x v="0"/>
    <s v="Mary Maersk"/>
    <s v="40FT"/>
    <n v="2"/>
    <s v="Electronics"/>
    <n v="67143.350000000006"/>
    <n v="16037.09"/>
    <n v="4735.67"/>
    <n v="921.94"/>
    <n v="671.43"/>
    <n v="138.58000000000001"/>
    <n v="2037.73"/>
    <n v="42600.91"/>
    <n v="0"/>
    <s v="None"/>
    <n v="133.63999999999999"/>
    <s v="Completed"/>
    <s v="Pending"/>
    <s v="High"/>
    <s v="M. Ahmed"/>
    <s v="Middle East"/>
    <d v="2025-05-01T00:00:00"/>
    <x v="14"/>
  </r>
  <r>
    <x v="673"/>
    <s v="BK50860"/>
    <d v="2025-10-03T00:00:00"/>
    <d v="2025-10-05T00:00:00"/>
    <d v="2025-10-25T00:00:00"/>
    <s v="Amazon"/>
    <s v="E-commerce"/>
    <s v="USA"/>
    <s v="Colombo"/>
    <s v="Singapore"/>
    <x v="4"/>
    <s v="Monaco Maersk"/>
    <s v="Reefer"/>
    <n v="2"/>
    <s v="Electronics"/>
    <n v="67189.05"/>
    <n v="16327.3"/>
    <n v="3905.56"/>
    <n v="848.65"/>
    <n v="671.89"/>
    <n v="626.51"/>
    <n v="1302.54"/>
    <n v="43506.6"/>
    <n v="4"/>
    <s v="Weather"/>
    <n v="136.06"/>
    <s v="Delayed"/>
    <s v="Pending"/>
    <s v="Standard"/>
    <s v="A. Tan"/>
    <s v="Asia"/>
    <d v="2025-10-01T00:00:00"/>
    <x v="16"/>
  </r>
  <r>
    <x v="674"/>
    <s v="BK50607"/>
    <d v="2025-07-11T00:00:00"/>
    <d v="2025-07-13T00:00:00"/>
    <d v="2025-08-05T00:00:00"/>
    <s v="Toyota"/>
    <s v="Automotive"/>
    <s v="Japan"/>
    <s v="Singapore"/>
    <s v="Rotterdam"/>
    <x v="1"/>
    <s v="Mumbai Maersk"/>
    <s v="40FT"/>
    <n v="2"/>
    <s v="Textiles"/>
    <n v="67240.17"/>
    <n v="19466.23"/>
    <n v="2797.93"/>
    <n v="1123.96"/>
    <n v="672.4"/>
    <n v="373.23"/>
    <n v="909.44"/>
    <n v="41896.980000000003"/>
    <n v="8"/>
    <s v="Weather"/>
    <n v="162.22"/>
    <s v="Delayed"/>
    <s v="Paid"/>
    <s v="Critical"/>
    <s v="R. Mehta"/>
    <s v="Europe"/>
    <d v="2025-07-01T00:00:00"/>
    <x v="7"/>
  </r>
  <r>
    <x v="675"/>
    <s v="BK50658"/>
    <d v="2025-04-05T00:00:00"/>
    <d v="2025-04-06T00:00:00"/>
    <d v="2025-04-16T00:00:00"/>
    <s v="Bosch"/>
    <s v="Manufacturing"/>
    <s v="Germany"/>
    <s v="Colombo"/>
    <s v="Singapore"/>
    <x v="4"/>
    <s v="Ever Ace"/>
    <s v="Reefer"/>
    <n v="2"/>
    <s v="Electronics"/>
    <n v="67592.55"/>
    <n v="11316.43"/>
    <n v="3667.16"/>
    <n v="1959"/>
    <n v="675.93"/>
    <n v="548.80999999999995"/>
    <n v="807.33"/>
    <n v="48617.89"/>
    <n v="8"/>
    <s v="Labor Strike"/>
    <n v="94.3"/>
    <s v="Delayed"/>
    <s v="Pending"/>
    <s v="Standard"/>
    <s v="R. Mehta"/>
    <s v="Asia"/>
    <d v="2025-04-01T00:00:00"/>
    <x v="15"/>
  </r>
  <r>
    <x v="676"/>
    <s v="BK50874"/>
    <d v="2025-10-02T00:00:00"/>
    <d v="2025-10-03T00:00:00"/>
    <d v="2025-10-13T00:00:00"/>
    <s v="Unilever"/>
    <s v="FMCG"/>
    <s v="UK"/>
    <s v="Singapore"/>
    <s v="Rotterdam"/>
    <x v="1"/>
    <s v="Mumbai Maersk"/>
    <s v="High Cube"/>
    <n v="2"/>
    <s v="Electronics"/>
    <n v="67808.710000000006"/>
    <n v="11637.45"/>
    <n v="5234.76"/>
    <n v="1341.75"/>
    <n v="678.09"/>
    <n v="897.53"/>
    <n v="1737.85"/>
    <n v="46281.279999999999"/>
    <n v="0"/>
    <s v="None"/>
    <n v="96.98"/>
    <s v="Completed"/>
    <s v="Paid"/>
    <s v="High"/>
    <s v="L. Chen"/>
    <s v="Asia"/>
    <d v="2025-10-01T00:00:00"/>
    <x v="15"/>
  </r>
  <r>
    <x v="677"/>
    <s v="BK50935"/>
    <d v="2025-09-18T00:00:00"/>
    <d v="2025-09-22T00:00:00"/>
    <d v="2025-10-21T00:00:00"/>
    <s v="Bosch"/>
    <s v="Manufacturing"/>
    <s v="Germany"/>
    <s v="Shanghai"/>
    <s v="Rotterdam"/>
    <x v="1"/>
    <s v="CMA CGM Jacques Saadé"/>
    <s v="High Cube"/>
    <n v="2"/>
    <s v="Food"/>
    <n v="68012.39"/>
    <n v="13436.76"/>
    <n v="2738.14"/>
    <n v="1852.1"/>
    <n v="680.12"/>
    <n v="899.02"/>
    <n v="941.35"/>
    <n v="47464.9"/>
    <n v="48"/>
    <s v="Mechanical"/>
    <n v="111.97"/>
    <s v="Delayed"/>
    <s v="Pending"/>
    <s v="Standard"/>
    <s v="L. Chen"/>
    <s v="North America"/>
    <d v="2025-09-01T00:00:00"/>
    <x v="20"/>
  </r>
  <r>
    <x v="678"/>
    <s v="BK50038"/>
    <d v="2025-10-25T00:00:00"/>
    <d v="2025-10-29T00:00:00"/>
    <d v="2025-11-11T00:00:00"/>
    <s v="Amazon"/>
    <s v="E-commerce"/>
    <s v="USA"/>
    <s v="Jebel Ali"/>
    <s v="Nhava Sheva"/>
    <x v="0"/>
    <s v="Mumbai Maersk"/>
    <s v="High Cube"/>
    <n v="4"/>
    <s v="Food"/>
    <n v="68022.02"/>
    <n v="17947.02"/>
    <n v="2997.75"/>
    <n v="1475.74"/>
    <n v="680.22"/>
    <n v="341.82"/>
    <n v="2180.65"/>
    <n v="42398.82"/>
    <n v="0"/>
    <s v="None"/>
    <n v="149.56"/>
    <s v="Completed"/>
    <s v="Paid"/>
    <s v="High"/>
    <s v="J. Smith"/>
    <s v="Middle East"/>
    <d v="2025-10-01T00:00:00"/>
    <x v="13"/>
  </r>
  <r>
    <x v="679"/>
    <s v="BK50996"/>
    <d v="2025-09-03T00:00:00"/>
    <d v="2025-09-06T00:00:00"/>
    <d v="2025-09-27T00:00:00"/>
    <s v="Samsung"/>
    <s v="Electronics"/>
    <s v="South Korea"/>
    <s v="Shanghai"/>
    <s v="Rotterdam"/>
    <x v="1"/>
    <s v="CMA CGM Jacques Saadé"/>
    <s v="20FT"/>
    <n v="2"/>
    <s v="Machinery"/>
    <n v="68085.460000000006"/>
    <n v="18555.830000000002"/>
    <n v="4709.24"/>
    <n v="1889.82"/>
    <n v="680.85"/>
    <n v="550.07000000000005"/>
    <n v="1650.75"/>
    <n v="40048.9"/>
    <n v="36"/>
    <s v="Port Congestion"/>
    <n v="154.63"/>
    <s v="Delayed"/>
    <s v="Pending"/>
    <s v="High"/>
    <s v="A. Tan"/>
    <s v="Middle East"/>
    <d v="2025-09-01T00:00:00"/>
    <x v="9"/>
  </r>
  <r>
    <x v="680"/>
    <s v="BK50598"/>
    <d v="2025-07-30T00:00:00"/>
    <d v="2025-08-03T00:00:00"/>
    <d v="2025-08-22T00:00:00"/>
    <s v="Unilever"/>
    <s v="FMCG"/>
    <s v="UK"/>
    <s v="Colombo"/>
    <s v="Singapore"/>
    <x v="4"/>
    <s v="Madrid Maersk"/>
    <s v="High Cube"/>
    <n v="4"/>
    <s v="Chemicals"/>
    <n v="68099.81"/>
    <n v="13643.72"/>
    <n v="4608.67"/>
    <n v="1724.97"/>
    <n v="681"/>
    <n v="777.63"/>
    <n v="1600.7"/>
    <n v="45063.12"/>
    <n v="48"/>
    <s v="Labor Strike"/>
    <n v="113.7"/>
    <s v="Delayed"/>
    <s v="Paid"/>
    <s v="Critical"/>
    <s v="M. Ahmed"/>
    <s v="North America"/>
    <d v="2025-07-01T00:00:00"/>
    <x v="11"/>
  </r>
  <r>
    <x v="681"/>
    <s v="BK50583"/>
    <d v="2025-04-12T00:00:00"/>
    <d v="2025-04-14T00:00:00"/>
    <d v="2025-05-04T00:00:00"/>
    <s v="Toyota"/>
    <s v="Automotive"/>
    <s v="Japan"/>
    <s v="Jebel Ali"/>
    <s v="Rotterdam"/>
    <x v="2"/>
    <s v="Monaco Maersk"/>
    <s v="20FT"/>
    <n v="2"/>
    <s v="Textiles"/>
    <n v="68111.759999999995"/>
    <n v="15887.62"/>
    <n v="4228.3100000000004"/>
    <n v="1675.96"/>
    <n v="681.12"/>
    <n v="805.68"/>
    <n v="2013.66"/>
    <n v="42819.41"/>
    <n v="0"/>
    <s v="None"/>
    <n v="132.4"/>
    <s v="Completed"/>
    <s v="Paid"/>
    <s v="Standard"/>
    <s v="L. Chen"/>
    <s v="Middle East"/>
    <d v="2025-04-01T00:00:00"/>
    <x v="16"/>
  </r>
  <r>
    <x v="682"/>
    <s v="BK50269"/>
    <d v="2025-04-27T00:00:00"/>
    <d v="2025-04-29T00:00:00"/>
    <d v="2025-05-11T00:00:00"/>
    <s v="Reliance"/>
    <s v="Retail"/>
    <s v="India"/>
    <s v="Jebel Ali"/>
    <s v="Nhava Sheva"/>
    <x v="0"/>
    <s v="Ever Ace"/>
    <s v="High Cube"/>
    <n v="4"/>
    <s v="Electronics"/>
    <n v="68512.149999999994"/>
    <n v="19306.919999999998"/>
    <n v="4131.01"/>
    <n v="1776.47"/>
    <n v="685.12"/>
    <n v="718.89"/>
    <n v="1510.8"/>
    <n v="40382.94"/>
    <n v="24"/>
    <s v="Port Congestion"/>
    <n v="160.88999999999999"/>
    <s v="Delayed"/>
    <s v="Paid"/>
    <s v="Standard"/>
    <s v="M. Ahmed"/>
    <s v="Middle East"/>
    <d v="2025-04-01T00:00:00"/>
    <x v="12"/>
  </r>
  <r>
    <x v="683"/>
    <s v="BK50381"/>
    <d v="2025-02-22T00:00:00"/>
    <d v="2025-02-23T00:00:00"/>
    <d v="2025-03-13T00:00:00"/>
    <s v="Samsung"/>
    <s v="Electronics"/>
    <s v="South Korea"/>
    <s v="Colombo"/>
    <s v="Singapore"/>
    <x v="4"/>
    <s v="CMA CGM Jacques Saadé"/>
    <s v="40FT"/>
    <n v="2"/>
    <s v="Food"/>
    <n v="68537.41"/>
    <n v="13408.95"/>
    <n v="5375.07"/>
    <n v="838.57"/>
    <n v="685.37"/>
    <n v="604.30999999999995"/>
    <n v="1793.43"/>
    <n v="45831.71"/>
    <n v="0"/>
    <s v="None"/>
    <n v="111.74"/>
    <s v="Completed"/>
    <s v="Pending"/>
    <s v="Standard"/>
    <s v="J. Smith"/>
    <s v="Europe"/>
    <d v="2025-02-01T00:00:00"/>
    <x v="14"/>
  </r>
  <r>
    <x v="684"/>
    <s v="BK50865"/>
    <d v="2025-05-28T00:00:00"/>
    <d v="2025-05-31T00:00:00"/>
    <d v="2025-06-21T00:00:00"/>
    <s v="Samsung"/>
    <s v="Electronics"/>
    <s v="South Korea"/>
    <s v="Singapore"/>
    <s v="Rotterdam"/>
    <x v="1"/>
    <s v="Mumbai Maersk"/>
    <s v="Reefer"/>
    <n v="2"/>
    <s v="Food"/>
    <n v="68644.75"/>
    <n v="19610.150000000001"/>
    <n v="4912.92"/>
    <n v="2036.61"/>
    <n v="686.45"/>
    <n v="791.47"/>
    <n v="1591.05"/>
    <n v="39016.1"/>
    <n v="12"/>
    <s v="Customs"/>
    <n v="163.41999999999999"/>
    <s v="Delayed"/>
    <s v="Paid"/>
    <s v="High"/>
    <s v="M. Ahmed"/>
    <s v="Middle East"/>
    <d v="2025-05-01T00:00:00"/>
    <x v="9"/>
  </r>
  <r>
    <x v="685"/>
    <s v="BK50963"/>
    <d v="2025-04-26T00:00:00"/>
    <d v="2025-04-30T00:00:00"/>
    <d v="2025-05-20T00:00:00"/>
    <s v="Bosch"/>
    <s v="Manufacturing"/>
    <s v="Germany"/>
    <s v="Jebel Ali"/>
    <s v="Nhava Sheva"/>
    <x v="0"/>
    <s v="CMA CGM Jacques Saadé"/>
    <s v="20FT"/>
    <n v="2"/>
    <s v="Electronics"/>
    <n v="68923.64"/>
    <n v="14968.21"/>
    <n v="3078.45"/>
    <n v="1038.0899999999999"/>
    <n v="689.24"/>
    <n v="222.2"/>
    <n v="1616.45"/>
    <n v="47311"/>
    <n v="0"/>
    <s v="None"/>
    <n v="124.74"/>
    <s v="Completed"/>
    <s v="Pending"/>
    <s v="Critical"/>
    <s v="A. Tan"/>
    <s v="North America"/>
    <d v="2025-04-01T00:00:00"/>
    <x v="16"/>
  </r>
  <r>
    <x v="686"/>
    <s v="BK50585"/>
    <d v="2025-08-03T00:00:00"/>
    <d v="2025-08-04T00:00:00"/>
    <d v="2025-08-16T00:00:00"/>
    <s v="Adidas"/>
    <s v="Retail"/>
    <s v="Germany"/>
    <s v="Jebel Ali"/>
    <s v="Nhava Sheva"/>
    <x v="0"/>
    <s v="CMA CGM Jacques Saadé"/>
    <s v="40FT"/>
    <n v="2"/>
    <s v="Textiles"/>
    <n v="68936.100000000006"/>
    <n v="12508.27"/>
    <n v="3835.33"/>
    <n v="1593.28"/>
    <n v="689.36"/>
    <n v="582"/>
    <n v="419.78"/>
    <n v="49308.08"/>
    <n v="0"/>
    <s v="None"/>
    <n v="104.24"/>
    <s v="Completed"/>
    <s v="Paid"/>
    <s v="Standard"/>
    <s v="A. Tan"/>
    <s v="Middle East"/>
    <d v="2025-08-01T00:00:00"/>
    <x v="12"/>
  </r>
  <r>
    <x v="687"/>
    <s v="BK50032"/>
    <d v="2025-07-23T00:00:00"/>
    <d v="2025-07-25T00:00:00"/>
    <d v="2025-08-08T00:00:00"/>
    <s v="Adidas"/>
    <s v="Retail"/>
    <s v="Germany"/>
    <s v="New York"/>
    <s v="Nhava Sheva"/>
    <x v="2"/>
    <s v="Ever Ace"/>
    <s v="Reefer"/>
    <n v="2"/>
    <s v="Furniture"/>
    <n v="68976.38"/>
    <n v="16790.54"/>
    <n v="2761.1"/>
    <n v="951.93"/>
    <n v="689.76"/>
    <n v="103.26"/>
    <n v="1295.72"/>
    <n v="46384.07"/>
    <n v="0"/>
    <s v="None"/>
    <n v="139.91999999999999"/>
    <s v="Completed"/>
    <s v="Paid"/>
    <s v="High"/>
    <s v="M. Ahmed"/>
    <s v="North America"/>
    <d v="2025-07-01T00:00:00"/>
    <x v="1"/>
  </r>
  <r>
    <x v="688"/>
    <s v="BK50955"/>
    <d v="2025-08-08T00:00:00"/>
    <d v="2025-08-11T00:00:00"/>
    <d v="2025-08-26T00:00:00"/>
    <s v="Unilever"/>
    <s v="FMCG"/>
    <s v="UK"/>
    <s v="Busan"/>
    <s v="Nhava Sheva"/>
    <x v="2"/>
    <s v="Ever Ace"/>
    <s v="High Cube"/>
    <n v="2"/>
    <s v="Chemicals"/>
    <n v="69095.929999999993"/>
    <n v="14407.8"/>
    <n v="2802.92"/>
    <n v="1160.1500000000001"/>
    <n v="690.96"/>
    <n v="841.12"/>
    <n v="575.91"/>
    <n v="48617.07"/>
    <n v="4"/>
    <s v="Port Congestion"/>
    <n v="120.06"/>
    <s v="Delayed"/>
    <s v="Paid"/>
    <s v="Critical"/>
    <s v="R. Mehta"/>
    <s v="North America"/>
    <d v="2025-08-01T00:00:00"/>
    <x v="6"/>
  </r>
  <r>
    <x v="689"/>
    <s v="BK50902"/>
    <d v="2025-02-15T00:00:00"/>
    <d v="2025-02-19T00:00:00"/>
    <d v="2025-03-12T00:00:00"/>
    <s v="Amazon"/>
    <s v="E-commerce"/>
    <s v="USA"/>
    <s v="Jebel Ali"/>
    <s v="Nhava Sheva"/>
    <x v="0"/>
    <s v="Mary Maersk"/>
    <s v="Reefer"/>
    <n v="4"/>
    <s v="Furniture"/>
    <n v="69260.09"/>
    <n v="14647.99"/>
    <n v="4038.48"/>
    <n v="1837.7"/>
    <n v="692.6"/>
    <n v="746.68"/>
    <n v="1788.56"/>
    <n v="45508.08"/>
    <n v="36"/>
    <s v="Labor Strike"/>
    <n v="122.07"/>
    <s v="Delayed"/>
    <s v="Pending"/>
    <s v="Standard"/>
    <s v="L. Chen"/>
    <s v="North America"/>
    <d v="2025-02-01T00:00:00"/>
    <x v="9"/>
  </r>
  <r>
    <x v="690"/>
    <s v="BK50346"/>
    <d v="2025-06-20T00:00:00"/>
    <d v="2025-06-24T00:00:00"/>
    <d v="2025-07-07T00:00:00"/>
    <s v="Bosch"/>
    <s v="Manufacturing"/>
    <s v="Germany"/>
    <s v="Singapore"/>
    <s v="Rotterdam"/>
    <x v="1"/>
    <s v="OOCL Hong Kong"/>
    <s v="Reefer"/>
    <n v="4"/>
    <s v="Auto Parts"/>
    <n v="69320.570000000007"/>
    <n v="12232.46"/>
    <n v="3356.01"/>
    <n v="1568.73"/>
    <n v="693.21"/>
    <n v="611.95000000000005"/>
    <n v="412.35"/>
    <n v="50445.86"/>
    <n v="0"/>
    <s v="None"/>
    <n v="101.94"/>
    <s v="Completed"/>
    <s v="Paid"/>
    <s v="Critical"/>
    <s v="R. Mehta"/>
    <s v="Middle East"/>
    <d v="2025-06-01T00:00:00"/>
    <x v="13"/>
  </r>
  <r>
    <x v="691"/>
    <s v="BK50883"/>
    <d v="2025-03-23T00:00:00"/>
    <d v="2025-03-24T00:00:00"/>
    <d v="2025-04-12T00:00:00"/>
    <s v="Adidas"/>
    <s v="Retail"/>
    <s v="Germany"/>
    <s v="Jebel Ali"/>
    <s v="Nhava Sheva"/>
    <x v="0"/>
    <s v="Ever Ace"/>
    <s v="20FT"/>
    <n v="2"/>
    <s v="Electronics"/>
    <n v="69712.39"/>
    <n v="16856.13"/>
    <n v="3493.86"/>
    <n v="1611.15"/>
    <n v="697.12"/>
    <n v="657.17"/>
    <n v="2304.0300000000002"/>
    <n v="44092.93"/>
    <n v="0"/>
    <s v="None"/>
    <n v="140.47"/>
    <s v="Completed"/>
    <s v="Paid"/>
    <s v="High"/>
    <s v="M. Ahmed"/>
    <s v="North America"/>
    <d v="2025-03-01T00:00:00"/>
    <x v="11"/>
  </r>
  <r>
    <x v="692"/>
    <s v="BK50961"/>
    <d v="2025-08-30T00:00:00"/>
    <d v="2025-08-31T00:00:00"/>
    <d v="2025-09-25T00:00:00"/>
    <s v="Nestlé"/>
    <s v="Food"/>
    <s v="Switzerland"/>
    <s v="Busan"/>
    <s v="Los Angeles"/>
    <x v="3"/>
    <s v="Mary Maersk"/>
    <s v="Reefer"/>
    <n v="4"/>
    <s v="Electronics"/>
    <n v="70060.14"/>
    <n v="20294.52"/>
    <n v="4261.67"/>
    <n v="1010.72"/>
    <n v="700.6"/>
    <n v="568.77"/>
    <n v="1913.35"/>
    <n v="41310.51"/>
    <n v="4"/>
    <s v="Customs"/>
    <n v="169.12"/>
    <s v="Delayed"/>
    <s v="Paid"/>
    <s v="Critical"/>
    <s v="M. Ahmed"/>
    <s v="Asia"/>
    <d v="2025-08-01T00:00:00"/>
    <x v="10"/>
  </r>
  <r>
    <x v="693"/>
    <s v="BK50751"/>
    <d v="2025-08-22T00:00:00"/>
    <d v="2025-08-24T00:00:00"/>
    <d v="2025-09-07T00:00:00"/>
    <s v="Toyota"/>
    <s v="Automotive"/>
    <s v="Japan"/>
    <s v="Jebel Ali"/>
    <s v="Nhava Sheva"/>
    <x v="0"/>
    <s v="OOCL Hong Kong"/>
    <s v="20FT"/>
    <n v="2"/>
    <s v="Chemicals"/>
    <n v="70120.02"/>
    <n v="11961.28"/>
    <n v="2818.03"/>
    <n v="1660.29"/>
    <n v="701.2"/>
    <n v="632.57000000000005"/>
    <n v="1683.8"/>
    <n v="50662.85"/>
    <n v="4"/>
    <s v="Mechanical"/>
    <n v="99.68"/>
    <s v="Delayed"/>
    <s v="Paid"/>
    <s v="Critical"/>
    <s v="R. Mehta"/>
    <s v="Europe"/>
    <d v="2025-08-01T00:00:00"/>
    <x v="1"/>
  </r>
  <r>
    <x v="694"/>
    <s v="BK50518"/>
    <d v="2025-05-02T00:00:00"/>
    <d v="2025-05-05T00:00:00"/>
    <d v="2025-05-15T00:00:00"/>
    <s v="Toyota"/>
    <s v="Automotive"/>
    <s v="Japan"/>
    <s v="Jebel Ali"/>
    <s v="Nhava Sheva"/>
    <x v="0"/>
    <s v="Madrid Maersk"/>
    <s v="Reefer"/>
    <n v="2"/>
    <s v="Textiles"/>
    <n v="70251.240000000005"/>
    <n v="19319.97"/>
    <n v="3920.6"/>
    <n v="1894.22"/>
    <n v="702.51"/>
    <n v="343.05"/>
    <n v="2323.12"/>
    <n v="41747.769999999997"/>
    <n v="12"/>
    <s v="Labor Strike"/>
    <n v="161"/>
    <s v="Delayed"/>
    <s v="Pending"/>
    <s v="Critical"/>
    <s v="J. Smith"/>
    <s v="Middle East"/>
    <d v="2025-05-01T00:00:00"/>
    <x v="15"/>
  </r>
  <r>
    <x v="695"/>
    <s v="BK50451"/>
    <d v="2025-09-15T00:00:00"/>
    <d v="2025-09-16T00:00:00"/>
    <d v="2025-10-12T00:00:00"/>
    <s v="Toyota"/>
    <s v="Automotive"/>
    <s v="Japan"/>
    <s v="Jebel Ali"/>
    <s v="Nhava Sheva"/>
    <x v="0"/>
    <s v="Mumbai Maersk"/>
    <s v="High Cube"/>
    <n v="2"/>
    <s v="Chemicals"/>
    <n v="70293.09"/>
    <n v="20316.75"/>
    <n v="5348.74"/>
    <n v="1064.33"/>
    <n v="702.93"/>
    <n v="499.53"/>
    <n v="1603.63"/>
    <n v="40757.18"/>
    <n v="12"/>
    <s v="Weather"/>
    <n v="169.31"/>
    <s v="Delayed"/>
    <s v="Pending"/>
    <s v="Critical"/>
    <s v="M. Ahmed"/>
    <s v="Europe"/>
    <d v="2025-09-01T00:00:00"/>
    <x v="3"/>
  </r>
  <r>
    <x v="696"/>
    <s v="BK50533"/>
    <d v="2025-01-25T00:00:00"/>
    <d v="2025-01-28T00:00:00"/>
    <d v="2025-02-20T00:00:00"/>
    <s v="Siemens"/>
    <s v="Engineering"/>
    <s v="Germany"/>
    <s v="Shanghai"/>
    <s v="Rotterdam"/>
    <x v="1"/>
    <s v="CMA CGM Jacques Saadé"/>
    <s v="High Cube"/>
    <n v="2"/>
    <s v="Machinery"/>
    <n v="70497.63"/>
    <n v="15918.07"/>
    <n v="5083.54"/>
    <n v="1251.03"/>
    <n v="704.98"/>
    <n v="502.47"/>
    <n v="1985.67"/>
    <n v="45051.87"/>
    <n v="12"/>
    <s v="Mechanical"/>
    <n v="132.65"/>
    <s v="Delayed"/>
    <s v="Pending"/>
    <s v="High"/>
    <s v="A. Tan"/>
    <s v="Europe"/>
    <d v="2025-01-01T00:00:00"/>
    <x v="7"/>
  </r>
  <r>
    <x v="697"/>
    <s v="BK50469"/>
    <d v="2025-01-15T00:00:00"/>
    <d v="2025-01-18T00:00:00"/>
    <d v="2025-02-15T00:00:00"/>
    <s v="Samsung"/>
    <s v="Electronics"/>
    <s v="South Korea"/>
    <s v="Shanghai"/>
    <s v="Rotterdam"/>
    <x v="1"/>
    <s v="Ever Ace"/>
    <s v="20FT"/>
    <n v="4"/>
    <s v="Machinery"/>
    <n v="70534.16"/>
    <n v="21110.48"/>
    <n v="3187.64"/>
    <n v="1486.7"/>
    <n v="705.34"/>
    <n v="256.98"/>
    <n v="627.32000000000005"/>
    <n v="43159.7"/>
    <n v="0"/>
    <s v="None"/>
    <n v="175.92"/>
    <s v="Completed"/>
    <s v="Paid"/>
    <s v="Critical"/>
    <s v="J. Smith"/>
    <s v="Europe"/>
    <d v="2025-01-01T00:00:00"/>
    <x v="17"/>
  </r>
  <r>
    <x v="698"/>
    <s v="BK50552"/>
    <d v="2025-12-26T00:00:00"/>
    <d v="2025-12-27T00:00:00"/>
    <d v="2026-01-22T00:00:00"/>
    <s v="IKEA"/>
    <s v="Retail"/>
    <s v="Sweden"/>
    <s v="Nhava Sheva"/>
    <s v="New York"/>
    <x v="2"/>
    <s v="Mumbai Maersk"/>
    <s v="40FT"/>
    <n v="2"/>
    <s v="Chemicals"/>
    <n v="70553.78"/>
    <n v="20639.52"/>
    <n v="4763.5200000000004"/>
    <n v="2090.65"/>
    <n v="705.54"/>
    <n v="492.28"/>
    <n v="1229.8399999999999"/>
    <n v="40632.43"/>
    <n v="0"/>
    <s v="None"/>
    <n v="172"/>
    <s v="Completed"/>
    <s v="Pending"/>
    <s v="Critical"/>
    <s v="M. Ahmed"/>
    <s v="Middle East"/>
    <d v="2025-12-01T00:00:00"/>
    <x v="3"/>
  </r>
  <r>
    <x v="699"/>
    <s v="BK50513"/>
    <d v="2025-10-14T00:00:00"/>
    <d v="2025-10-18T00:00:00"/>
    <d v="2025-11-11T00:00:00"/>
    <s v="Bosch"/>
    <s v="Manufacturing"/>
    <s v="Germany"/>
    <s v="Shanghai"/>
    <s v="New York"/>
    <x v="2"/>
    <s v="Monaco Maersk"/>
    <s v="20FT"/>
    <n v="4"/>
    <s v="Food"/>
    <n v="70568.649999999994"/>
    <n v="19216.560000000001"/>
    <n v="5469.7"/>
    <n v="1359.53"/>
    <n v="705.69"/>
    <n v="754.29"/>
    <n v="785.75"/>
    <n v="42277.13"/>
    <n v="4"/>
    <s v="Labor Strike"/>
    <n v="160.13999999999999"/>
    <s v="Delayed"/>
    <s v="Paid"/>
    <s v="Critical"/>
    <s v="A. Tan"/>
    <s v="Asia"/>
    <d v="2025-10-01T00:00:00"/>
    <x v="8"/>
  </r>
  <r>
    <x v="700"/>
    <s v="BK50868"/>
    <d v="2025-09-02T00:00:00"/>
    <d v="2025-09-03T00:00:00"/>
    <d v="2025-09-18T00:00:00"/>
    <s v="Siemens"/>
    <s v="Engineering"/>
    <s v="Germany"/>
    <s v="Singapore"/>
    <s v="Rotterdam"/>
    <x v="1"/>
    <s v="Mary Maersk"/>
    <s v="20FT"/>
    <n v="2"/>
    <s v="Food"/>
    <n v="70604.240000000005"/>
    <n v="12046.6"/>
    <n v="3673.46"/>
    <n v="1111.4100000000001"/>
    <n v="706.04"/>
    <n v="300.60000000000002"/>
    <n v="1873.69"/>
    <n v="50892.44"/>
    <n v="0"/>
    <s v="None"/>
    <n v="100.39"/>
    <s v="Completed"/>
    <s v="Paid"/>
    <s v="High"/>
    <s v="A. Tan"/>
    <s v="Europe"/>
    <d v="2025-09-01T00:00:00"/>
    <x v="6"/>
  </r>
  <r>
    <x v="701"/>
    <s v="BK50528"/>
    <d v="2025-05-07T00:00:00"/>
    <d v="2025-05-08T00:00:00"/>
    <d v="2025-06-02T00:00:00"/>
    <s v="IKEA"/>
    <s v="Retail"/>
    <s v="Sweden"/>
    <s v="Shanghai"/>
    <s v="Rotterdam"/>
    <x v="1"/>
    <s v="MSC Gülsün"/>
    <s v="20FT"/>
    <n v="4"/>
    <s v="Auto Parts"/>
    <n v="70671.149999999994"/>
    <n v="17754.43"/>
    <n v="3104.68"/>
    <n v="1591.15"/>
    <n v="706.71"/>
    <n v="548.32000000000005"/>
    <n v="1093.1400000000001"/>
    <n v="45872.72"/>
    <n v="0"/>
    <s v="None"/>
    <n v="147.94999999999999"/>
    <s v="Completed"/>
    <s v="Paid"/>
    <s v="Critical"/>
    <s v="A. Tan"/>
    <s v="Middle East"/>
    <d v="2025-05-01T00:00:00"/>
    <x v="10"/>
  </r>
  <r>
    <x v="702"/>
    <s v="BK50531"/>
    <d v="2025-05-05T00:00:00"/>
    <d v="2025-05-06T00:00:00"/>
    <d v="2025-05-21T00:00:00"/>
    <s v="Adidas"/>
    <s v="Retail"/>
    <s v="Germany"/>
    <s v="New York"/>
    <s v="New York"/>
    <x v="2"/>
    <s v="Monaco Maersk"/>
    <s v="20FT"/>
    <n v="4"/>
    <s v="Auto Parts"/>
    <n v="71115.47"/>
    <n v="11535.25"/>
    <n v="3693.04"/>
    <n v="784.81"/>
    <n v="711.15"/>
    <n v="301.54000000000002"/>
    <n v="787.24"/>
    <n v="53302.44"/>
    <n v="0"/>
    <s v="None"/>
    <n v="96.13"/>
    <s v="Completed"/>
    <s v="Paid"/>
    <s v="Critical"/>
    <s v="R. Mehta"/>
    <s v="Middle East"/>
    <d v="2025-05-01T00:00:00"/>
    <x v="6"/>
  </r>
  <r>
    <x v="703"/>
    <s v="BK50128"/>
    <d v="2025-02-10T00:00:00"/>
    <d v="2025-02-14T00:00:00"/>
    <d v="2025-03-07T00:00:00"/>
    <s v="LG"/>
    <s v="Electronics"/>
    <s v="South Korea"/>
    <s v="Hamburg"/>
    <s v="Busan"/>
    <x v="2"/>
    <s v="Mary Maersk"/>
    <s v="20FT"/>
    <n v="2"/>
    <s v="Textiles"/>
    <n v="71259.31"/>
    <n v="16935.93"/>
    <n v="3956.43"/>
    <n v="1388.5"/>
    <n v="712.59"/>
    <n v="685.4"/>
    <n v="1057.3"/>
    <n v="46523.16"/>
    <n v="0"/>
    <s v="None"/>
    <n v="141.13"/>
    <s v="Completed"/>
    <s v="Paid"/>
    <s v="High"/>
    <s v="L. Chen"/>
    <s v="Europe"/>
    <d v="2025-02-01T00:00:00"/>
    <x v="9"/>
  </r>
  <r>
    <x v="704"/>
    <s v="BK50053"/>
    <d v="2025-04-18T00:00:00"/>
    <d v="2025-04-21T00:00:00"/>
    <d v="2025-05-18T00:00:00"/>
    <s v="Nestlé"/>
    <s v="Food"/>
    <s v="Switzerland"/>
    <s v="Shanghai"/>
    <s v="Rotterdam"/>
    <x v="1"/>
    <s v="Mumbai Maersk"/>
    <s v="40FT"/>
    <n v="4"/>
    <s v="Machinery"/>
    <n v="71294.2"/>
    <n v="17001.79"/>
    <n v="4338.9799999999996"/>
    <n v="1263.69"/>
    <n v="712.94"/>
    <n v="564.95000000000005"/>
    <n v="828.14"/>
    <n v="46583.71"/>
    <n v="0"/>
    <s v="None"/>
    <n v="141.68"/>
    <s v="Completed"/>
    <s v="Pending"/>
    <s v="High"/>
    <s v="R. Mehta"/>
    <s v="Asia"/>
    <d v="2025-04-01T00:00:00"/>
    <x v="2"/>
  </r>
  <r>
    <x v="705"/>
    <s v="BK50599"/>
    <d v="2025-04-06T00:00:00"/>
    <d v="2025-04-08T00:00:00"/>
    <d v="2025-04-19T00:00:00"/>
    <s v="Toyota"/>
    <s v="Automotive"/>
    <s v="Japan"/>
    <s v="Colombo"/>
    <s v="Los Angeles"/>
    <x v="2"/>
    <s v="Mary Maersk"/>
    <s v="40FT"/>
    <n v="2"/>
    <s v="Furniture"/>
    <n v="71301.86"/>
    <n v="17942.36"/>
    <n v="4954.21"/>
    <n v="826.39"/>
    <n v="713.02"/>
    <n v="886.88"/>
    <n v="2424.35"/>
    <n v="43554.65"/>
    <n v="0"/>
    <s v="None"/>
    <n v="149.52000000000001"/>
    <s v="Completed"/>
    <s v="Pending"/>
    <s v="Standard"/>
    <s v="R. Mehta"/>
    <s v="Europe"/>
    <d v="2025-04-01T00:00:00"/>
    <x v="5"/>
  </r>
  <r>
    <x v="706"/>
    <s v="BK50212"/>
    <d v="2025-01-31T00:00:00"/>
    <d v="2025-02-01T00:00:00"/>
    <d v="2025-02-13T00:00:00"/>
    <s v="LG"/>
    <s v="Electronics"/>
    <s v="South Korea"/>
    <s v="Shanghai"/>
    <s v="Rotterdam"/>
    <x v="1"/>
    <s v="OOCL Hong Kong"/>
    <s v="40FT"/>
    <n v="2"/>
    <s v="Machinery"/>
    <n v="71417.33"/>
    <n v="15842.12"/>
    <n v="4335.12"/>
    <n v="1763.56"/>
    <n v="714.17"/>
    <n v="808.02"/>
    <n v="893.5"/>
    <n v="47060.84"/>
    <n v="0"/>
    <s v="None"/>
    <n v="132.02000000000001"/>
    <s v="Completed"/>
    <s v="Pending"/>
    <s v="Critical"/>
    <s v="A. Tan"/>
    <s v="Middle East"/>
    <d v="2025-01-01T00:00:00"/>
    <x v="12"/>
  </r>
  <r>
    <x v="707"/>
    <s v="BK50455"/>
    <d v="2025-11-27T00:00:00"/>
    <d v="2025-12-01T00:00:00"/>
    <d v="2025-12-19T00:00:00"/>
    <s v="Amazon"/>
    <s v="E-commerce"/>
    <s v="USA"/>
    <s v="Busan"/>
    <s v="Los Angeles"/>
    <x v="3"/>
    <s v="OOCL Hong Kong"/>
    <s v="Reefer"/>
    <n v="2"/>
    <s v="Chemicals"/>
    <n v="71560.41"/>
    <n v="19580.89"/>
    <n v="4430.04"/>
    <n v="1663.01"/>
    <n v="715.6"/>
    <n v="188.31"/>
    <n v="2271.09"/>
    <n v="42711.47"/>
    <n v="8"/>
    <s v="Mechanical"/>
    <n v="163.16999999999999"/>
    <s v="Delayed"/>
    <s v="Pending"/>
    <s v="Critical"/>
    <s v="J. Smith"/>
    <s v="Middle East"/>
    <d v="2025-11-01T00:00:00"/>
    <x v="14"/>
  </r>
  <r>
    <x v="708"/>
    <s v="BK50136"/>
    <d v="2025-04-15T00:00:00"/>
    <d v="2025-04-18T00:00:00"/>
    <d v="2025-05-11T00:00:00"/>
    <s v="LG"/>
    <s v="Electronics"/>
    <s v="South Korea"/>
    <s v="Busan"/>
    <s v="Colombo"/>
    <x v="2"/>
    <s v="Monaco Maersk"/>
    <s v="40FT"/>
    <n v="2"/>
    <s v="Food"/>
    <n v="71946.179999999993"/>
    <n v="17094.95"/>
    <n v="3285.58"/>
    <n v="1072.05"/>
    <n v="719.46"/>
    <n v="270.22000000000003"/>
    <n v="2248.4499999999998"/>
    <n v="47255.47"/>
    <n v="48"/>
    <s v="Labor Strike"/>
    <n v="142.46"/>
    <s v="Delayed"/>
    <s v="Paid"/>
    <s v="High"/>
    <s v="R. Mehta"/>
    <s v="Middle East"/>
    <d v="2025-04-01T00:00:00"/>
    <x v="7"/>
  </r>
  <r>
    <x v="709"/>
    <s v="BK50697"/>
    <d v="2025-01-25T00:00:00"/>
    <d v="2025-01-26T00:00:00"/>
    <d v="2025-02-19T00:00:00"/>
    <s v="Amazon"/>
    <s v="E-commerce"/>
    <s v="USA"/>
    <s v="Busan"/>
    <s v="Los Angeles"/>
    <x v="3"/>
    <s v="Monaco Maersk"/>
    <s v="20FT"/>
    <n v="2"/>
    <s v="Electronics"/>
    <n v="71998.81"/>
    <n v="14354.73"/>
    <n v="5029.6099999999997"/>
    <n v="946.47"/>
    <n v="719.99"/>
    <n v="266.52"/>
    <n v="2008.14"/>
    <n v="48673.35"/>
    <n v="8"/>
    <s v="Mechanical"/>
    <n v="119.62"/>
    <s v="Delayed"/>
    <s v="Pending"/>
    <s v="High"/>
    <s v="R. Mehta"/>
    <s v="Europe"/>
    <d v="2025-01-01T00:00:00"/>
    <x v="8"/>
  </r>
  <r>
    <x v="710"/>
    <s v="BK50713"/>
    <d v="2025-12-01T00:00:00"/>
    <d v="2025-12-02T00:00:00"/>
    <d v="2025-12-25T00:00:00"/>
    <s v="Toyota"/>
    <s v="Automotive"/>
    <s v="Japan"/>
    <s v="Jebel Ali"/>
    <s v="Nhava Sheva"/>
    <x v="0"/>
    <s v="CMA CGM Jacques Saadé"/>
    <s v="High Cube"/>
    <n v="4"/>
    <s v="Electronics"/>
    <n v="72116.63"/>
    <n v="12222.56"/>
    <n v="5315.38"/>
    <n v="1197.5"/>
    <n v="721.17"/>
    <n v="632.71"/>
    <n v="1589.39"/>
    <n v="50437.919999999998"/>
    <n v="0"/>
    <s v="None"/>
    <n v="101.85"/>
    <s v="Completed"/>
    <s v="Paid"/>
    <s v="Critical"/>
    <s v="A. Tan"/>
    <s v="Europe"/>
    <d v="2025-12-01T00:00:00"/>
    <x v="7"/>
  </r>
  <r>
    <x v="711"/>
    <s v="BK50543"/>
    <d v="2025-06-26T00:00:00"/>
    <d v="2025-06-30T00:00:00"/>
    <d v="2025-07-11T00:00:00"/>
    <s v="Nestlé"/>
    <s v="Food"/>
    <s v="Switzerland"/>
    <s v="Shanghai"/>
    <s v="Rotterdam"/>
    <x v="1"/>
    <s v="Monaco Maersk"/>
    <s v="Reefer"/>
    <n v="4"/>
    <s v="Food"/>
    <n v="72547.89"/>
    <n v="14440.62"/>
    <n v="3035.33"/>
    <n v="1639.77"/>
    <n v="725.48"/>
    <n v="158.28"/>
    <n v="2372.87"/>
    <n v="50175.54"/>
    <n v="0"/>
    <s v="None"/>
    <n v="120.34"/>
    <s v="Completed"/>
    <s v="Paid"/>
    <s v="Critical"/>
    <s v="R. Mehta"/>
    <s v="Europe"/>
    <d v="2025-06-01T00:00:00"/>
    <x v="5"/>
  </r>
  <r>
    <x v="712"/>
    <s v="BK50072"/>
    <d v="2025-11-04T00:00:00"/>
    <d v="2025-11-06T00:00:00"/>
    <d v="2025-11-19T00:00:00"/>
    <s v="Adidas"/>
    <s v="Retail"/>
    <s v="Germany"/>
    <s v="Jebel Ali"/>
    <s v="Busan"/>
    <x v="2"/>
    <s v="Mumbai Maersk"/>
    <s v="Reefer"/>
    <n v="2"/>
    <s v="Furniture"/>
    <n v="72641.98"/>
    <n v="20418.66"/>
    <n v="4240.8500000000004"/>
    <n v="750.52"/>
    <n v="726.42"/>
    <n v="151.80000000000001"/>
    <n v="1465.25"/>
    <n v="44888.480000000003"/>
    <n v="4"/>
    <s v="Labor Strike"/>
    <n v="170.16"/>
    <s v="Delayed"/>
    <s v="Pending"/>
    <s v="Critical"/>
    <s v="M. Ahmed"/>
    <s v="Europe"/>
    <d v="2025-11-01T00:00:00"/>
    <x v="13"/>
  </r>
  <r>
    <x v="713"/>
    <s v="BK50960"/>
    <d v="2025-01-11T00:00:00"/>
    <d v="2025-01-15T00:00:00"/>
    <d v="2025-02-03T00:00:00"/>
    <s v="Bosch"/>
    <s v="Manufacturing"/>
    <s v="Germany"/>
    <s v="Colombo"/>
    <s v="Singapore"/>
    <x v="4"/>
    <s v="OOCL Hong Kong"/>
    <s v="40FT"/>
    <n v="2"/>
    <s v="Machinery"/>
    <n v="72820.44"/>
    <n v="13832.15"/>
    <n v="4614.32"/>
    <n v="774.51"/>
    <n v="728.2"/>
    <n v="650.87"/>
    <n v="713.45"/>
    <n v="51506.94"/>
    <n v="36"/>
    <s v="Labor Strike"/>
    <n v="115.27"/>
    <s v="Delayed"/>
    <s v="Pending"/>
    <s v="Critical"/>
    <s v="R. Mehta"/>
    <s v="Europe"/>
    <d v="2025-01-01T00:00:00"/>
    <x v="11"/>
  </r>
  <r>
    <x v="714"/>
    <s v="BK50441"/>
    <d v="2025-12-08T00:00:00"/>
    <d v="2025-12-11T00:00:00"/>
    <d v="2026-01-07T00:00:00"/>
    <s v="Reliance"/>
    <s v="Retail"/>
    <s v="India"/>
    <s v="Shanghai"/>
    <s v="Rotterdam"/>
    <x v="1"/>
    <s v="Mumbai Maersk"/>
    <s v="High Cube"/>
    <n v="2"/>
    <s v="Auto Parts"/>
    <n v="72988.820000000007"/>
    <n v="17957.41"/>
    <n v="3351.26"/>
    <n v="1952.17"/>
    <n v="729.89"/>
    <n v="176.54"/>
    <n v="866.7"/>
    <n v="47954.85"/>
    <n v="48"/>
    <s v="Mechanical"/>
    <n v="149.65"/>
    <s v="Delayed"/>
    <s v="Pending"/>
    <s v="High"/>
    <s v="A. Tan"/>
    <s v="North America"/>
    <d v="2025-12-01T00:00:00"/>
    <x v="2"/>
  </r>
  <r>
    <x v="715"/>
    <s v="BK50348"/>
    <d v="2025-06-15T00:00:00"/>
    <d v="2025-06-16T00:00:00"/>
    <d v="2025-07-09T00:00:00"/>
    <s v="Nestlé"/>
    <s v="Food"/>
    <s v="Switzerland"/>
    <s v="Singapore"/>
    <s v="Rotterdam"/>
    <x v="1"/>
    <s v="Monaco Maersk"/>
    <s v="Reefer"/>
    <n v="2"/>
    <s v="Chemicals"/>
    <n v="72990.25"/>
    <n v="14508.05"/>
    <n v="5644.54"/>
    <n v="1155.1199999999999"/>
    <n v="729.9"/>
    <n v="448.72"/>
    <n v="2192.9299999999998"/>
    <n v="48310.99"/>
    <n v="8"/>
    <s v="Weather"/>
    <n v="120.9"/>
    <s v="Delayed"/>
    <s v="Pending"/>
    <s v="Critical"/>
    <s v="A. Tan"/>
    <s v="Asia"/>
    <d v="2025-06-01T00:00:00"/>
    <x v="7"/>
  </r>
  <r>
    <x v="716"/>
    <s v="BK50568"/>
    <d v="2025-10-26T00:00:00"/>
    <d v="2025-10-28T00:00:00"/>
    <d v="2025-11-26T00:00:00"/>
    <s v="IKEA"/>
    <s v="Retail"/>
    <s v="Sweden"/>
    <s v="Busan"/>
    <s v="Los Angeles"/>
    <x v="3"/>
    <s v="Ever Ace"/>
    <s v="20FT"/>
    <n v="2"/>
    <s v="Textiles"/>
    <n v="72991.33"/>
    <n v="14763.57"/>
    <n v="5404.34"/>
    <n v="811.46"/>
    <n v="729.91"/>
    <n v="258.76"/>
    <n v="1554.93"/>
    <n v="49468.36"/>
    <n v="48"/>
    <s v="Mechanical"/>
    <n v="123.03"/>
    <s v="Delayed"/>
    <s v="Paid"/>
    <s v="High"/>
    <s v="J. Smith"/>
    <s v="Europe"/>
    <d v="2025-10-01T00:00:00"/>
    <x v="20"/>
  </r>
  <r>
    <x v="717"/>
    <s v="BK50941"/>
    <d v="2025-04-26T00:00:00"/>
    <d v="2025-04-27T00:00:00"/>
    <d v="2025-05-22T00:00:00"/>
    <s v="Unilever"/>
    <s v="FMCG"/>
    <s v="UK"/>
    <s v="Busan"/>
    <s v="Los Angeles"/>
    <x v="3"/>
    <s v="Mary Maersk"/>
    <s v="Reefer"/>
    <n v="2"/>
    <s v="Textiles"/>
    <n v="73399.42"/>
    <n v="12752.88"/>
    <n v="3581.18"/>
    <n v="2078.86"/>
    <n v="733.99"/>
    <n v="644.75"/>
    <n v="540.63"/>
    <n v="53067.13"/>
    <n v="0"/>
    <s v="None"/>
    <n v="106.27"/>
    <s v="Completed"/>
    <s v="Pending"/>
    <s v="Critical"/>
    <s v="J. Smith"/>
    <s v="North America"/>
    <d v="2025-04-01T00:00:00"/>
    <x v="10"/>
  </r>
  <r>
    <x v="718"/>
    <s v="BK50022"/>
    <d v="2025-02-11T00:00:00"/>
    <d v="2025-02-14T00:00:00"/>
    <d v="2025-02-26T00:00:00"/>
    <s v="Reliance"/>
    <s v="Retail"/>
    <s v="India"/>
    <s v="Jebel Ali"/>
    <s v="Nhava Sheva"/>
    <x v="0"/>
    <s v="Monaco Maersk"/>
    <s v="20FT"/>
    <n v="2"/>
    <s v="Textiles"/>
    <n v="73432.63"/>
    <n v="13076.19"/>
    <n v="5369.64"/>
    <n v="2012.48"/>
    <n v="734.33"/>
    <n v="277.81"/>
    <n v="2459"/>
    <n v="49503.18"/>
    <n v="24"/>
    <s v="Port Congestion"/>
    <n v="108.97"/>
    <s v="Delayed"/>
    <s v="Pending"/>
    <s v="Critical"/>
    <s v="R. Mehta"/>
    <s v="North America"/>
    <d v="2025-02-01T00:00:00"/>
    <x v="12"/>
  </r>
  <r>
    <x v="719"/>
    <s v="BK50217"/>
    <d v="2025-08-20T00:00:00"/>
    <d v="2025-08-24T00:00:00"/>
    <d v="2025-09-04T00:00:00"/>
    <s v="Toyota"/>
    <s v="Automotive"/>
    <s v="Japan"/>
    <s v="Busan"/>
    <s v="Los Angeles"/>
    <x v="3"/>
    <s v="Mary Maersk"/>
    <s v="40FT"/>
    <n v="2"/>
    <s v="Chemicals"/>
    <n v="73451.37"/>
    <n v="20003.080000000002"/>
    <n v="5509.57"/>
    <n v="1926.29"/>
    <n v="734.51"/>
    <n v="409.82"/>
    <n v="1644.18"/>
    <n v="43223.92"/>
    <n v="0"/>
    <s v="None"/>
    <n v="166.69"/>
    <s v="Completed"/>
    <s v="Paid"/>
    <s v="Standard"/>
    <s v="J. Smith"/>
    <s v="Europe"/>
    <d v="2025-08-01T00:00:00"/>
    <x v="5"/>
  </r>
  <r>
    <x v="720"/>
    <s v="BK50620"/>
    <d v="2025-07-21T00:00:00"/>
    <d v="2025-07-23T00:00:00"/>
    <d v="2025-08-18T00:00:00"/>
    <s v="Toyota"/>
    <s v="Automotive"/>
    <s v="Japan"/>
    <s v="Jebel Ali"/>
    <s v="Singapore"/>
    <x v="2"/>
    <s v="Mary Maersk"/>
    <s v="20FT"/>
    <n v="2"/>
    <s v="Chemicals"/>
    <n v="73653.570000000007"/>
    <n v="12371.28"/>
    <n v="4410.33"/>
    <n v="1320.11"/>
    <n v="736.54"/>
    <n v="505.27"/>
    <n v="1766.16"/>
    <n v="52543.88"/>
    <n v="24"/>
    <s v="Mechanical"/>
    <n v="103.09"/>
    <s v="Delayed"/>
    <s v="Pending"/>
    <s v="Critical"/>
    <s v="M. Ahmed"/>
    <s v="Middle East"/>
    <d v="2025-07-01T00:00:00"/>
    <x v="3"/>
  </r>
  <r>
    <x v="721"/>
    <s v="BK50353"/>
    <d v="2025-04-27T00:00:00"/>
    <d v="2025-04-28T00:00:00"/>
    <d v="2025-05-10T00:00:00"/>
    <s v="Reliance"/>
    <s v="Retail"/>
    <s v="India"/>
    <s v="Hamburg"/>
    <s v="Colombo"/>
    <x v="2"/>
    <s v="Ever Ace"/>
    <s v="Reefer"/>
    <n v="2"/>
    <s v="Auto Parts"/>
    <n v="73671.05"/>
    <n v="17456.29"/>
    <n v="4211.8"/>
    <n v="1560.24"/>
    <n v="736.71"/>
    <n v="149.55000000000001"/>
    <n v="945.21"/>
    <n v="48611.25"/>
    <n v="0"/>
    <s v="None"/>
    <n v="145.47"/>
    <s v="Completed"/>
    <s v="Paid"/>
    <s v="Critical"/>
    <s v="A. Tan"/>
    <s v="Europe"/>
    <d v="2025-04-01T00:00:00"/>
    <x v="12"/>
  </r>
  <r>
    <x v="722"/>
    <s v="BK50852"/>
    <d v="2025-06-10T00:00:00"/>
    <d v="2025-06-13T00:00:00"/>
    <d v="2025-07-06T00:00:00"/>
    <s v="Pfizer"/>
    <s v="Pharma"/>
    <s v="USA"/>
    <s v="Jebel Ali"/>
    <s v="Nhava Sheva"/>
    <x v="0"/>
    <s v="OOCL Hong Kong"/>
    <s v="20FT"/>
    <n v="4"/>
    <s v="Electronics"/>
    <n v="74116.25"/>
    <n v="12177.51"/>
    <n v="5647.96"/>
    <n v="1416.56"/>
    <n v="741.16"/>
    <n v="505.48"/>
    <n v="1082.1600000000001"/>
    <n v="52545.42"/>
    <n v="0"/>
    <s v="None"/>
    <n v="101.48"/>
    <s v="Completed"/>
    <s v="Paid"/>
    <s v="High"/>
    <s v="R. Mehta"/>
    <s v="Europe"/>
    <d v="2025-06-01T00:00:00"/>
    <x v="7"/>
  </r>
  <r>
    <x v="723"/>
    <s v="BK50909"/>
    <d v="2025-01-28T00:00:00"/>
    <d v="2025-01-29T00:00:00"/>
    <d v="2025-02-23T00:00:00"/>
    <s v="Toyota"/>
    <s v="Automotive"/>
    <s v="Japan"/>
    <s v="Jebel Ali"/>
    <s v="Nhava Sheva"/>
    <x v="0"/>
    <s v="Mary Maersk"/>
    <s v="High Cube"/>
    <n v="4"/>
    <s v="Food"/>
    <n v="74142.28"/>
    <n v="17226.259999999998"/>
    <n v="4540.3100000000004"/>
    <n v="2210.75"/>
    <n v="741.42"/>
    <n v="127.4"/>
    <n v="1336.03"/>
    <n v="47960.11"/>
    <n v="0"/>
    <s v="None"/>
    <n v="143.55000000000001"/>
    <s v="Completed"/>
    <s v="Paid"/>
    <s v="Standard"/>
    <s v="L. Chen"/>
    <s v="Asia"/>
    <d v="2025-01-01T00:00:00"/>
    <x v="10"/>
  </r>
  <r>
    <x v="724"/>
    <s v="BK50069"/>
    <d v="2025-05-13T00:00:00"/>
    <d v="2025-05-14T00:00:00"/>
    <d v="2025-06-04T00:00:00"/>
    <s v="Unilever"/>
    <s v="FMCG"/>
    <s v="UK"/>
    <s v="Colombo"/>
    <s v="Singapore"/>
    <x v="4"/>
    <s v="OOCL Hong Kong"/>
    <s v="Reefer"/>
    <n v="2"/>
    <s v="Chemicals"/>
    <n v="74300.820000000007"/>
    <n v="19974.599999999999"/>
    <n v="4977.54"/>
    <n v="1395.08"/>
    <n v="743.01"/>
    <n v="369.35"/>
    <n v="1473.99"/>
    <n v="45367.25"/>
    <n v="12"/>
    <s v="Labor Strike"/>
    <n v="166.45"/>
    <s v="Delayed"/>
    <s v="Paid"/>
    <s v="Critical"/>
    <s v="J. Smith"/>
    <s v="Asia"/>
    <d v="2025-05-01T00:00:00"/>
    <x v="9"/>
  </r>
  <r>
    <x v="725"/>
    <s v="BK50521"/>
    <d v="2025-06-09T00:00:00"/>
    <d v="2025-06-10T00:00:00"/>
    <d v="2025-07-01T00:00:00"/>
    <s v="Amazon"/>
    <s v="E-commerce"/>
    <s v="USA"/>
    <s v="Singapore"/>
    <s v="Rotterdam"/>
    <x v="1"/>
    <s v="Monaco Maersk"/>
    <s v="40FT"/>
    <n v="2"/>
    <s v="Machinery"/>
    <n v="74729.350000000006"/>
    <n v="19441.740000000002"/>
    <n v="3041.56"/>
    <n v="1173.4100000000001"/>
    <n v="747.29"/>
    <n v="549.14"/>
    <n v="2379.6999999999998"/>
    <n v="47396.51"/>
    <n v="0"/>
    <s v="None"/>
    <n v="162.01"/>
    <s v="Completed"/>
    <s v="Pending"/>
    <s v="High"/>
    <s v="J. Smith"/>
    <s v="Middle East"/>
    <d v="2025-06-01T00:00:00"/>
    <x v="9"/>
  </r>
  <r>
    <x v="726"/>
    <s v="BK50148"/>
    <d v="2025-06-11T00:00:00"/>
    <d v="2025-06-15T00:00:00"/>
    <d v="2025-06-30T00:00:00"/>
    <s v="Adidas"/>
    <s v="Retail"/>
    <s v="Germany"/>
    <s v="Colombo"/>
    <s v="Singapore"/>
    <x v="4"/>
    <s v="MSC Gülsün"/>
    <s v="20FT"/>
    <n v="2"/>
    <s v="Chemicals"/>
    <n v="75115.37"/>
    <n v="14907.3"/>
    <n v="5118.6000000000004"/>
    <n v="1845.79"/>
    <n v="751.15"/>
    <n v="715.85"/>
    <n v="611.09"/>
    <n v="51165.59"/>
    <n v="8"/>
    <s v="Labor Strike"/>
    <n v="124.23"/>
    <s v="Delayed"/>
    <s v="Paid"/>
    <s v="Standard"/>
    <s v="A. Tan"/>
    <s v="North America"/>
    <d v="2025-06-01T00:00:00"/>
    <x v="6"/>
  </r>
  <r>
    <x v="727"/>
    <s v="BK50245"/>
    <d v="2025-03-28T00:00:00"/>
    <d v="2025-03-29T00:00:00"/>
    <d v="2025-04-11T00:00:00"/>
    <s v="Bosch"/>
    <s v="Manufacturing"/>
    <s v="Germany"/>
    <s v="Rotterdam"/>
    <s v="Singapore"/>
    <x v="2"/>
    <s v="Mumbai Maersk"/>
    <s v="High Cube"/>
    <n v="2"/>
    <s v="Auto Parts"/>
    <n v="75139.69"/>
    <n v="13767.69"/>
    <n v="3662.34"/>
    <n v="1097"/>
    <n v="751.4"/>
    <n v="585.92999999999995"/>
    <n v="2490.62"/>
    <n v="52784.71"/>
    <n v="48"/>
    <s v="Port Congestion"/>
    <n v="114.73"/>
    <s v="Delayed"/>
    <s v="Paid"/>
    <s v="Critical"/>
    <s v="M. Ahmed"/>
    <s v="North America"/>
    <d v="2025-03-01T00:00:00"/>
    <x v="13"/>
  </r>
  <r>
    <x v="728"/>
    <s v="BK50422"/>
    <d v="2025-06-30T00:00:00"/>
    <d v="2025-07-04T00:00:00"/>
    <d v="2025-07-14T00:00:00"/>
    <s v="Nestlé"/>
    <s v="Food"/>
    <s v="Switzerland"/>
    <s v="Shanghai"/>
    <s v="Rotterdam"/>
    <x v="1"/>
    <s v="Mary Maersk"/>
    <s v="High Cube"/>
    <n v="2"/>
    <s v="Textiles"/>
    <n v="75317.820000000007"/>
    <n v="14098.54"/>
    <n v="4755.8500000000004"/>
    <n v="1243.0999999999999"/>
    <n v="753.18"/>
    <n v="780.33"/>
    <n v="2229.42"/>
    <n v="51457.4"/>
    <n v="0"/>
    <s v="None"/>
    <n v="117.49"/>
    <s v="Completed"/>
    <s v="Paid"/>
    <s v="Standard"/>
    <s v="A. Tan"/>
    <s v="Middle East"/>
    <d v="2025-06-01T00:00:00"/>
    <x v="15"/>
  </r>
  <r>
    <x v="729"/>
    <s v="BK50226"/>
    <d v="2025-02-01T00:00:00"/>
    <d v="2025-02-05T00:00:00"/>
    <d v="2025-02-27T00:00:00"/>
    <s v="Siemens"/>
    <s v="Engineering"/>
    <s v="Germany"/>
    <s v="Jebel Ali"/>
    <s v="Nhava Sheva"/>
    <x v="0"/>
    <s v="Mary Maersk"/>
    <s v="Reefer"/>
    <n v="2"/>
    <s v="Auto Parts"/>
    <n v="75323.740000000005"/>
    <n v="13454.8"/>
    <n v="4332.25"/>
    <n v="2047.35"/>
    <n v="753.24"/>
    <n v="710.52"/>
    <n v="1946.7"/>
    <n v="52078.879999999997"/>
    <n v="4"/>
    <s v="Labor Strike"/>
    <n v="112.12"/>
    <s v="Delayed"/>
    <s v="Paid"/>
    <s v="Critical"/>
    <s v="J. Smith"/>
    <s v="Asia"/>
    <d v="2025-02-01T00:00:00"/>
    <x v="4"/>
  </r>
  <r>
    <x v="730"/>
    <s v="BK50287"/>
    <d v="2025-07-09T00:00:00"/>
    <d v="2025-07-10T00:00:00"/>
    <d v="2025-08-06T00:00:00"/>
    <s v="Pfizer"/>
    <s v="Pharma"/>
    <s v="USA"/>
    <s v="Busan"/>
    <s v="Los Angeles"/>
    <x v="3"/>
    <s v="CMA CGM Jacques Saadé"/>
    <s v="High Cube"/>
    <n v="4"/>
    <s v="Electronics"/>
    <n v="75446.929999999993"/>
    <n v="13823.81"/>
    <n v="5551.79"/>
    <n v="1779.23"/>
    <n v="754.47"/>
    <n v="461.14"/>
    <n v="2176.4499999999998"/>
    <n v="50900.04"/>
    <n v="8"/>
    <s v="Weather"/>
    <n v="115.2"/>
    <s v="Delayed"/>
    <s v="Paid"/>
    <s v="Standard"/>
    <s v="M. Ahmed"/>
    <s v="Asia"/>
    <d v="2025-07-01T00:00:00"/>
    <x v="2"/>
  </r>
  <r>
    <x v="731"/>
    <s v="BK50334"/>
    <d v="2025-02-02T00:00:00"/>
    <d v="2025-02-05T00:00:00"/>
    <d v="2025-03-02T00:00:00"/>
    <s v="Toyota"/>
    <s v="Automotive"/>
    <s v="Japan"/>
    <s v="Hamburg"/>
    <s v="Rotterdam"/>
    <x v="2"/>
    <s v="Mary Maersk"/>
    <s v="20FT"/>
    <n v="2"/>
    <s v="Auto Parts"/>
    <n v="75477.97"/>
    <n v="17879.080000000002"/>
    <n v="4137.49"/>
    <n v="1059.43"/>
    <n v="754.78"/>
    <n v="101.82"/>
    <n v="1681.61"/>
    <n v="49863.76"/>
    <n v="0"/>
    <s v="None"/>
    <n v="148.99"/>
    <s v="Completed"/>
    <s v="Pending"/>
    <s v="Standard"/>
    <s v="J. Smith"/>
    <s v="Europe"/>
    <d v="2025-02-01T00:00:00"/>
    <x v="10"/>
  </r>
  <r>
    <x v="732"/>
    <s v="BK50017"/>
    <d v="2025-05-04T00:00:00"/>
    <d v="2025-05-05T00:00:00"/>
    <d v="2025-06-01T00:00:00"/>
    <s v="Amazon"/>
    <s v="E-commerce"/>
    <s v="USA"/>
    <s v="Busan"/>
    <s v="Rotterdam"/>
    <x v="2"/>
    <s v="Madrid Maersk"/>
    <s v="40FT"/>
    <n v="2"/>
    <s v="Electronics"/>
    <n v="75509.86"/>
    <n v="16510.759999999998"/>
    <n v="3118.01"/>
    <n v="1451.96"/>
    <n v="755.1"/>
    <n v="811.37"/>
    <n v="481.06"/>
    <n v="52381.599999999999"/>
    <n v="0"/>
    <s v="None"/>
    <n v="137.59"/>
    <s v="Completed"/>
    <s v="Pending"/>
    <s v="Critical"/>
    <s v="M. Ahmed"/>
    <s v="Europe"/>
    <d v="2025-05-01T00:00:00"/>
    <x v="2"/>
  </r>
  <r>
    <x v="733"/>
    <s v="BK50709"/>
    <d v="2025-06-01T00:00:00"/>
    <d v="2025-06-05T00:00:00"/>
    <d v="2025-07-03T00:00:00"/>
    <s v="Siemens"/>
    <s v="Engineering"/>
    <s v="Germany"/>
    <s v="Singapore"/>
    <s v="Rotterdam"/>
    <x v="1"/>
    <s v="CMA CGM Jacques Saadé"/>
    <s v="20FT"/>
    <n v="2"/>
    <s v="Food"/>
    <n v="75921.25"/>
    <n v="19008.060000000001"/>
    <n v="3536.17"/>
    <n v="928.17"/>
    <n v="759.21"/>
    <n v="627.55999999999995"/>
    <n v="2468.4899999999998"/>
    <n v="48593.59"/>
    <n v="0"/>
    <s v="None"/>
    <n v="158.4"/>
    <s v="Completed"/>
    <s v="Paid"/>
    <s v="High"/>
    <s v="M. Ahmed"/>
    <s v="Middle East"/>
    <d v="2025-06-01T00:00:00"/>
    <x v="17"/>
  </r>
  <r>
    <x v="734"/>
    <s v="BK50081"/>
    <d v="2025-05-12T00:00:00"/>
    <d v="2025-05-15T00:00:00"/>
    <d v="2025-06-08T00:00:00"/>
    <s v="Nestlé"/>
    <s v="Food"/>
    <s v="Switzerland"/>
    <s v="Singapore"/>
    <s v="Rotterdam"/>
    <x v="1"/>
    <s v="OOCL Hong Kong"/>
    <s v="20FT"/>
    <n v="2"/>
    <s v="Furniture"/>
    <n v="75993.56"/>
    <n v="19631.36"/>
    <n v="6035.07"/>
    <n v="1747.31"/>
    <n v="759.94"/>
    <n v="815.93"/>
    <n v="1789.33"/>
    <n v="45214.62"/>
    <n v="12"/>
    <s v="Weather"/>
    <n v="163.59"/>
    <s v="Delayed"/>
    <s v="Pending"/>
    <s v="Critical"/>
    <s v="A. Tan"/>
    <s v="North America"/>
    <d v="2025-05-01T00:00:00"/>
    <x v="8"/>
  </r>
  <r>
    <x v="735"/>
    <s v="BK50625"/>
    <d v="2025-04-02T00:00:00"/>
    <d v="2025-04-06T00:00:00"/>
    <d v="2025-05-02T00:00:00"/>
    <s v="Adidas"/>
    <s v="Retail"/>
    <s v="Germany"/>
    <s v="Colombo"/>
    <s v="Singapore"/>
    <x v="4"/>
    <s v="Mary Maersk"/>
    <s v="Reefer"/>
    <n v="4"/>
    <s v="Auto Parts"/>
    <n v="76030.720000000001"/>
    <n v="16607.91"/>
    <n v="5584.67"/>
    <n v="1065.71"/>
    <n v="760.31"/>
    <n v="663.37"/>
    <n v="1088.5999999999999"/>
    <n v="50260.15"/>
    <n v="48"/>
    <s v="Port Congestion"/>
    <n v="138.4"/>
    <s v="Delayed"/>
    <s v="Paid"/>
    <s v="High"/>
    <s v="L. Chen"/>
    <s v="North America"/>
    <d v="2025-04-01T00:00:00"/>
    <x v="3"/>
  </r>
  <r>
    <x v="736"/>
    <s v="BK50491"/>
    <d v="2025-02-11T00:00:00"/>
    <d v="2025-02-13T00:00:00"/>
    <d v="2025-03-05T00:00:00"/>
    <s v="Bosch"/>
    <s v="Manufacturing"/>
    <s v="Germany"/>
    <s v="Colombo"/>
    <s v="Singapore"/>
    <x v="4"/>
    <s v="Mary Maersk"/>
    <s v="Reefer"/>
    <n v="2"/>
    <s v="Food"/>
    <n v="76059.78"/>
    <n v="12631.8"/>
    <n v="5709.35"/>
    <n v="1557.87"/>
    <n v="760.6"/>
    <n v="415.59"/>
    <n v="2388.21"/>
    <n v="52596.36"/>
    <n v="24"/>
    <s v="Mechanical"/>
    <n v="105.27"/>
    <s v="Delayed"/>
    <s v="Paid"/>
    <s v="Critical"/>
    <s v="A. Tan"/>
    <s v="North America"/>
    <d v="2025-02-01T00:00:00"/>
    <x v="16"/>
  </r>
  <r>
    <x v="737"/>
    <s v="BK50197"/>
    <d v="2025-11-29T00:00:00"/>
    <d v="2025-11-30T00:00:00"/>
    <d v="2025-12-28T00:00:00"/>
    <s v="Samsung"/>
    <s v="Electronics"/>
    <s v="South Korea"/>
    <s v="Colombo"/>
    <s v="Singapore"/>
    <x v="4"/>
    <s v="Mumbai Maersk"/>
    <s v="Reefer"/>
    <n v="2"/>
    <s v="Textiles"/>
    <n v="76253.53"/>
    <n v="14096.05"/>
    <n v="3762.04"/>
    <n v="1742.51"/>
    <n v="762.54"/>
    <n v="181.27"/>
    <n v="1103.54"/>
    <n v="54605.58"/>
    <n v="24"/>
    <s v="Labor Strike"/>
    <n v="117.47"/>
    <s v="Delayed"/>
    <s v="Paid"/>
    <s v="Critical"/>
    <s v="A. Tan"/>
    <s v="North America"/>
    <d v="2025-11-01T00:00:00"/>
    <x v="17"/>
  </r>
  <r>
    <x v="738"/>
    <s v="BK50050"/>
    <d v="2025-04-04T00:00:00"/>
    <d v="2025-04-08T00:00:00"/>
    <d v="2025-04-28T00:00:00"/>
    <s v="Nestlé"/>
    <s v="Food"/>
    <s v="Switzerland"/>
    <s v="Jebel Ali"/>
    <s v="Nhava Sheva"/>
    <x v="0"/>
    <s v="Madrid Maersk"/>
    <s v="40FT"/>
    <n v="2"/>
    <s v="Auto Parts"/>
    <n v="76254.210000000006"/>
    <n v="17084.23"/>
    <n v="4672.34"/>
    <n v="1363.4"/>
    <n v="762.54"/>
    <n v="825.49"/>
    <n v="560.64"/>
    <n v="50985.57"/>
    <n v="24"/>
    <s v="Weather"/>
    <n v="142.37"/>
    <s v="Delayed"/>
    <s v="Paid"/>
    <s v="High"/>
    <s v="L. Chen"/>
    <s v="Europe"/>
    <d v="2025-04-01T00:00:00"/>
    <x v="16"/>
  </r>
  <r>
    <x v="739"/>
    <s v="BK50238"/>
    <d v="2025-10-07T00:00:00"/>
    <d v="2025-10-11T00:00:00"/>
    <d v="2025-11-05T00:00:00"/>
    <s v="Toyota"/>
    <s v="Automotive"/>
    <s v="Japan"/>
    <s v="Colombo"/>
    <s v="Singapore"/>
    <x v="4"/>
    <s v="Madrid Maersk"/>
    <s v="40FT"/>
    <n v="2"/>
    <s v="Food"/>
    <n v="76330.78"/>
    <n v="16134.07"/>
    <n v="4562.47"/>
    <n v="1347.54"/>
    <n v="763.31"/>
    <n v="861.62"/>
    <n v="1587.14"/>
    <n v="51074.63"/>
    <n v="48"/>
    <s v="Port Congestion"/>
    <n v="134.44999999999999"/>
    <s v="Delayed"/>
    <s v="Pending"/>
    <s v="Critical"/>
    <s v="L. Chen"/>
    <s v="Asia"/>
    <d v="2025-10-01T00:00:00"/>
    <x v="10"/>
  </r>
  <r>
    <x v="740"/>
    <s v="BK50421"/>
    <d v="2025-06-01T00:00:00"/>
    <d v="2025-06-05T00:00:00"/>
    <d v="2025-07-01T00:00:00"/>
    <s v="Siemens"/>
    <s v="Engineering"/>
    <s v="Germany"/>
    <s v="Busan"/>
    <s v="Rotterdam"/>
    <x v="2"/>
    <s v="Mary Maersk"/>
    <s v="20FT"/>
    <n v="4"/>
    <s v="Chemicals"/>
    <n v="76549.850000000006"/>
    <n v="14396.54"/>
    <n v="3707.65"/>
    <n v="1865.6"/>
    <n v="765.5"/>
    <n v="586.14"/>
    <n v="1303.3900000000001"/>
    <n v="53925.03"/>
    <n v="0"/>
    <s v="None"/>
    <n v="119.97"/>
    <s v="Completed"/>
    <s v="Pending"/>
    <s v="Standard"/>
    <s v="R. Mehta"/>
    <s v="Europe"/>
    <d v="2025-06-01T00:00:00"/>
    <x v="3"/>
  </r>
  <r>
    <x v="741"/>
    <s v="BK50785"/>
    <d v="2025-03-05T00:00:00"/>
    <d v="2025-03-09T00:00:00"/>
    <d v="2025-04-06T00:00:00"/>
    <s v="Siemens"/>
    <s v="Engineering"/>
    <s v="Germany"/>
    <s v="Colombo"/>
    <s v="Singapore"/>
    <x v="4"/>
    <s v="Madrid Maersk"/>
    <s v="High Cube"/>
    <n v="2"/>
    <s v="Electronics"/>
    <n v="76576.05"/>
    <n v="15870.21"/>
    <n v="3629.17"/>
    <n v="1614.71"/>
    <n v="765.76"/>
    <n v="122.76"/>
    <n v="1105.73"/>
    <n v="53467.71"/>
    <n v="0"/>
    <s v="None"/>
    <n v="132.25"/>
    <s v="Completed"/>
    <s v="Pending"/>
    <s v="High"/>
    <s v="M. Ahmed"/>
    <s v="Asia"/>
    <d v="2025-03-01T00:00:00"/>
    <x v="17"/>
  </r>
  <r>
    <x v="742"/>
    <s v="BK50446"/>
    <d v="2025-01-20T00:00:00"/>
    <d v="2025-01-23T00:00:00"/>
    <d v="2025-02-15T00:00:00"/>
    <s v="Samsung"/>
    <s v="Electronics"/>
    <s v="South Korea"/>
    <s v="Rotterdam"/>
    <s v="Rotterdam"/>
    <x v="2"/>
    <s v="MSC Gülsün"/>
    <s v="Reefer"/>
    <n v="4"/>
    <s v="Auto Parts"/>
    <n v="76743.81"/>
    <n v="16305.82"/>
    <n v="5993.26"/>
    <n v="1248.18"/>
    <n v="767.44"/>
    <n v="388.46"/>
    <n v="454.96"/>
    <n v="51585.69"/>
    <n v="0"/>
    <s v="None"/>
    <n v="135.88"/>
    <s v="Completed"/>
    <s v="Pending"/>
    <s v="High"/>
    <s v="L. Chen"/>
    <s v="Asia"/>
    <d v="2025-01-01T00:00:00"/>
    <x v="7"/>
  </r>
  <r>
    <x v="743"/>
    <s v="BK50781"/>
    <d v="2025-05-02T00:00:00"/>
    <d v="2025-05-04T00:00:00"/>
    <d v="2025-05-19T00:00:00"/>
    <s v="Pfizer"/>
    <s v="Pharma"/>
    <s v="USA"/>
    <s v="Jebel Ali"/>
    <s v="Nhava Sheva"/>
    <x v="0"/>
    <s v="Madrid Maersk"/>
    <s v="20FT"/>
    <n v="2"/>
    <s v="Chemicals"/>
    <n v="77204.95"/>
    <n v="21619.59"/>
    <n v="4070.59"/>
    <n v="1344.02"/>
    <n v="772.05"/>
    <n v="612.01"/>
    <n v="1254.8"/>
    <n v="47531.89"/>
    <n v="12"/>
    <s v="Weather"/>
    <n v="180.16"/>
    <s v="Delayed"/>
    <s v="Paid"/>
    <s v="Critical"/>
    <s v="L. Chen"/>
    <s v="North America"/>
    <d v="2025-05-01T00:00:00"/>
    <x v="6"/>
  </r>
  <r>
    <x v="744"/>
    <s v="BK50295"/>
    <d v="2025-02-23T00:00:00"/>
    <d v="2025-02-24T00:00:00"/>
    <d v="2025-03-24T00:00:00"/>
    <s v="Nestlé"/>
    <s v="Food"/>
    <s v="Switzerland"/>
    <s v="Singapore"/>
    <s v="Rotterdam"/>
    <x v="1"/>
    <s v="Monaco Maersk"/>
    <s v="High Cube"/>
    <n v="4"/>
    <s v="Food"/>
    <n v="77273.14"/>
    <n v="19995.27"/>
    <n v="5521.12"/>
    <n v="2184.06"/>
    <n v="772.73"/>
    <n v="207.26"/>
    <n v="1032.93"/>
    <n v="47559.77"/>
    <n v="0"/>
    <s v="None"/>
    <n v="166.63"/>
    <s v="Completed"/>
    <s v="Paid"/>
    <s v="Standard"/>
    <s v="M. Ahmed"/>
    <s v="Asia"/>
    <d v="2025-02-01T00:00:00"/>
    <x v="17"/>
  </r>
  <r>
    <x v="745"/>
    <s v="BK50617"/>
    <d v="2025-06-18T00:00:00"/>
    <d v="2025-06-20T00:00:00"/>
    <d v="2025-07-07T00:00:00"/>
    <s v="Siemens"/>
    <s v="Engineering"/>
    <s v="Germany"/>
    <s v="Busan"/>
    <s v="Los Angeles"/>
    <x v="3"/>
    <s v="Mary Maersk"/>
    <s v="40FT"/>
    <n v="2"/>
    <s v="Chemicals"/>
    <n v="77338.17"/>
    <n v="22718.080000000002"/>
    <n v="4815.12"/>
    <n v="1965.54"/>
    <n v="773.38"/>
    <n v="104.55"/>
    <n v="1779.78"/>
    <n v="45181.72"/>
    <n v="4"/>
    <s v="Labor Strike"/>
    <n v="189.32"/>
    <s v="Delayed"/>
    <s v="Paid"/>
    <s v="Critical"/>
    <s v="J. Smith"/>
    <s v="Asia"/>
    <d v="2025-06-01T00:00:00"/>
    <x v="18"/>
  </r>
  <r>
    <x v="746"/>
    <s v="BK50931"/>
    <d v="2025-01-18T00:00:00"/>
    <d v="2025-01-19T00:00:00"/>
    <d v="2025-02-09T00:00:00"/>
    <s v="Nestlé"/>
    <s v="Food"/>
    <s v="Switzerland"/>
    <s v="Colombo"/>
    <s v="Singapore"/>
    <x v="4"/>
    <s v="Monaco Maersk"/>
    <s v="40FT"/>
    <n v="2"/>
    <s v="Chemicals"/>
    <n v="77611.86"/>
    <n v="19681.89"/>
    <n v="3768.87"/>
    <n v="1045.43"/>
    <n v="776.12"/>
    <n v="498.34"/>
    <n v="783.57"/>
    <n v="51057.64"/>
    <n v="36"/>
    <s v="Customs"/>
    <n v="164.02"/>
    <s v="Delayed"/>
    <s v="Paid"/>
    <s v="Standard"/>
    <s v="L. Chen"/>
    <s v="Europe"/>
    <d v="2025-01-01T00:00:00"/>
    <x v="9"/>
  </r>
  <r>
    <x v="747"/>
    <s v="BK50843"/>
    <d v="2025-06-08T00:00:00"/>
    <d v="2025-06-11T00:00:00"/>
    <d v="2025-07-02T00:00:00"/>
    <s v="Amazon"/>
    <s v="E-commerce"/>
    <s v="USA"/>
    <s v="Hamburg"/>
    <s v="Nhava Sheva"/>
    <x v="2"/>
    <s v="CMA CGM Jacques Saadé"/>
    <s v="Reefer"/>
    <n v="2"/>
    <s v="Furniture"/>
    <n v="77767.64"/>
    <n v="13165.28"/>
    <n v="5718.59"/>
    <n v="1356.97"/>
    <n v="777.68"/>
    <n v="508.37"/>
    <n v="837.85"/>
    <n v="55402.9"/>
    <n v="24"/>
    <s v="Labor Strike"/>
    <n v="109.71"/>
    <s v="Delayed"/>
    <s v="Pending"/>
    <s v="High"/>
    <s v="L. Chen"/>
    <s v="Asia"/>
    <d v="2025-06-01T00:00:00"/>
    <x v="9"/>
  </r>
  <r>
    <x v="748"/>
    <s v="BK50199"/>
    <d v="2025-07-15T00:00:00"/>
    <d v="2025-07-17T00:00:00"/>
    <d v="2025-08-13T00:00:00"/>
    <s v="Samsung"/>
    <s v="Electronics"/>
    <s v="South Korea"/>
    <s v="Shanghai"/>
    <s v="Rotterdam"/>
    <x v="1"/>
    <s v="MSC Gülsün"/>
    <s v="High Cube"/>
    <n v="2"/>
    <s v="Auto Parts"/>
    <n v="77860.2"/>
    <n v="18498.91"/>
    <n v="3313.89"/>
    <n v="786.51"/>
    <n v="778.6"/>
    <n v="136.36000000000001"/>
    <n v="1544.35"/>
    <n v="52801.58"/>
    <n v="4"/>
    <s v="Customs"/>
    <n v="154.16"/>
    <s v="Delayed"/>
    <s v="Paid"/>
    <s v="Critical"/>
    <s v="M. Ahmed"/>
    <s v="Middle East"/>
    <d v="2025-07-01T00:00:00"/>
    <x v="2"/>
  </r>
  <r>
    <x v="749"/>
    <s v="BK50739"/>
    <d v="2025-12-19T00:00:00"/>
    <d v="2025-12-23T00:00:00"/>
    <d v="2026-01-17T00:00:00"/>
    <s v="Reliance"/>
    <s v="Retail"/>
    <s v="India"/>
    <s v="Singapore"/>
    <s v="Rotterdam"/>
    <x v="1"/>
    <s v="MSC Gülsün"/>
    <s v="20FT"/>
    <n v="4"/>
    <s v="Textiles"/>
    <n v="77872.45"/>
    <n v="12919.67"/>
    <n v="4360.5600000000004"/>
    <n v="1561.65"/>
    <n v="778.72"/>
    <n v="895.66"/>
    <n v="1761.27"/>
    <n v="55594.92"/>
    <n v="24"/>
    <s v="Weather"/>
    <n v="107.66"/>
    <s v="Delayed"/>
    <s v="Pending"/>
    <s v="Standard"/>
    <s v="J. Smith"/>
    <s v="Europe"/>
    <d v="2025-12-01T00:00:00"/>
    <x v="10"/>
  </r>
  <r>
    <x v="750"/>
    <s v="BK50729"/>
    <d v="2025-05-23T00:00:00"/>
    <d v="2025-05-26T00:00:00"/>
    <d v="2025-06-14T00:00:00"/>
    <s v="Adidas"/>
    <s v="Retail"/>
    <s v="Germany"/>
    <s v="Colombo"/>
    <s v="Singapore"/>
    <x v="4"/>
    <s v="MSC Gülsün"/>
    <s v="40FT"/>
    <n v="2"/>
    <s v="Food"/>
    <n v="77918.52"/>
    <n v="18903.05"/>
    <n v="4952.46"/>
    <n v="1522.13"/>
    <n v="779.19"/>
    <n v="266.11"/>
    <n v="1634.74"/>
    <n v="49860.84"/>
    <n v="12"/>
    <s v="Mechanical"/>
    <n v="157.53"/>
    <s v="Delayed"/>
    <s v="Paid"/>
    <s v="High"/>
    <s v="L. Chen"/>
    <s v="Asia"/>
    <d v="2025-05-01T00:00:00"/>
    <x v="11"/>
  </r>
  <r>
    <x v="751"/>
    <s v="BK50762"/>
    <d v="2025-11-04T00:00:00"/>
    <d v="2025-11-07T00:00:00"/>
    <d v="2025-12-02T00:00:00"/>
    <s v="Pfizer"/>
    <s v="Pharma"/>
    <s v="USA"/>
    <s v="Singapore"/>
    <s v="Rotterdam"/>
    <x v="1"/>
    <s v="MSC Gülsün"/>
    <s v="20FT"/>
    <n v="4"/>
    <s v="Textiles"/>
    <n v="77920.22"/>
    <n v="17442.98"/>
    <n v="4582.83"/>
    <n v="2248.58"/>
    <n v="779.2"/>
    <n v="791.41"/>
    <n v="2215.6799999999998"/>
    <n v="49859.54"/>
    <n v="0"/>
    <s v="None"/>
    <n v="145.36000000000001"/>
    <s v="Completed"/>
    <s v="Pending"/>
    <s v="Standard"/>
    <s v="A. Tan"/>
    <s v="Asia"/>
    <d v="2025-11-01T00:00:00"/>
    <x v="10"/>
  </r>
  <r>
    <x v="752"/>
    <s v="BK50126"/>
    <d v="2025-09-14T00:00:00"/>
    <d v="2025-09-18T00:00:00"/>
    <d v="2025-10-14T00:00:00"/>
    <s v="Unilever"/>
    <s v="FMCG"/>
    <s v="UK"/>
    <s v="Colombo"/>
    <s v="Singapore"/>
    <x v="4"/>
    <s v="Ever Ace"/>
    <s v="Reefer"/>
    <n v="4"/>
    <s v="Auto Parts"/>
    <n v="78091.63"/>
    <n v="20392.39"/>
    <n v="5231.45"/>
    <n v="1931.07"/>
    <n v="780.92"/>
    <n v="499.2"/>
    <n v="449.74"/>
    <n v="48806.86"/>
    <n v="36"/>
    <s v="Labor Strike"/>
    <n v="169.94"/>
    <s v="Delayed"/>
    <s v="Pending"/>
    <s v="High"/>
    <s v="R. Mehta"/>
    <s v="Europe"/>
    <d v="2025-09-01T00:00:00"/>
    <x v="3"/>
  </r>
  <r>
    <x v="753"/>
    <s v="BK50076"/>
    <d v="2025-08-29T00:00:00"/>
    <d v="2025-09-01T00:00:00"/>
    <d v="2025-09-27T00:00:00"/>
    <s v="IKEA"/>
    <s v="Retail"/>
    <s v="Sweden"/>
    <s v="Jebel Ali"/>
    <s v="Nhava Sheva"/>
    <x v="0"/>
    <s v="Madrid Maersk"/>
    <s v="High Cube"/>
    <n v="2"/>
    <s v="Chemicals"/>
    <n v="78123.44"/>
    <n v="23047.8"/>
    <n v="5359.36"/>
    <n v="1308.22"/>
    <n v="781.23"/>
    <n v="629.66999999999996"/>
    <n v="537.11"/>
    <n v="46460.05"/>
    <n v="0"/>
    <s v="None"/>
    <n v="192.06"/>
    <s v="Completed"/>
    <s v="Pending"/>
    <s v="Critical"/>
    <s v="A. Tan"/>
    <s v="Europe"/>
    <d v="2025-08-01T00:00:00"/>
    <x v="3"/>
  </r>
  <r>
    <x v="754"/>
    <s v="BK50763"/>
    <d v="2025-05-13T00:00:00"/>
    <d v="2025-05-15T00:00:00"/>
    <d v="2025-05-30T00:00:00"/>
    <s v="Amazon"/>
    <s v="E-commerce"/>
    <s v="USA"/>
    <s v="Los Angeles"/>
    <s v="Jebel Ali"/>
    <x v="2"/>
    <s v="Monaco Maersk"/>
    <s v="20FT"/>
    <n v="2"/>
    <s v="Furniture"/>
    <n v="78460.27"/>
    <n v="12964.49"/>
    <n v="5143.29"/>
    <n v="1946.49"/>
    <n v="784.6"/>
    <n v="328.6"/>
    <n v="759.08"/>
    <n v="56533.72"/>
    <n v="0"/>
    <s v="None"/>
    <n v="108.04"/>
    <s v="Completed"/>
    <s v="Pending"/>
    <s v="Standard"/>
    <s v="A. Tan"/>
    <s v="Asia"/>
    <d v="2025-05-01T00:00:00"/>
    <x v="6"/>
  </r>
  <r>
    <x v="755"/>
    <s v="BK50430"/>
    <d v="2025-11-15T00:00:00"/>
    <d v="2025-11-18T00:00:00"/>
    <d v="2025-12-07T00:00:00"/>
    <s v="LG"/>
    <s v="Electronics"/>
    <s v="South Korea"/>
    <s v="Colombo"/>
    <s v="Singapore"/>
    <x v="4"/>
    <s v="CMA CGM Jacques Saadé"/>
    <s v="Reefer"/>
    <n v="2"/>
    <s v="Machinery"/>
    <n v="78510.5"/>
    <n v="18559.509999999998"/>
    <n v="3709.34"/>
    <n v="2354.4899999999998"/>
    <n v="785.11"/>
    <n v="535.25"/>
    <n v="1990.47"/>
    <n v="50576.33"/>
    <n v="0"/>
    <s v="None"/>
    <n v="154.66"/>
    <s v="Completed"/>
    <s v="Paid"/>
    <s v="Standard"/>
    <s v="J. Smith"/>
    <s v="Europe"/>
    <d v="2025-11-01T00:00:00"/>
    <x v="11"/>
  </r>
  <r>
    <x v="756"/>
    <s v="BK50012"/>
    <d v="2025-08-29T00:00:00"/>
    <d v="2025-08-31T00:00:00"/>
    <d v="2025-09-26T00:00:00"/>
    <s v="IKEA"/>
    <s v="Retail"/>
    <s v="Sweden"/>
    <s v="Colombo"/>
    <s v="Singapore"/>
    <x v="4"/>
    <s v="Ever Ace"/>
    <s v="High Cube"/>
    <n v="2"/>
    <s v="Textiles"/>
    <n v="78606.11"/>
    <n v="22652.38"/>
    <n v="5424.17"/>
    <n v="1506.41"/>
    <n v="786.06"/>
    <n v="465.82"/>
    <n v="651.13"/>
    <n v="47120.14"/>
    <n v="36"/>
    <s v="Weather"/>
    <n v="188.77"/>
    <s v="Delayed"/>
    <s v="Paid"/>
    <s v="High"/>
    <s v="R. Mehta"/>
    <s v="North America"/>
    <d v="2025-08-01T00:00:00"/>
    <x v="3"/>
  </r>
  <r>
    <x v="757"/>
    <s v="BK50723"/>
    <d v="2025-06-07T00:00:00"/>
    <d v="2025-06-09T00:00:00"/>
    <d v="2025-07-03T00:00:00"/>
    <s v="Nestlé"/>
    <s v="Food"/>
    <s v="Switzerland"/>
    <s v="Colombo"/>
    <s v="Singapore"/>
    <x v="4"/>
    <s v="Ever Ace"/>
    <s v="High Cube"/>
    <n v="2"/>
    <s v="Auto Parts"/>
    <n v="78723.820000000007"/>
    <n v="14709.63"/>
    <n v="5745.7"/>
    <n v="1546.22"/>
    <n v="787.24"/>
    <n v="183.35"/>
    <n v="1171.8"/>
    <n v="54579.88"/>
    <n v="0"/>
    <s v="None"/>
    <n v="122.58"/>
    <s v="Completed"/>
    <s v="Pending"/>
    <s v="Critical"/>
    <s v="L. Chen"/>
    <s v="Middle East"/>
    <d v="2025-06-01T00:00:00"/>
    <x v="8"/>
  </r>
  <r>
    <x v="758"/>
    <s v="BK50829"/>
    <d v="2025-03-28T00:00:00"/>
    <d v="2025-04-01T00:00:00"/>
    <d v="2025-04-27T00:00:00"/>
    <s v="Adidas"/>
    <s v="Retail"/>
    <s v="Germany"/>
    <s v="Singapore"/>
    <s v="Colombo"/>
    <x v="2"/>
    <s v="MSC Gülsün"/>
    <s v="High Cube"/>
    <n v="2"/>
    <s v="Machinery"/>
    <n v="78982.06"/>
    <n v="14372.93"/>
    <n v="4296.1099999999997"/>
    <n v="2092.2600000000002"/>
    <n v="789.82"/>
    <n v="442.32"/>
    <n v="2387.1799999999998"/>
    <n v="54601.440000000002"/>
    <n v="0"/>
    <s v="None"/>
    <n v="119.77"/>
    <s v="Completed"/>
    <s v="Paid"/>
    <s v="High"/>
    <s v="L. Chen"/>
    <s v="Asia"/>
    <d v="2025-03-01T00:00:00"/>
    <x v="3"/>
  </r>
  <r>
    <x v="759"/>
    <s v="BK50977"/>
    <d v="2025-05-13T00:00:00"/>
    <d v="2025-05-16T00:00:00"/>
    <d v="2025-06-02T00:00:00"/>
    <s v="Adidas"/>
    <s v="Retail"/>
    <s v="Germany"/>
    <s v="Jebel Ali"/>
    <s v="Nhava Sheva"/>
    <x v="0"/>
    <s v="MSC Gülsün"/>
    <s v="20FT"/>
    <n v="2"/>
    <s v="Food"/>
    <n v="79010.63"/>
    <n v="13522.2"/>
    <n v="3861.05"/>
    <n v="1009.86"/>
    <n v="790.11"/>
    <n v="872.11"/>
    <n v="378.94"/>
    <n v="58576.36"/>
    <n v="0"/>
    <s v="None"/>
    <n v="112.69"/>
    <s v="Completed"/>
    <s v="Pending"/>
    <s v="Standard"/>
    <s v="J. Smith"/>
    <s v="Europe"/>
    <d v="2025-05-01T00:00:00"/>
    <x v="18"/>
  </r>
  <r>
    <x v="760"/>
    <s v="BK50975"/>
    <d v="2025-08-31T00:00:00"/>
    <d v="2025-09-01T00:00:00"/>
    <d v="2025-09-21T00:00:00"/>
    <s v="Nestlé"/>
    <s v="Food"/>
    <s v="Switzerland"/>
    <s v="Colombo"/>
    <s v="Hamburg"/>
    <x v="2"/>
    <s v="CMA CGM Jacques Saadé"/>
    <s v="40FT"/>
    <n v="2"/>
    <s v="Chemicals"/>
    <n v="79032.92"/>
    <n v="15056.83"/>
    <n v="3441.4"/>
    <n v="1702.27"/>
    <n v="790.33"/>
    <n v="750.7"/>
    <n v="1298.1300000000001"/>
    <n v="55993.26"/>
    <n v="24"/>
    <s v="Customs"/>
    <n v="125.47"/>
    <s v="Delayed"/>
    <s v="Paid"/>
    <s v="Standard"/>
    <s v="A. Tan"/>
    <s v="Europe"/>
    <d v="2025-08-01T00:00:00"/>
    <x v="16"/>
  </r>
  <r>
    <x v="761"/>
    <s v="BK50114"/>
    <d v="2025-10-09T00:00:00"/>
    <d v="2025-10-13T00:00:00"/>
    <d v="2025-10-24T00:00:00"/>
    <s v="Unilever"/>
    <s v="FMCG"/>
    <s v="UK"/>
    <s v="Hamburg"/>
    <s v="Jebel Ali"/>
    <x v="2"/>
    <s v="Monaco Maersk"/>
    <s v="High Cube"/>
    <n v="2"/>
    <s v="Chemicals"/>
    <n v="79082.62"/>
    <n v="19057.54"/>
    <n v="3578.21"/>
    <n v="1786.84"/>
    <n v="790.83"/>
    <n v="846.55"/>
    <n v="2156.98"/>
    <n v="50865.67"/>
    <n v="0"/>
    <s v="None"/>
    <n v="158.81"/>
    <s v="Completed"/>
    <s v="Pending"/>
    <s v="Standard"/>
    <s v="R. Mehta"/>
    <s v="Asia"/>
    <d v="2025-10-01T00:00:00"/>
    <x v="5"/>
  </r>
  <r>
    <x v="762"/>
    <s v="BK50067"/>
    <d v="2025-09-09T00:00:00"/>
    <d v="2025-09-12T00:00:00"/>
    <d v="2025-10-07T00:00:00"/>
    <s v="Bosch"/>
    <s v="Manufacturing"/>
    <s v="Germany"/>
    <s v="Nhava Sheva"/>
    <s v="Rotterdam"/>
    <x v="2"/>
    <s v="CMA CGM Jacques Saadé"/>
    <s v="Reefer"/>
    <n v="2"/>
    <s v="Food"/>
    <n v="79090.600000000006"/>
    <n v="17229.560000000001"/>
    <n v="3526.2"/>
    <n v="1688.79"/>
    <n v="790.91"/>
    <n v="608.19000000000005"/>
    <n v="1265.3399999999999"/>
    <n v="53981.61"/>
    <n v="24"/>
    <s v="Mechanical"/>
    <n v="143.58000000000001"/>
    <s v="Delayed"/>
    <s v="Paid"/>
    <s v="Critical"/>
    <s v="J. Smith"/>
    <s v="Europe"/>
    <d v="2025-09-01T00:00:00"/>
    <x v="10"/>
  </r>
  <r>
    <x v="763"/>
    <s v="BK50161"/>
    <d v="2025-10-27T00:00:00"/>
    <d v="2025-10-31T00:00:00"/>
    <d v="2025-11-28T00:00:00"/>
    <s v="Nestlé"/>
    <s v="Food"/>
    <s v="Switzerland"/>
    <s v="Singapore"/>
    <s v="New York"/>
    <x v="2"/>
    <s v="Mary Maersk"/>
    <s v="40FT"/>
    <n v="2"/>
    <s v="Textiles"/>
    <n v="79196.649999999994"/>
    <n v="17361.419999999998"/>
    <n v="5110.7299999999996"/>
    <n v="2137.2199999999998"/>
    <n v="791.97"/>
    <n v="458.95"/>
    <n v="1727.43"/>
    <n v="51608.93"/>
    <n v="0"/>
    <s v="None"/>
    <n v="144.68"/>
    <s v="Completed"/>
    <s v="Paid"/>
    <s v="High"/>
    <s v="A. Tan"/>
    <s v="Asia"/>
    <d v="2025-10-01T00:00:00"/>
    <x v="17"/>
  </r>
  <r>
    <x v="764"/>
    <s v="BK50298"/>
    <d v="2025-12-08T00:00:00"/>
    <d v="2025-12-09T00:00:00"/>
    <d v="2026-01-02T00:00:00"/>
    <s v="Nestlé"/>
    <s v="Food"/>
    <s v="Switzerland"/>
    <s v="Jebel Ali"/>
    <s v="Los Angeles"/>
    <x v="2"/>
    <s v="Mumbai Maersk"/>
    <s v="40FT"/>
    <n v="4"/>
    <s v="Textiles"/>
    <n v="79200.61"/>
    <n v="16738.27"/>
    <n v="5837.13"/>
    <n v="1888.1"/>
    <n v="792.01"/>
    <n v="420.46"/>
    <n v="1323.13"/>
    <n v="52201.51"/>
    <n v="48"/>
    <s v="Port Congestion"/>
    <n v="139.49"/>
    <s v="Delayed"/>
    <s v="Pending"/>
    <s v="High"/>
    <s v="R. Mehta"/>
    <s v="Europe"/>
    <d v="2025-12-01T00:00:00"/>
    <x v="8"/>
  </r>
  <r>
    <x v="765"/>
    <s v="BK50809"/>
    <d v="2025-03-24T00:00:00"/>
    <d v="2025-03-25T00:00:00"/>
    <d v="2025-04-11T00:00:00"/>
    <s v="Amazon"/>
    <s v="E-commerce"/>
    <s v="USA"/>
    <s v="Jebel Ali"/>
    <s v="Nhava Sheva"/>
    <x v="0"/>
    <s v="Ever Ace"/>
    <s v="High Cube"/>
    <n v="2"/>
    <s v="Auto Parts"/>
    <n v="79557.63"/>
    <n v="17877.03"/>
    <n v="6332.95"/>
    <n v="1792.14"/>
    <n v="795.58"/>
    <n v="367.1"/>
    <n v="1016.45"/>
    <n v="51376.38"/>
    <n v="36"/>
    <s v="Port Congestion"/>
    <n v="148.97999999999999"/>
    <s v="Delayed"/>
    <s v="Paid"/>
    <s v="Standard"/>
    <s v="A. Tan"/>
    <s v="Europe"/>
    <d v="2025-03-01T00:00:00"/>
    <x v="18"/>
  </r>
  <r>
    <x v="766"/>
    <s v="BK50686"/>
    <d v="2025-05-21T00:00:00"/>
    <d v="2025-05-22T00:00:00"/>
    <d v="2025-06-13T00:00:00"/>
    <s v="Pfizer"/>
    <s v="Pharma"/>
    <s v="USA"/>
    <s v="Busan"/>
    <s v="Los Angeles"/>
    <x v="3"/>
    <s v="Monaco Maersk"/>
    <s v="20FT"/>
    <n v="2"/>
    <s v="Food"/>
    <n v="79598.84"/>
    <n v="17046.34"/>
    <n v="4942.8999999999996"/>
    <n v="1909.03"/>
    <n v="795.99"/>
    <n v="422.2"/>
    <n v="1703.03"/>
    <n v="52779.35"/>
    <n v="4"/>
    <s v="Labor Strike"/>
    <n v="142.05000000000001"/>
    <s v="Delayed"/>
    <s v="Pending"/>
    <s v="Critical"/>
    <s v="L. Chen"/>
    <s v="North America"/>
    <d v="2025-05-01T00:00:00"/>
    <x v="4"/>
  </r>
  <r>
    <x v="767"/>
    <s v="BK50756"/>
    <d v="2025-02-12T00:00:00"/>
    <d v="2025-02-15T00:00:00"/>
    <d v="2025-03-12T00:00:00"/>
    <s v="Toyota"/>
    <s v="Automotive"/>
    <s v="Japan"/>
    <s v="New York"/>
    <s v="Busan"/>
    <x v="2"/>
    <s v="Madrid Maersk"/>
    <s v="40FT"/>
    <n v="2"/>
    <s v="Textiles"/>
    <n v="79754.429999999993"/>
    <n v="13700.84"/>
    <n v="4296.09"/>
    <n v="2170.66"/>
    <n v="797.54"/>
    <n v="454.35"/>
    <n v="2131.7600000000002"/>
    <n v="56203.19"/>
    <n v="0"/>
    <s v="None"/>
    <n v="114.17"/>
    <s v="Completed"/>
    <s v="Pending"/>
    <s v="High"/>
    <s v="A. Tan"/>
    <s v="Asia"/>
    <d v="2025-02-01T00:00:00"/>
    <x v="10"/>
  </r>
  <r>
    <x v="768"/>
    <s v="BK50615"/>
    <d v="2025-09-03T00:00:00"/>
    <d v="2025-09-05T00:00:00"/>
    <d v="2025-09-21T00:00:00"/>
    <s v="Adidas"/>
    <s v="Retail"/>
    <s v="Germany"/>
    <s v="Jebel Ali"/>
    <s v="Nhava Sheva"/>
    <x v="0"/>
    <s v="OOCL Hong Kong"/>
    <s v="High Cube"/>
    <n v="2"/>
    <s v="Electronics"/>
    <n v="79937.13"/>
    <n v="23387"/>
    <n v="4445.4799999999996"/>
    <n v="1952.94"/>
    <n v="799.37"/>
    <n v="436.22"/>
    <n v="1626.8"/>
    <n v="47289.32"/>
    <n v="0"/>
    <s v="None"/>
    <n v="194.89"/>
    <s v="Completed"/>
    <s v="Paid"/>
    <s v="Critical"/>
    <s v="L. Chen"/>
    <s v="Middle East"/>
    <d v="2025-09-01T00:00:00"/>
    <x v="0"/>
  </r>
  <r>
    <x v="769"/>
    <s v="BK50170"/>
    <d v="2025-04-27T00:00:00"/>
    <d v="2025-05-01T00:00:00"/>
    <d v="2025-05-20T00:00:00"/>
    <s v="Reliance"/>
    <s v="Retail"/>
    <s v="India"/>
    <s v="Los Angeles"/>
    <s v="Los Angeles"/>
    <x v="2"/>
    <s v="MSC Gülsün"/>
    <s v="20FT"/>
    <n v="2"/>
    <s v="Electronics"/>
    <n v="80092.44"/>
    <n v="21930.240000000002"/>
    <n v="3601.91"/>
    <n v="994.73"/>
    <n v="800.92"/>
    <n v="780.68"/>
    <n v="824.86"/>
    <n v="51159.1"/>
    <n v="48"/>
    <s v="Weather"/>
    <n v="182.75"/>
    <s v="Delayed"/>
    <s v="Pending"/>
    <s v="High"/>
    <s v="J. Smith"/>
    <s v="Middle East"/>
    <d v="2025-04-01T00:00:00"/>
    <x v="11"/>
  </r>
  <r>
    <x v="770"/>
    <s v="BK50307"/>
    <d v="2025-06-05T00:00:00"/>
    <d v="2025-06-08T00:00:00"/>
    <d v="2025-06-24T00:00:00"/>
    <s v="Amazon"/>
    <s v="E-commerce"/>
    <s v="USA"/>
    <s v="Busan"/>
    <s v="Los Angeles"/>
    <x v="3"/>
    <s v="CMA CGM Jacques Saadé"/>
    <s v="40FT"/>
    <n v="2"/>
    <s v="Furniture"/>
    <n v="80187.929999999993"/>
    <n v="17170.52"/>
    <n v="3572.72"/>
    <n v="1196.92"/>
    <n v="801.88"/>
    <n v="480.48"/>
    <n v="488.96"/>
    <n v="56476.45"/>
    <n v="24"/>
    <s v="Weather"/>
    <n v="143.09"/>
    <s v="Delayed"/>
    <s v="Paid"/>
    <s v="Critical"/>
    <s v="L. Chen"/>
    <s v="Asia"/>
    <d v="2025-06-01T00:00:00"/>
    <x v="0"/>
  </r>
  <r>
    <x v="771"/>
    <s v="BK50470"/>
    <d v="2025-06-08T00:00:00"/>
    <d v="2025-06-10T00:00:00"/>
    <d v="2025-06-29T00:00:00"/>
    <s v="Amazon"/>
    <s v="E-commerce"/>
    <s v="USA"/>
    <s v="Colombo"/>
    <s v="Singapore"/>
    <x v="4"/>
    <s v="Madrid Maersk"/>
    <s v="20FT"/>
    <n v="2"/>
    <s v="Machinery"/>
    <n v="80212.710000000006"/>
    <n v="13482.42"/>
    <n v="5383.93"/>
    <n v="1824.37"/>
    <n v="802.13"/>
    <n v="448.47"/>
    <n v="1856.16"/>
    <n v="56415.23"/>
    <n v="0"/>
    <s v="None"/>
    <n v="112.35"/>
    <s v="Completed"/>
    <s v="Paid"/>
    <s v="Standard"/>
    <s v="L. Chen"/>
    <s v="Europe"/>
    <d v="2025-06-01T00:00:00"/>
    <x v="11"/>
  </r>
  <r>
    <x v="772"/>
    <s v="BK50684"/>
    <d v="2025-06-15T00:00:00"/>
    <d v="2025-06-17T00:00:00"/>
    <d v="2025-07-09T00:00:00"/>
    <s v="Bosch"/>
    <s v="Manufacturing"/>
    <s v="Germany"/>
    <s v="Shanghai"/>
    <s v="Rotterdam"/>
    <x v="1"/>
    <s v="Ever Ace"/>
    <s v="40FT"/>
    <n v="4"/>
    <s v="Food"/>
    <n v="80261.320000000007"/>
    <n v="22452.81"/>
    <n v="3595.42"/>
    <n v="2131.08"/>
    <n v="802.61"/>
    <n v="129.71"/>
    <n v="2065.4"/>
    <n v="49084.29"/>
    <n v="0"/>
    <s v="None"/>
    <n v="187.11"/>
    <s v="Completed"/>
    <s v="Pending"/>
    <s v="Standard"/>
    <s v="J. Smith"/>
    <s v="Asia"/>
    <d v="2025-06-01T00:00:00"/>
    <x v="4"/>
  </r>
  <r>
    <x v="773"/>
    <s v="BK50185"/>
    <d v="2025-08-16T00:00:00"/>
    <d v="2025-08-17T00:00:00"/>
    <d v="2025-08-30T00:00:00"/>
    <s v="IKEA"/>
    <s v="Retail"/>
    <s v="Sweden"/>
    <s v="Los Angeles"/>
    <s v="Colombo"/>
    <x v="2"/>
    <s v="Mumbai Maersk"/>
    <s v="20FT"/>
    <n v="2"/>
    <s v="Textiles"/>
    <n v="80356.5"/>
    <n v="20784.830000000002"/>
    <n v="5052.78"/>
    <n v="1612.4"/>
    <n v="803.57"/>
    <n v="485.33"/>
    <n v="1143.2"/>
    <n v="50474.39"/>
    <n v="0"/>
    <s v="None"/>
    <n v="173.21"/>
    <s v="Completed"/>
    <s v="Paid"/>
    <s v="Standard"/>
    <s v="A. Tan"/>
    <s v="Middle East"/>
    <d v="2025-08-01T00:00:00"/>
    <x v="13"/>
  </r>
  <r>
    <x v="774"/>
    <s v="BK50062"/>
    <d v="2025-04-21T00:00:00"/>
    <d v="2025-04-24T00:00:00"/>
    <d v="2025-05-24T00:00:00"/>
    <s v="IKEA"/>
    <s v="Retail"/>
    <s v="Sweden"/>
    <s v="Colombo"/>
    <s v="Singapore"/>
    <x v="4"/>
    <s v="OOCL Hong Kong"/>
    <s v="Reefer"/>
    <n v="2"/>
    <s v="Textiles"/>
    <n v="80432.009999999995"/>
    <n v="20369.060000000001"/>
    <n v="4901.46"/>
    <n v="2322.59"/>
    <n v="804.32"/>
    <n v="827.3"/>
    <n v="1156.22"/>
    <n v="50051.06"/>
    <n v="48"/>
    <s v="Customs"/>
    <n v="169.74"/>
    <s v="Delayed"/>
    <s v="Pending"/>
    <s v="Critical"/>
    <s v="J. Smith"/>
    <s v="Middle East"/>
    <d v="2025-04-01T00:00:00"/>
    <x v="19"/>
  </r>
  <r>
    <x v="775"/>
    <s v="BK50265"/>
    <d v="2025-09-21T00:00:00"/>
    <d v="2025-09-22T00:00:00"/>
    <d v="2025-10-12T00:00:00"/>
    <s v="Pfizer"/>
    <s v="Pharma"/>
    <s v="USA"/>
    <s v="Singapore"/>
    <s v="Rotterdam"/>
    <x v="1"/>
    <s v="Ever Ace"/>
    <s v="High Cube"/>
    <n v="4"/>
    <s v="Textiles"/>
    <n v="80432.789999999994"/>
    <n v="13453.7"/>
    <n v="4651.57"/>
    <n v="2079.79"/>
    <n v="804.33"/>
    <n v="466.36"/>
    <n v="1816.52"/>
    <n v="57160.52"/>
    <n v="12"/>
    <s v="Mechanical"/>
    <n v="112.11"/>
    <s v="Delayed"/>
    <s v="Pending"/>
    <s v="Standard"/>
    <s v="A. Tan"/>
    <s v="Asia"/>
    <d v="2025-09-01T00:00:00"/>
    <x v="16"/>
  </r>
  <r>
    <x v="776"/>
    <s v="BK50440"/>
    <d v="2025-04-12T00:00:00"/>
    <d v="2025-04-16T00:00:00"/>
    <d v="2025-05-13T00:00:00"/>
    <s v="LG"/>
    <s v="Electronics"/>
    <s v="South Korea"/>
    <s v="Nhava Sheva"/>
    <s v="Busan"/>
    <x v="2"/>
    <s v="Mary Maersk"/>
    <s v="20FT"/>
    <n v="2"/>
    <s v="Electronics"/>
    <n v="80496.83"/>
    <n v="14397.77"/>
    <n v="4879.46"/>
    <n v="2072.37"/>
    <n v="804.97"/>
    <n v="584.59"/>
    <n v="1998.59"/>
    <n v="55759.08"/>
    <n v="0"/>
    <s v="None"/>
    <n v="119.98"/>
    <s v="Completed"/>
    <s v="Pending"/>
    <s v="High"/>
    <s v="L. Chen"/>
    <s v="North America"/>
    <d v="2025-04-01T00:00:00"/>
    <x v="2"/>
  </r>
  <r>
    <x v="777"/>
    <s v="BK50637"/>
    <d v="2025-05-01T00:00:00"/>
    <d v="2025-05-05T00:00:00"/>
    <d v="2025-05-28T00:00:00"/>
    <s v="Adidas"/>
    <s v="Retail"/>
    <s v="Germany"/>
    <s v="Busan"/>
    <s v="Los Angeles"/>
    <x v="3"/>
    <s v="CMA CGM Jacques Saadé"/>
    <s v="20FT"/>
    <n v="2"/>
    <s v="Electronics"/>
    <n v="80639.13"/>
    <n v="20755.32"/>
    <n v="4994.09"/>
    <n v="1392.54"/>
    <n v="806.39"/>
    <n v="324.22000000000003"/>
    <n v="1970.27"/>
    <n v="50396.3"/>
    <n v="12"/>
    <s v="Customs"/>
    <n v="172.96"/>
    <s v="Delayed"/>
    <s v="Paid"/>
    <s v="High"/>
    <s v="L. Chen"/>
    <s v="Europe"/>
    <d v="2025-05-01T00:00:00"/>
    <x v="7"/>
  </r>
  <r>
    <x v="778"/>
    <s v="BK50169"/>
    <d v="2025-03-23T00:00:00"/>
    <d v="2025-03-26T00:00:00"/>
    <d v="2025-04-23T00:00:00"/>
    <s v="LG"/>
    <s v="Electronics"/>
    <s v="South Korea"/>
    <s v="Busan"/>
    <s v="Los Angeles"/>
    <x v="3"/>
    <s v="Madrid Maersk"/>
    <s v="40FT"/>
    <n v="2"/>
    <s v="Machinery"/>
    <n v="80792.5"/>
    <n v="22084.81"/>
    <n v="4698.88"/>
    <n v="1827.76"/>
    <n v="807.93"/>
    <n v="176.17"/>
    <n v="707.14"/>
    <n v="50489.81"/>
    <n v="4"/>
    <s v="Weather"/>
    <n v="184.04"/>
    <s v="Delayed"/>
    <s v="Paid"/>
    <s v="Standard"/>
    <s v="J. Smith"/>
    <s v="Middle East"/>
    <d v="2025-03-01T00:00:00"/>
    <x v="17"/>
  </r>
  <r>
    <x v="779"/>
    <s v="BK50106"/>
    <d v="2025-10-15T00:00:00"/>
    <d v="2025-10-19T00:00:00"/>
    <d v="2025-11-07T00:00:00"/>
    <s v="Siemens"/>
    <s v="Engineering"/>
    <s v="Germany"/>
    <s v="Shanghai"/>
    <s v="Rotterdam"/>
    <x v="1"/>
    <s v="Monaco Maersk"/>
    <s v="High Cube"/>
    <n v="2"/>
    <s v="Machinery"/>
    <n v="80890.720000000001"/>
    <n v="13001.03"/>
    <n v="6095.58"/>
    <n v="1965.85"/>
    <n v="808.91"/>
    <n v="428.61"/>
    <n v="1685.39"/>
    <n v="56905.35"/>
    <n v="12"/>
    <s v="Customs"/>
    <n v="108.34"/>
    <s v="Delayed"/>
    <s v="Paid"/>
    <s v="Critical"/>
    <s v="R. Mehta"/>
    <s v="Middle East"/>
    <d v="2025-10-01T00:00:00"/>
    <x v="11"/>
  </r>
  <r>
    <x v="780"/>
    <s v="BK50498"/>
    <d v="2025-04-05T00:00:00"/>
    <d v="2025-04-08T00:00:00"/>
    <d v="2025-04-23T00:00:00"/>
    <s v="Toyota"/>
    <s v="Automotive"/>
    <s v="Japan"/>
    <s v="Colombo"/>
    <s v="Singapore"/>
    <x v="4"/>
    <s v="OOCL Hong Kong"/>
    <s v="40FT"/>
    <n v="4"/>
    <s v="Electronics"/>
    <n v="80955"/>
    <n v="15849.94"/>
    <n v="6313.18"/>
    <n v="2286.7800000000002"/>
    <n v="809.55"/>
    <n v="251.47"/>
    <n v="835.79"/>
    <n v="54608.29"/>
    <n v="0"/>
    <s v="None"/>
    <n v="132.08000000000001"/>
    <s v="Completed"/>
    <s v="Paid"/>
    <s v="High"/>
    <s v="A. Tan"/>
    <s v="Asia"/>
    <d v="2025-04-01T00:00:00"/>
    <x v="6"/>
  </r>
  <r>
    <x v="781"/>
    <s v="BK50056"/>
    <d v="2025-09-25T00:00:00"/>
    <d v="2025-09-27T00:00:00"/>
    <d v="2025-10-12T00:00:00"/>
    <s v="Bosch"/>
    <s v="Manufacturing"/>
    <s v="Germany"/>
    <s v="Shanghai"/>
    <s v="Rotterdam"/>
    <x v="1"/>
    <s v="MSC Gülsün"/>
    <s v="20FT"/>
    <n v="2"/>
    <s v="Food"/>
    <n v="81529.960000000006"/>
    <n v="17949.55"/>
    <n v="5182.1400000000003"/>
    <n v="1265.5899999999999"/>
    <n v="815.3"/>
    <n v="226.38"/>
    <n v="1852.23"/>
    <n v="54238.77"/>
    <n v="36"/>
    <s v="Mechanical"/>
    <n v="149.58000000000001"/>
    <s v="Delayed"/>
    <s v="Pending"/>
    <s v="High"/>
    <s v="J. Smith"/>
    <s v="Europe"/>
    <d v="2025-09-01T00:00:00"/>
    <x v="6"/>
  </r>
  <r>
    <x v="782"/>
    <s v="BK50940"/>
    <d v="2025-05-07T00:00:00"/>
    <d v="2025-05-11T00:00:00"/>
    <d v="2025-06-02T00:00:00"/>
    <s v="Amazon"/>
    <s v="E-commerce"/>
    <s v="USA"/>
    <s v="Busan"/>
    <s v="Los Angeles"/>
    <x v="3"/>
    <s v="Monaco Maersk"/>
    <s v="High Cube"/>
    <n v="2"/>
    <s v="Food"/>
    <n v="81859.27"/>
    <n v="20936.12"/>
    <n v="5475.35"/>
    <n v="1921.85"/>
    <n v="818.59"/>
    <n v="340.55"/>
    <n v="2370.31"/>
    <n v="49996.5"/>
    <n v="0"/>
    <s v="None"/>
    <n v="174.47"/>
    <s v="Completed"/>
    <s v="Paid"/>
    <s v="Critical"/>
    <s v="M. Ahmed"/>
    <s v="North America"/>
    <d v="2025-05-01T00:00:00"/>
    <x v="4"/>
  </r>
  <r>
    <x v="783"/>
    <s v="BK50818"/>
    <d v="2025-02-01T00:00:00"/>
    <d v="2025-02-04T00:00:00"/>
    <d v="2025-03-02T00:00:00"/>
    <s v="Unilever"/>
    <s v="FMCG"/>
    <s v="UK"/>
    <s v="Busan"/>
    <s v="Los Angeles"/>
    <x v="3"/>
    <s v="Mary Maersk"/>
    <s v="40FT"/>
    <n v="2"/>
    <s v="Furniture"/>
    <n v="82266.509999999995"/>
    <n v="23253.759999999998"/>
    <n v="6407.39"/>
    <n v="2324.81"/>
    <n v="822.67"/>
    <n v="745.77"/>
    <n v="1629.31"/>
    <n v="47082.8"/>
    <n v="4"/>
    <s v="Port Congestion"/>
    <n v="193.78"/>
    <s v="Delayed"/>
    <s v="Pending"/>
    <s v="High"/>
    <s v="L. Chen"/>
    <s v="Asia"/>
    <d v="2025-02-01T00:00:00"/>
    <x v="3"/>
  </r>
  <r>
    <x v="784"/>
    <s v="BK50872"/>
    <d v="2025-06-22T00:00:00"/>
    <d v="2025-06-23T00:00:00"/>
    <d v="2025-07-12T00:00:00"/>
    <s v="Reliance"/>
    <s v="Retail"/>
    <s v="India"/>
    <s v="Shanghai"/>
    <s v="Rotterdam"/>
    <x v="1"/>
    <s v="MSC Gülsün"/>
    <s v="40FT"/>
    <n v="2"/>
    <s v="Furniture"/>
    <n v="82704.679999999993"/>
    <n v="20204.86"/>
    <n v="4719.46"/>
    <n v="2409.8000000000002"/>
    <n v="827.05"/>
    <n v="774.81"/>
    <n v="1838.95"/>
    <n v="51929.75"/>
    <n v="0"/>
    <s v="None"/>
    <n v="168.37"/>
    <s v="Completed"/>
    <s v="Pending"/>
    <s v="Standard"/>
    <s v="A. Tan"/>
    <s v="Asia"/>
    <d v="2025-06-01T00:00:00"/>
    <x v="11"/>
  </r>
  <r>
    <x v="785"/>
    <s v="BK50183"/>
    <d v="2025-06-16T00:00:00"/>
    <d v="2025-06-17T00:00:00"/>
    <d v="2025-06-29T00:00:00"/>
    <s v="IKEA"/>
    <s v="Retail"/>
    <s v="Sweden"/>
    <s v="Singapore"/>
    <s v="Rotterdam"/>
    <x v="1"/>
    <s v="MSC Gülsün"/>
    <s v="20FT"/>
    <n v="2"/>
    <s v="Chemicals"/>
    <n v="82794.289999999994"/>
    <n v="13812.81"/>
    <n v="4501.57"/>
    <n v="1276.6400000000001"/>
    <n v="827.94"/>
    <n v="480.43"/>
    <n v="402.37"/>
    <n v="61492.53"/>
    <n v="4"/>
    <s v="Port Congestion"/>
    <n v="115.11"/>
    <s v="Delayed"/>
    <s v="Paid"/>
    <s v="Standard"/>
    <s v="A. Tan"/>
    <s v="Middle East"/>
    <d v="2025-06-01T00:00:00"/>
    <x v="12"/>
  </r>
  <r>
    <x v="786"/>
    <s v="BK50871"/>
    <d v="2025-02-15T00:00:00"/>
    <d v="2025-02-19T00:00:00"/>
    <d v="2025-03-18T00:00:00"/>
    <s v="Samsung"/>
    <s v="Electronics"/>
    <s v="South Korea"/>
    <s v="Jebel Ali"/>
    <s v="Nhava Sheva"/>
    <x v="0"/>
    <s v="Mumbai Maersk"/>
    <s v="Reefer"/>
    <n v="2"/>
    <s v="Textiles"/>
    <n v="82926.41"/>
    <n v="24661.96"/>
    <n v="5719.61"/>
    <n v="939.32"/>
    <n v="829.26"/>
    <n v="380.52"/>
    <n v="2470.15"/>
    <n v="47925.59"/>
    <n v="8"/>
    <s v="Mechanical"/>
    <n v="205.52"/>
    <s v="Delayed"/>
    <s v="Pending"/>
    <s v="Standard"/>
    <s v="L. Chen"/>
    <s v="Asia"/>
    <d v="2025-02-01T00:00:00"/>
    <x v="2"/>
  </r>
  <r>
    <x v="787"/>
    <s v="BK50978"/>
    <d v="2025-10-30T00:00:00"/>
    <d v="2025-11-01T00:00:00"/>
    <d v="2025-11-22T00:00:00"/>
    <s v="Unilever"/>
    <s v="FMCG"/>
    <s v="UK"/>
    <s v="Jebel Ali"/>
    <s v="Nhava Sheva"/>
    <x v="0"/>
    <s v="OOCL Hong Kong"/>
    <s v="High Cube"/>
    <n v="2"/>
    <s v="Food"/>
    <n v="83027.58"/>
    <n v="13632"/>
    <n v="4354.97"/>
    <n v="1511.59"/>
    <n v="830.28"/>
    <n v="667.97"/>
    <n v="384.49"/>
    <n v="61646.28"/>
    <n v="0"/>
    <s v="None"/>
    <n v="113.6"/>
    <s v="Completed"/>
    <s v="Pending"/>
    <s v="High"/>
    <s v="J. Smith"/>
    <s v="Europe"/>
    <d v="2025-10-01T00:00:00"/>
    <x v="9"/>
  </r>
  <r>
    <x v="788"/>
    <s v="BK50589"/>
    <d v="2025-11-16T00:00:00"/>
    <d v="2025-11-17T00:00:00"/>
    <d v="2025-12-07T00:00:00"/>
    <s v="Amazon"/>
    <s v="E-commerce"/>
    <s v="USA"/>
    <s v="Busan"/>
    <s v="Los Angeles"/>
    <x v="3"/>
    <s v="CMA CGM Jacques Saadé"/>
    <s v="Reefer"/>
    <n v="2"/>
    <s v="Chemicals"/>
    <n v="83060.789999999994"/>
    <n v="18390.12"/>
    <n v="5064.84"/>
    <n v="1481.19"/>
    <n v="830.61"/>
    <n v="675.58"/>
    <n v="1108.67"/>
    <n v="55509.78"/>
    <n v="24"/>
    <s v="Port Congestion"/>
    <n v="153.25"/>
    <s v="Delayed"/>
    <s v="Pending"/>
    <s v="Critical"/>
    <s v="M. Ahmed"/>
    <s v="North America"/>
    <d v="2025-11-01T00:00:00"/>
    <x v="16"/>
  </r>
  <r>
    <x v="789"/>
    <s v="BK50848"/>
    <d v="2025-06-19T00:00:00"/>
    <d v="2025-06-20T00:00:00"/>
    <d v="2025-07-10T00:00:00"/>
    <s v="Siemens"/>
    <s v="Engineering"/>
    <s v="Germany"/>
    <s v="Jebel Ali"/>
    <s v="Nhava Sheva"/>
    <x v="0"/>
    <s v="CMA CGM Jacques Saadé"/>
    <s v="40FT"/>
    <n v="4"/>
    <s v="Chemicals"/>
    <n v="83111.710000000006"/>
    <n v="22052.62"/>
    <n v="5904.71"/>
    <n v="2072.62"/>
    <n v="831.12"/>
    <n v="838.23"/>
    <n v="1148.02"/>
    <n v="50264.39"/>
    <n v="12"/>
    <s v="Weather"/>
    <n v="183.77"/>
    <s v="Delayed"/>
    <s v="Pending"/>
    <s v="Critical"/>
    <s v="R. Mehta"/>
    <s v="Asia"/>
    <d v="2025-06-01T00:00:00"/>
    <x v="16"/>
  </r>
  <r>
    <x v="790"/>
    <s v="BK50207"/>
    <d v="2025-03-15T00:00:00"/>
    <d v="2025-03-17T00:00:00"/>
    <d v="2025-03-27T00:00:00"/>
    <s v="Amazon"/>
    <s v="E-commerce"/>
    <s v="USA"/>
    <s v="Singapore"/>
    <s v="Rotterdam"/>
    <x v="1"/>
    <s v="Mary Maersk"/>
    <s v="20FT"/>
    <n v="2"/>
    <s v="Food"/>
    <n v="83184.7"/>
    <n v="15965.74"/>
    <n v="6552.62"/>
    <n v="2193.11"/>
    <n v="831.85"/>
    <n v="642.91999999999996"/>
    <n v="1152.6500000000001"/>
    <n v="55845.81"/>
    <n v="4"/>
    <s v="Weather"/>
    <n v="133.05000000000001"/>
    <s v="Delayed"/>
    <s v="Paid"/>
    <s v="Critical"/>
    <s v="A. Tan"/>
    <s v="Middle East"/>
    <d v="2025-03-01T00:00:00"/>
    <x v="15"/>
  </r>
  <r>
    <x v="791"/>
    <s v="BK50952"/>
    <d v="2025-08-15T00:00:00"/>
    <d v="2025-08-17T00:00:00"/>
    <d v="2025-09-10T00:00:00"/>
    <s v="Samsung"/>
    <s v="Electronics"/>
    <s v="South Korea"/>
    <s v="Singapore"/>
    <s v="Los Angeles"/>
    <x v="2"/>
    <s v="Monaco Maersk"/>
    <s v="20FT"/>
    <n v="2"/>
    <s v="Furniture"/>
    <n v="83383.63"/>
    <n v="18205.02"/>
    <n v="5022.2"/>
    <n v="1533.03"/>
    <n v="833.84"/>
    <n v="140.72"/>
    <n v="1946.91"/>
    <n v="55701.91"/>
    <n v="24"/>
    <s v="Mechanical"/>
    <n v="151.71"/>
    <s v="Delayed"/>
    <s v="Paid"/>
    <s v="Standard"/>
    <s v="L. Chen"/>
    <s v="Middle East"/>
    <d v="2025-08-01T00:00:00"/>
    <x v="8"/>
  </r>
  <r>
    <x v="792"/>
    <s v="BK50328"/>
    <d v="2025-10-20T00:00:00"/>
    <d v="2025-10-23T00:00:00"/>
    <d v="2025-11-04T00:00:00"/>
    <s v="Bosch"/>
    <s v="Manufacturing"/>
    <s v="Germany"/>
    <s v="Jebel Ali"/>
    <s v="Busan"/>
    <x v="2"/>
    <s v="MSC Gülsün"/>
    <s v="Reefer"/>
    <n v="4"/>
    <s v="Electronics"/>
    <n v="83628.94"/>
    <n v="22612.91"/>
    <n v="4329.09"/>
    <n v="1640.16"/>
    <n v="836.29"/>
    <n v="767.13"/>
    <n v="1824.68"/>
    <n v="51618.68"/>
    <n v="4"/>
    <s v="Port Congestion"/>
    <n v="188.44"/>
    <s v="Delayed"/>
    <s v="Paid"/>
    <s v="Standard"/>
    <s v="M. Ahmed"/>
    <s v="North America"/>
    <d v="2025-10-01T00:00:00"/>
    <x v="12"/>
  </r>
  <r>
    <x v="793"/>
    <s v="BK50575"/>
    <d v="2025-09-01T00:00:00"/>
    <d v="2025-09-02T00:00:00"/>
    <d v="2025-09-25T00:00:00"/>
    <s v="Adidas"/>
    <s v="Retail"/>
    <s v="Germany"/>
    <s v="Shanghai"/>
    <s v="Rotterdam"/>
    <x v="1"/>
    <s v="Monaco Maersk"/>
    <s v="Reefer"/>
    <n v="2"/>
    <s v="Chemicals"/>
    <n v="83834.13"/>
    <n v="18302.45"/>
    <n v="3574.12"/>
    <n v="2512.37"/>
    <n v="838.34"/>
    <n v="159.46"/>
    <n v="2190.14"/>
    <n v="56257.25"/>
    <n v="0"/>
    <s v="None"/>
    <n v="152.52000000000001"/>
    <s v="Completed"/>
    <s v="Pending"/>
    <s v="Critical"/>
    <s v="J. Smith"/>
    <s v="Middle East"/>
    <d v="2025-09-01T00:00:00"/>
    <x v="7"/>
  </r>
  <r>
    <x v="794"/>
    <s v="BK50840"/>
    <d v="2025-03-09T00:00:00"/>
    <d v="2025-03-12T00:00:00"/>
    <d v="2025-03-31T00:00:00"/>
    <s v="Reliance"/>
    <s v="Retail"/>
    <s v="India"/>
    <s v="Jebel Ali"/>
    <s v="Busan"/>
    <x v="2"/>
    <s v="Monaco Maersk"/>
    <s v="40FT"/>
    <n v="2"/>
    <s v="Chemicals"/>
    <n v="83861.16"/>
    <n v="17423.29"/>
    <n v="4973.75"/>
    <n v="1261.3900000000001"/>
    <n v="838.61"/>
    <n v="529.54999999999995"/>
    <n v="1288.74"/>
    <n v="57545.83"/>
    <n v="0"/>
    <s v="None"/>
    <n v="145.19"/>
    <s v="Completed"/>
    <s v="Paid"/>
    <s v="Standard"/>
    <s v="L. Chen"/>
    <s v="North America"/>
    <d v="2025-03-01T00:00:00"/>
    <x v="11"/>
  </r>
  <r>
    <x v="795"/>
    <s v="BK50581"/>
    <d v="2025-10-26T00:00:00"/>
    <d v="2025-10-28T00:00:00"/>
    <d v="2025-11-15T00:00:00"/>
    <s v="Reliance"/>
    <s v="Retail"/>
    <s v="India"/>
    <s v="Colombo"/>
    <s v="Rotterdam"/>
    <x v="2"/>
    <s v="Mary Maersk"/>
    <s v="40FT"/>
    <n v="4"/>
    <s v="Electronics"/>
    <n v="84266.2"/>
    <n v="18107.05"/>
    <n v="5175.21"/>
    <n v="1564.84"/>
    <n v="842.66"/>
    <n v="531.21"/>
    <n v="2018.3"/>
    <n v="56026.93"/>
    <n v="0"/>
    <s v="None"/>
    <n v="150.88999999999999"/>
    <s v="Completed"/>
    <s v="Pending"/>
    <s v="Critical"/>
    <s v="J. Smith"/>
    <s v="Middle East"/>
    <d v="2025-10-01T00:00:00"/>
    <x v="14"/>
  </r>
  <r>
    <x v="796"/>
    <s v="BK50911"/>
    <d v="2025-03-23T00:00:00"/>
    <d v="2025-03-24T00:00:00"/>
    <d v="2025-04-15T00:00:00"/>
    <s v="IKEA"/>
    <s v="Retail"/>
    <s v="Sweden"/>
    <s v="Shanghai"/>
    <s v="Rotterdam"/>
    <x v="1"/>
    <s v="MSC Gülsün"/>
    <s v="High Cube"/>
    <n v="2"/>
    <s v="Textiles"/>
    <n v="84376.36"/>
    <n v="22550.02"/>
    <n v="4307.83"/>
    <n v="1583.19"/>
    <n v="843.76"/>
    <n v="489.44"/>
    <n v="538.28"/>
    <n v="54063.839999999997"/>
    <n v="0"/>
    <s v="None"/>
    <n v="187.92"/>
    <s v="Completed"/>
    <s v="Paid"/>
    <s v="Standard"/>
    <s v="A. Tan"/>
    <s v="Europe"/>
    <d v="2025-03-01T00:00:00"/>
    <x v="4"/>
  </r>
  <r>
    <x v="797"/>
    <s v="BK50700"/>
    <d v="2025-03-28T00:00:00"/>
    <d v="2025-03-30T00:00:00"/>
    <d v="2025-04-20T00:00:00"/>
    <s v="Reliance"/>
    <s v="Retail"/>
    <s v="India"/>
    <s v="Shanghai"/>
    <s v="Rotterdam"/>
    <x v="1"/>
    <s v="Ever Ace"/>
    <s v="20FT"/>
    <n v="4"/>
    <s v="Auto Parts"/>
    <n v="84382.79"/>
    <n v="22261.439999999999"/>
    <n v="6595.46"/>
    <n v="1979.74"/>
    <n v="843.83"/>
    <n v="810.96"/>
    <n v="301.36"/>
    <n v="51590"/>
    <n v="48"/>
    <s v="Labor Strike"/>
    <n v="185.51"/>
    <s v="Delayed"/>
    <s v="Pending"/>
    <s v="High"/>
    <s v="L. Chen"/>
    <s v="Middle East"/>
    <d v="2025-03-01T00:00:00"/>
    <x v="9"/>
  </r>
  <r>
    <x v="798"/>
    <s v="BK50754"/>
    <d v="2025-02-15T00:00:00"/>
    <d v="2025-02-19T00:00:00"/>
    <d v="2025-03-09T00:00:00"/>
    <s v="Samsung"/>
    <s v="Electronics"/>
    <s v="South Korea"/>
    <s v="Los Angeles"/>
    <s v="Shanghai"/>
    <x v="2"/>
    <s v="MSC Gülsün"/>
    <s v="High Cube"/>
    <n v="2"/>
    <s v="Textiles"/>
    <n v="84478.57"/>
    <n v="14241.66"/>
    <n v="4899.41"/>
    <n v="1608.77"/>
    <n v="844.79"/>
    <n v="858.98"/>
    <n v="1161.24"/>
    <n v="60863.72"/>
    <n v="0"/>
    <s v="None"/>
    <n v="118.68"/>
    <s v="Completed"/>
    <s v="Pending"/>
    <s v="Critical"/>
    <s v="J. Smith"/>
    <s v="Middle East"/>
    <d v="2025-02-01T00:00:00"/>
    <x v="14"/>
  </r>
  <r>
    <x v="799"/>
    <s v="BK50539"/>
    <d v="2025-10-25T00:00:00"/>
    <d v="2025-10-26T00:00:00"/>
    <d v="2025-11-20T00:00:00"/>
    <s v="IKEA"/>
    <s v="Retail"/>
    <s v="Sweden"/>
    <s v="Jebel Ali"/>
    <s v="Nhava Sheva"/>
    <x v="0"/>
    <s v="Ever Ace"/>
    <s v="40FT"/>
    <n v="4"/>
    <s v="Auto Parts"/>
    <n v="84506.99"/>
    <n v="21382.03"/>
    <n v="5501.23"/>
    <n v="1093.19"/>
    <n v="845.07"/>
    <n v="533.91"/>
    <n v="371.72"/>
    <n v="54779.839999999997"/>
    <n v="36"/>
    <s v="Customs"/>
    <n v="178.18"/>
    <s v="Delayed"/>
    <s v="Pending"/>
    <s v="Critical"/>
    <s v="R. Mehta"/>
    <s v="North America"/>
    <d v="2025-10-01T00:00:00"/>
    <x v="10"/>
  </r>
  <r>
    <x v="800"/>
    <s v="BK50836"/>
    <d v="2025-04-21T00:00:00"/>
    <d v="2025-04-23T00:00:00"/>
    <d v="2025-05-08T00:00:00"/>
    <s v="Amazon"/>
    <s v="E-commerce"/>
    <s v="USA"/>
    <s v="Jebel Ali"/>
    <s v="Nhava Sheva"/>
    <x v="0"/>
    <s v="Monaco Maersk"/>
    <s v="High Cube"/>
    <n v="2"/>
    <s v="Chemicals"/>
    <n v="84590.2"/>
    <n v="17240.419999999998"/>
    <n v="4071.64"/>
    <n v="1587.15"/>
    <n v="845.9"/>
    <n v="240.96"/>
    <n v="1128.21"/>
    <n v="59475.92"/>
    <n v="8"/>
    <s v="Weather"/>
    <n v="143.66999999999999"/>
    <s v="Delayed"/>
    <s v="Pending"/>
    <s v="Standard"/>
    <s v="A. Tan"/>
    <s v="Asia"/>
    <d v="2025-04-01T00:00:00"/>
    <x v="6"/>
  </r>
  <r>
    <x v="801"/>
    <s v="BK50042"/>
    <d v="2025-12-22T00:00:00"/>
    <d v="2025-12-26T00:00:00"/>
    <d v="2026-01-06T00:00:00"/>
    <s v="Toyota"/>
    <s v="Automotive"/>
    <s v="Japan"/>
    <s v="Jebel Ali"/>
    <s v="Nhava Sheva"/>
    <x v="0"/>
    <s v="Mumbai Maersk"/>
    <s v="40FT"/>
    <n v="2"/>
    <s v="Auto Parts"/>
    <n v="84805.6"/>
    <n v="24312.15"/>
    <n v="5823.13"/>
    <n v="1954.19"/>
    <n v="848.06"/>
    <n v="683.38"/>
    <n v="1184.3699999999999"/>
    <n v="50000.32"/>
    <n v="12"/>
    <s v="Port Congestion"/>
    <n v="202.6"/>
    <s v="Delayed"/>
    <s v="Pending"/>
    <s v="High"/>
    <s v="J. Smith"/>
    <s v="North America"/>
    <d v="2025-12-01T00:00:00"/>
    <x v="5"/>
  </r>
  <r>
    <x v="802"/>
    <s v="BK50115"/>
    <d v="2025-11-08T00:00:00"/>
    <d v="2025-11-11T00:00:00"/>
    <d v="2025-12-04T00:00:00"/>
    <s v="Toyota"/>
    <s v="Automotive"/>
    <s v="Japan"/>
    <s v="Jebel Ali"/>
    <s v="Nhava Sheva"/>
    <x v="0"/>
    <s v="OOCL Hong Kong"/>
    <s v="High Cube"/>
    <n v="2"/>
    <s v="Textiles"/>
    <n v="84810.92"/>
    <n v="15637.59"/>
    <n v="4483.53"/>
    <n v="1107.58"/>
    <n v="848.11"/>
    <n v="609.47"/>
    <n v="1658.3"/>
    <n v="60466.34"/>
    <n v="0"/>
    <s v="None"/>
    <n v="130.31"/>
    <s v="Completed"/>
    <s v="Paid"/>
    <s v="High"/>
    <s v="L. Chen"/>
    <s v="North America"/>
    <d v="2025-11-01T00:00:00"/>
    <x v="7"/>
  </r>
  <r>
    <x v="803"/>
    <s v="BK50885"/>
    <d v="2025-09-08T00:00:00"/>
    <d v="2025-09-11T00:00:00"/>
    <d v="2025-10-08T00:00:00"/>
    <s v="Toyota"/>
    <s v="Automotive"/>
    <s v="Japan"/>
    <s v="Singapore"/>
    <s v="Rotterdam"/>
    <x v="1"/>
    <s v="Monaco Maersk"/>
    <s v="High Cube"/>
    <n v="2"/>
    <s v="Electronics"/>
    <n v="84862.71"/>
    <n v="24532.720000000001"/>
    <n v="4456.88"/>
    <n v="2432.91"/>
    <n v="848.63"/>
    <n v="639.29999999999995"/>
    <n v="1120.55"/>
    <n v="50831.72"/>
    <n v="12"/>
    <s v="Weather"/>
    <n v="204.44"/>
    <s v="Delayed"/>
    <s v="Pending"/>
    <s v="Critical"/>
    <s v="A. Tan"/>
    <s v="North America"/>
    <d v="2025-09-01T00:00:00"/>
    <x v="2"/>
  </r>
  <r>
    <x v="804"/>
    <s v="BK50986"/>
    <d v="2025-11-18T00:00:00"/>
    <d v="2025-11-22T00:00:00"/>
    <d v="2025-12-11T00:00:00"/>
    <s v="Samsung"/>
    <s v="Electronics"/>
    <s v="South Korea"/>
    <s v="Shanghai"/>
    <s v="Rotterdam"/>
    <x v="1"/>
    <s v="Madrid Maersk"/>
    <s v="High Cube"/>
    <n v="2"/>
    <s v="Machinery"/>
    <n v="84912.46"/>
    <n v="24590.1"/>
    <n v="3755.25"/>
    <n v="2016.84"/>
    <n v="849.12"/>
    <n v="731.42"/>
    <n v="1323.16"/>
    <n v="51646.57"/>
    <n v="8"/>
    <s v="Mechanical"/>
    <n v="204.92"/>
    <s v="Delayed"/>
    <s v="Pending"/>
    <s v="High"/>
    <s v="M. Ahmed"/>
    <s v="North America"/>
    <d v="2025-11-01T00:00:00"/>
    <x v="11"/>
  </r>
  <r>
    <x v="805"/>
    <s v="BK50299"/>
    <d v="2025-04-11T00:00:00"/>
    <d v="2025-04-13T00:00:00"/>
    <d v="2025-05-08T00:00:00"/>
    <s v="Amazon"/>
    <s v="E-commerce"/>
    <s v="USA"/>
    <s v="Jebel Ali"/>
    <s v="Nhava Sheva"/>
    <x v="0"/>
    <s v="OOCL Hong Kong"/>
    <s v="Reefer"/>
    <n v="2"/>
    <s v="Furniture"/>
    <n v="85013.03"/>
    <n v="25467.18"/>
    <n v="3855.91"/>
    <n v="880.22"/>
    <n v="850.13"/>
    <n v="746.52"/>
    <n v="2085.86"/>
    <n v="51127.21"/>
    <n v="0"/>
    <s v="None"/>
    <n v="212.23"/>
    <s v="Completed"/>
    <s v="Paid"/>
    <s v="Standard"/>
    <s v="A. Tan"/>
    <s v="Europe"/>
    <d v="2025-04-01T00:00:00"/>
    <x v="10"/>
  </r>
  <r>
    <x v="806"/>
    <s v="BK50206"/>
    <d v="2025-08-11T00:00:00"/>
    <d v="2025-08-12T00:00:00"/>
    <d v="2025-08-31T00:00:00"/>
    <s v="IKEA"/>
    <s v="Retail"/>
    <s v="Sweden"/>
    <s v="Singapore"/>
    <s v="Rotterdam"/>
    <x v="1"/>
    <s v="CMA CGM Jacques Saadé"/>
    <s v="40FT"/>
    <n v="2"/>
    <s v="Electronics"/>
    <n v="85099.61"/>
    <n v="19006.560000000001"/>
    <n v="4448.49"/>
    <n v="2048.4699999999998"/>
    <n v="851"/>
    <n v="485.17"/>
    <n v="740.84"/>
    <n v="57519.08"/>
    <n v="0"/>
    <s v="None"/>
    <n v="158.38999999999999"/>
    <s v="Completed"/>
    <s v="Pending"/>
    <s v="Critical"/>
    <s v="L. Chen"/>
    <s v="Asia"/>
    <d v="2025-08-01T00:00:00"/>
    <x v="11"/>
  </r>
  <r>
    <x v="807"/>
    <s v="BK50622"/>
    <d v="2025-04-11T00:00:00"/>
    <d v="2025-04-15T00:00:00"/>
    <d v="2025-05-09T00:00:00"/>
    <s v="IKEA"/>
    <s v="Retail"/>
    <s v="Sweden"/>
    <s v="Colombo"/>
    <s v="Jebel Ali"/>
    <x v="2"/>
    <s v="MSC Gülsün"/>
    <s v="High Cube"/>
    <n v="2"/>
    <s v="Auto Parts"/>
    <n v="85453.82"/>
    <n v="16774.259999999998"/>
    <n v="4902.88"/>
    <n v="1183.3"/>
    <n v="854.54"/>
    <n v="196.69"/>
    <n v="1199.4000000000001"/>
    <n v="60342.75"/>
    <n v="36"/>
    <s v="Port Congestion"/>
    <n v="139.79"/>
    <s v="Delayed"/>
    <s v="Paid"/>
    <s v="Critical"/>
    <s v="L. Chen"/>
    <s v="Europe"/>
    <d v="2025-04-01T00:00:00"/>
    <x v="8"/>
  </r>
  <r>
    <x v="808"/>
    <s v="BK50313"/>
    <d v="2025-12-26T00:00:00"/>
    <d v="2025-12-27T00:00:00"/>
    <d v="2026-01-11T00:00:00"/>
    <s v="Bosch"/>
    <s v="Manufacturing"/>
    <s v="Germany"/>
    <s v="Jebel Ali"/>
    <s v="Nhava Sheva"/>
    <x v="0"/>
    <s v="Mumbai Maersk"/>
    <s v="20FT"/>
    <n v="2"/>
    <s v="Textiles"/>
    <n v="85554.53"/>
    <n v="23649.31"/>
    <n v="4624.79"/>
    <n v="1606.5"/>
    <n v="855.55"/>
    <n v="742.49"/>
    <n v="337.78"/>
    <n v="53738.11"/>
    <n v="0"/>
    <s v="None"/>
    <n v="197.08"/>
    <s v="Completed"/>
    <s v="Paid"/>
    <s v="High"/>
    <s v="M. Ahmed"/>
    <s v="Asia"/>
    <d v="2025-12-01T00:00:00"/>
    <x v="6"/>
  </r>
  <r>
    <x v="809"/>
    <s v="BK50459"/>
    <d v="2025-07-21T00:00:00"/>
    <d v="2025-07-23T00:00:00"/>
    <d v="2025-08-08T00:00:00"/>
    <s v="LG"/>
    <s v="Electronics"/>
    <s v="South Korea"/>
    <s v="Shanghai"/>
    <s v="Rotterdam"/>
    <x v="1"/>
    <s v="Monaco Maersk"/>
    <s v="40FT"/>
    <n v="4"/>
    <s v="Auto Parts"/>
    <n v="85557.79"/>
    <n v="18045.7"/>
    <n v="4729.54"/>
    <n v="2326.29"/>
    <n v="855.58"/>
    <n v="295.35000000000002"/>
    <n v="2051.09"/>
    <n v="57254.239999999998"/>
    <n v="0"/>
    <s v="None"/>
    <n v="150.38"/>
    <s v="Completed"/>
    <s v="Pending"/>
    <s v="High"/>
    <s v="A. Tan"/>
    <s v="Europe"/>
    <d v="2025-07-01T00:00:00"/>
    <x v="0"/>
  </r>
  <r>
    <x v="810"/>
    <s v="BK50467"/>
    <d v="2025-07-04T00:00:00"/>
    <d v="2025-07-06T00:00:00"/>
    <d v="2025-07-24T00:00:00"/>
    <s v="Unilever"/>
    <s v="FMCG"/>
    <s v="UK"/>
    <s v="Singapore"/>
    <s v="Los Angeles"/>
    <x v="2"/>
    <s v="CMA CGM Jacques Saadé"/>
    <s v="Reefer"/>
    <n v="4"/>
    <s v="Food"/>
    <n v="85639.08"/>
    <n v="15517.32"/>
    <n v="5507.66"/>
    <n v="1461.55"/>
    <n v="856.39"/>
    <n v="356.87"/>
    <n v="2296.5300000000002"/>
    <n v="59642.76"/>
    <n v="48"/>
    <s v="Customs"/>
    <n v="129.31"/>
    <s v="Delayed"/>
    <s v="Pending"/>
    <s v="High"/>
    <s v="R. Mehta"/>
    <s v="Asia"/>
    <d v="2025-07-01T00:00:00"/>
    <x v="14"/>
  </r>
  <r>
    <x v="811"/>
    <s v="BK50460"/>
    <d v="2025-01-02T00:00:00"/>
    <d v="2025-01-05T00:00:00"/>
    <d v="2025-01-22T00:00:00"/>
    <s v="Siemens"/>
    <s v="Engineering"/>
    <s v="Germany"/>
    <s v="Singapore"/>
    <s v="New York"/>
    <x v="2"/>
    <s v="Madrid Maersk"/>
    <s v="20FT"/>
    <n v="4"/>
    <s v="Textiles"/>
    <n v="85672.53"/>
    <n v="22997.46"/>
    <n v="5573.63"/>
    <n v="1094.6199999999999"/>
    <n v="856.73"/>
    <n v="207.37"/>
    <n v="1796.66"/>
    <n v="53146.06"/>
    <n v="0"/>
    <s v="None"/>
    <n v="191.65"/>
    <s v="Completed"/>
    <s v="Paid"/>
    <s v="Critical"/>
    <s v="J. Smith"/>
    <s v="Asia"/>
    <d v="2025-01-01T00:00:00"/>
    <x v="18"/>
  </r>
  <r>
    <x v="812"/>
    <s v="BK50862"/>
    <d v="2025-05-11T00:00:00"/>
    <d v="2025-05-14T00:00:00"/>
    <d v="2025-06-07T00:00:00"/>
    <s v="Unilever"/>
    <s v="FMCG"/>
    <s v="UK"/>
    <s v="Los Angeles"/>
    <s v="Shanghai"/>
    <x v="2"/>
    <s v="OOCL Hong Kong"/>
    <s v="20FT"/>
    <n v="2"/>
    <s v="Electronics"/>
    <n v="85891.22"/>
    <n v="18681.509999999998"/>
    <n v="3981.79"/>
    <n v="2134.2399999999998"/>
    <n v="858.91"/>
    <n v="117.64"/>
    <n v="1030.9100000000001"/>
    <n v="59086.22"/>
    <n v="48"/>
    <s v="Mechanical"/>
    <n v="155.68"/>
    <s v="Delayed"/>
    <s v="Paid"/>
    <s v="High"/>
    <s v="R. Mehta"/>
    <s v="Middle East"/>
    <d v="2025-05-01T00:00:00"/>
    <x v="8"/>
  </r>
  <r>
    <x v="813"/>
    <s v="BK50029"/>
    <d v="2025-08-21T00:00:00"/>
    <d v="2025-08-24T00:00:00"/>
    <d v="2025-09-20T00:00:00"/>
    <s v="Amazon"/>
    <s v="E-commerce"/>
    <s v="USA"/>
    <s v="Busan"/>
    <s v="Los Angeles"/>
    <x v="3"/>
    <s v="CMA CGM Jacques Saadé"/>
    <s v="40FT"/>
    <n v="2"/>
    <s v="Textiles"/>
    <n v="85938.559999999998"/>
    <n v="14391.58"/>
    <n v="3642.72"/>
    <n v="1592.36"/>
    <n v="859.39"/>
    <n v="740.64"/>
    <n v="1314.97"/>
    <n v="63396.9"/>
    <n v="0"/>
    <s v="None"/>
    <n v="119.93"/>
    <s v="Completed"/>
    <s v="Pending"/>
    <s v="Critical"/>
    <s v="J. Smith"/>
    <s v="Europe"/>
    <d v="2025-08-01T00:00:00"/>
    <x v="2"/>
  </r>
  <r>
    <x v="814"/>
    <s v="BK50847"/>
    <d v="2025-05-21T00:00:00"/>
    <d v="2025-05-22T00:00:00"/>
    <d v="2025-06-02T00:00:00"/>
    <s v="Adidas"/>
    <s v="Retail"/>
    <s v="Germany"/>
    <s v="Busan"/>
    <s v="Los Angeles"/>
    <x v="3"/>
    <s v="Mary Maersk"/>
    <s v="40FT"/>
    <n v="2"/>
    <s v="Electronics"/>
    <n v="85944.66"/>
    <n v="15390.86"/>
    <n v="6568.21"/>
    <n v="1478.98"/>
    <n v="859.45"/>
    <n v="572.49"/>
    <n v="1295.74"/>
    <n v="59778.93"/>
    <n v="0"/>
    <s v="None"/>
    <n v="128.26"/>
    <s v="Completed"/>
    <s v="Paid"/>
    <s v="High"/>
    <s v="M. Ahmed"/>
    <s v="Middle East"/>
    <d v="2025-05-01T00:00:00"/>
    <x v="5"/>
  </r>
  <r>
    <x v="815"/>
    <s v="BK50970"/>
    <d v="2025-09-26T00:00:00"/>
    <d v="2025-09-29T00:00:00"/>
    <d v="2025-10-17T00:00:00"/>
    <s v="Toyota"/>
    <s v="Automotive"/>
    <s v="Japan"/>
    <s v="Shanghai"/>
    <s v="Rotterdam"/>
    <x v="1"/>
    <s v="Mary Maersk"/>
    <s v="High Cube"/>
    <n v="2"/>
    <s v="Furniture"/>
    <n v="86220.26"/>
    <n v="21669.4"/>
    <n v="4826.51"/>
    <n v="1688.5"/>
    <n v="862.2"/>
    <n v="296.22000000000003"/>
    <n v="782.93"/>
    <n v="56094.5"/>
    <n v="0"/>
    <s v="None"/>
    <n v="180.58"/>
    <s v="Completed"/>
    <s v="Paid"/>
    <s v="Critical"/>
    <s v="M. Ahmed"/>
    <s v="Middle East"/>
    <d v="2025-09-01T00:00:00"/>
    <x v="14"/>
  </r>
  <r>
    <x v="816"/>
    <s v="BK50876"/>
    <d v="2025-10-22T00:00:00"/>
    <d v="2025-10-26T00:00:00"/>
    <d v="2025-11-11T00:00:00"/>
    <s v="Reliance"/>
    <s v="Retail"/>
    <s v="India"/>
    <s v="Singapore"/>
    <s v="Rotterdam"/>
    <x v="1"/>
    <s v="Madrid Maersk"/>
    <s v="40FT"/>
    <n v="2"/>
    <s v="Electronics"/>
    <n v="86462.31"/>
    <n v="24173.59"/>
    <n v="3553.12"/>
    <n v="2569.35"/>
    <n v="864.62"/>
    <n v="598.73"/>
    <n v="1975.22"/>
    <n v="52727.68"/>
    <n v="24"/>
    <s v="Labor Strike"/>
    <n v="201.45"/>
    <s v="Delayed"/>
    <s v="Pending"/>
    <s v="Critical"/>
    <s v="J. Smith"/>
    <s v="Asia"/>
    <d v="2025-10-01T00:00:00"/>
    <x v="0"/>
  </r>
  <r>
    <x v="817"/>
    <s v="BK50302"/>
    <d v="2025-08-01T00:00:00"/>
    <d v="2025-08-05T00:00:00"/>
    <d v="2025-08-17T00:00:00"/>
    <s v="Toyota"/>
    <s v="Automotive"/>
    <s v="Japan"/>
    <s v="Singapore"/>
    <s v="Rotterdam"/>
    <x v="1"/>
    <s v="Mumbai Maersk"/>
    <s v="20FT"/>
    <n v="2"/>
    <s v="Furniture"/>
    <n v="86467.06"/>
    <n v="14735.83"/>
    <n v="4710.07"/>
    <n v="1778.35"/>
    <n v="864.67"/>
    <n v="364.18"/>
    <n v="2347.96"/>
    <n v="61666"/>
    <n v="8"/>
    <s v="Customs"/>
    <n v="122.8"/>
    <s v="Delayed"/>
    <s v="Paid"/>
    <s v="High"/>
    <s v="A. Tan"/>
    <s v="North America"/>
    <d v="2025-08-01T00:00:00"/>
    <x v="12"/>
  </r>
  <r>
    <x v="818"/>
    <s v="BK50458"/>
    <d v="2025-01-20T00:00:00"/>
    <d v="2025-01-24T00:00:00"/>
    <d v="2025-02-07T00:00:00"/>
    <s v="Nestlé"/>
    <s v="Food"/>
    <s v="Switzerland"/>
    <s v="Shanghai"/>
    <s v="Colombo"/>
    <x v="2"/>
    <s v="CMA CGM Jacques Saadé"/>
    <s v="20FT"/>
    <n v="2"/>
    <s v="Food"/>
    <n v="86496.75"/>
    <n v="16729.310000000001"/>
    <n v="6421.32"/>
    <n v="2090.4699999999998"/>
    <n v="864.97"/>
    <n v="859.45"/>
    <n v="387.99"/>
    <n v="59143.24"/>
    <n v="12"/>
    <s v="Weather"/>
    <n v="139.41"/>
    <s v="Delayed"/>
    <s v="Paid"/>
    <s v="Standard"/>
    <s v="A. Tan"/>
    <s v="North America"/>
    <d v="2025-01-01T00:00:00"/>
    <x v="1"/>
  </r>
  <r>
    <x v="819"/>
    <s v="BK50934"/>
    <d v="2025-01-05T00:00:00"/>
    <d v="2025-01-09T00:00:00"/>
    <d v="2025-02-04T00:00:00"/>
    <s v="Adidas"/>
    <s v="Retail"/>
    <s v="Germany"/>
    <s v="Hamburg"/>
    <s v="Shanghai"/>
    <x v="2"/>
    <s v="CMA CGM Jacques Saadé"/>
    <s v="40FT"/>
    <n v="2"/>
    <s v="Chemicals"/>
    <n v="86599.81"/>
    <n v="21816.959999999999"/>
    <n v="4106.08"/>
    <n v="1794.54"/>
    <n v="866"/>
    <n v="486.26"/>
    <n v="825.28"/>
    <n v="56704.69"/>
    <n v="12"/>
    <s v="Labor Strike"/>
    <n v="181.81"/>
    <s v="Delayed"/>
    <s v="Paid"/>
    <s v="High"/>
    <s v="M. Ahmed"/>
    <s v="North America"/>
    <d v="2025-01-01T00:00:00"/>
    <x v="3"/>
  </r>
  <r>
    <x v="820"/>
    <s v="BK50536"/>
    <d v="2025-07-15T00:00:00"/>
    <d v="2025-07-16T00:00:00"/>
    <d v="2025-07-30T00:00:00"/>
    <s v="Bosch"/>
    <s v="Manufacturing"/>
    <s v="Germany"/>
    <s v="Shanghai"/>
    <s v="Rotterdam"/>
    <x v="2"/>
    <s v="Monaco Maersk"/>
    <s v="Reefer"/>
    <n v="4"/>
    <s v="Machinery"/>
    <n v="86816.52"/>
    <n v="21818.880000000001"/>
    <n v="3615.75"/>
    <n v="1558.06"/>
    <n v="868.17"/>
    <n v="252.34"/>
    <n v="2192.31"/>
    <n v="56511.01"/>
    <n v="0"/>
    <s v="None"/>
    <n v="181.82"/>
    <s v="Completed"/>
    <s v="Pending"/>
    <s v="Standard"/>
    <s v="R. Mehta"/>
    <s v="North America"/>
    <d v="2025-07-01T00:00:00"/>
    <x v="1"/>
  </r>
  <r>
    <x v="821"/>
    <s v="BK50827"/>
    <d v="2025-05-19T00:00:00"/>
    <d v="2025-05-20T00:00:00"/>
    <d v="2025-06-09T00:00:00"/>
    <s v="Toyota"/>
    <s v="Automotive"/>
    <s v="Japan"/>
    <s v="New York"/>
    <s v="Rotterdam"/>
    <x v="2"/>
    <s v="CMA CGM Jacques Saadé"/>
    <s v="40FT"/>
    <n v="2"/>
    <s v="Auto Parts"/>
    <n v="87171.5"/>
    <n v="21570.34"/>
    <n v="4698.54"/>
    <n v="1310.82"/>
    <n v="871.72"/>
    <n v="112.78"/>
    <n v="1445.93"/>
    <n v="57161.37"/>
    <n v="0"/>
    <s v="None"/>
    <n v="179.75"/>
    <s v="Completed"/>
    <s v="Pending"/>
    <s v="Standard"/>
    <s v="M. Ahmed"/>
    <s v="North America"/>
    <d v="2025-05-01T00:00:00"/>
    <x v="16"/>
  </r>
  <r>
    <x v="822"/>
    <s v="BK50879"/>
    <d v="2025-06-04T00:00:00"/>
    <d v="2025-06-08T00:00:00"/>
    <d v="2025-07-05T00:00:00"/>
    <s v="Siemens"/>
    <s v="Engineering"/>
    <s v="Germany"/>
    <s v="Los Angeles"/>
    <s v="Los Angeles"/>
    <x v="2"/>
    <s v="CMA CGM Jacques Saadé"/>
    <s v="Reefer"/>
    <n v="2"/>
    <s v="Furniture"/>
    <n v="87187.6"/>
    <n v="19961.439999999999"/>
    <n v="5027.3599999999997"/>
    <n v="2038.58"/>
    <n v="871.88"/>
    <n v="529.42999999999995"/>
    <n v="1541.04"/>
    <n v="57217.87"/>
    <n v="36"/>
    <s v="Labor Strike"/>
    <n v="166.35"/>
    <s v="Delayed"/>
    <s v="Pending"/>
    <s v="Critical"/>
    <s v="A. Tan"/>
    <s v="North America"/>
    <d v="2025-06-01T00:00:00"/>
    <x v="2"/>
  </r>
  <r>
    <x v="823"/>
    <s v="BK50791"/>
    <d v="2025-11-08T00:00:00"/>
    <d v="2025-11-10T00:00:00"/>
    <d v="2025-12-07T00:00:00"/>
    <s v="Siemens"/>
    <s v="Engineering"/>
    <s v="Germany"/>
    <s v="Shanghai"/>
    <s v="Hamburg"/>
    <x v="2"/>
    <s v="Mary Maersk"/>
    <s v="20FT"/>
    <n v="2"/>
    <s v="Chemicals"/>
    <n v="87255.5"/>
    <n v="15576.44"/>
    <n v="3999.37"/>
    <n v="2391.08"/>
    <n v="872.56"/>
    <n v="288.49"/>
    <n v="1227.68"/>
    <n v="62899.88"/>
    <n v="4"/>
    <s v="Mechanical"/>
    <n v="129.80000000000001"/>
    <s v="Delayed"/>
    <s v="Pending"/>
    <s v="Critical"/>
    <s v="L. Chen"/>
    <s v="North America"/>
    <d v="2025-11-01T00:00:00"/>
    <x v="2"/>
  </r>
  <r>
    <x v="824"/>
    <s v="BK50046"/>
    <d v="2025-07-30T00:00:00"/>
    <d v="2025-07-31T00:00:00"/>
    <d v="2025-08-21T00:00:00"/>
    <s v="Toyota"/>
    <s v="Automotive"/>
    <s v="Japan"/>
    <s v="Jebel Ali"/>
    <s v="Nhava Sheva"/>
    <x v="0"/>
    <s v="MSC Gülsün"/>
    <s v="40FT"/>
    <n v="4"/>
    <s v="Furniture"/>
    <n v="87261.8"/>
    <n v="14466.56"/>
    <n v="6938.52"/>
    <n v="957.44"/>
    <n v="872.62"/>
    <n v="524.86"/>
    <n v="1889.44"/>
    <n v="61612.36"/>
    <n v="36"/>
    <s v="Weather"/>
    <n v="120.55"/>
    <s v="Delayed"/>
    <s v="Pending"/>
    <s v="Standard"/>
    <s v="A. Tan"/>
    <s v="Europe"/>
    <d v="2025-07-01T00:00:00"/>
    <x v="9"/>
  </r>
  <r>
    <x v="825"/>
    <s v="BK50503"/>
    <d v="2025-08-29T00:00:00"/>
    <d v="2025-09-01T00:00:00"/>
    <d v="2025-09-28T00:00:00"/>
    <s v="Toyota"/>
    <s v="Automotive"/>
    <s v="Japan"/>
    <s v="Singapore"/>
    <s v="Jebel Ali"/>
    <x v="2"/>
    <s v="Mary Maersk"/>
    <s v="40FT"/>
    <n v="2"/>
    <s v="Auto Parts"/>
    <n v="87579.01"/>
    <n v="14309.75"/>
    <n v="5177.3100000000004"/>
    <n v="2577.4899999999998"/>
    <n v="875.79"/>
    <n v="168.03"/>
    <n v="1395.89"/>
    <n v="63074.75"/>
    <n v="24"/>
    <s v="Port Congestion"/>
    <n v="119.25"/>
    <s v="Delayed"/>
    <s v="Pending"/>
    <s v="Critical"/>
    <s v="L. Chen"/>
    <s v="North America"/>
    <d v="2025-08-01T00:00:00"/>
    <x v="2"/>
  </r>
  <r>
    <x v="826"/>
    <s v="BK50336"/>
    <d v="2025-06-15T00:00:00"/>
    <d v="2025-06-17T00:00:00"/>
    <d v="2025-07-13T00:00:00"/>
    <s v="Pfizer"/>
    <s v="Pharma"/>
    <s v="USA"/>
    <s v="Shanghai"/>
    <s v="Los Angeles"/>
    <x v="2"/>
    <s v="Mumbai Maersk"/>
    <s v="20FT"/>
    <n v="2"/>
    <s v="Auto Parts"/>
    <n v="87751.8"/>
    <n v="20733.349999999999"/>
    <n v="4954.8599999999997"/>
    <n v="2204.13"/>
    <n v="877.52"/>
    <n v="551"/>
    <n v="1170.6300000000001"/>
    <n v="57260.31"/>
    <n v="24"/>
    <s v="Weather"/>
    <n v="172.78"/>
    <s v="Delayed"/>
    <s v="Paid"/>
    <s v="High"/>
    <s v="J. Smith"/>
    <s v="North America"/>
    <d v="2025-06-01T00:00:00"/>
    <x v="3"/>
  </r>
  <r>
    <x v="827"/>
    <s v="BK50990"/>
    <d v="2025-08-28T00:00:00"/>
    <d v="2025-08-29T00:00:00"/>
    <d v="2025-09-24T00:00:00"/>
    <s v="Siemens"/>
    <s v="Engineering"/>
    <s v="Germany"/>
    <s v="Singapore"/>
    <s v="Rotterdam"/>
    <x v="1"/>
    <s v="Ever Ace"/>
    <s v="40FT"/>
    <n v="2"/>
    <s v="Machinery"/>
    <n v="87773.74"/>
    <n v="17923.48"/>
    <n v="3852.33"/>
    <n v="1514.7"/>
    <n v="877.74"/>
    <n v="696.43"/>
    <n v="1290.4000000000001"/>
    <n v="61618.66"/>
    <n v="0"/>
    <s v="None"/>
    <n v="149.36000000000001"/>
    <s v="Completed"/>
    <s v="Paid"/>
    <s v="High"/>
    <s v="L. Chen"/>
    <s v="Asia"/>
    <d v="2025-08-01T00:00:00"/>
    <x v="3"/>
  </r>
  <r>
    <x v="828"/>
    <s v="BK50646"/>
    <d v="2025-07-14T00:00:00"/>
    <d v="2025-07-18T00:00:00"/>
    <d v="2025-08-06T00:00:00"/>
    <s v="Unilever"/>
    <s v="FMCG"/>
    <s v="UK"/>
    <s v="Busan"/>
    <s v="Los Angeles"/>
    <x v="3"/>
    <s v="Ever Ace"/>
    <s v="Reefer"/>
    <n v="2"/>
    <s v="Auto Parts"/>
    <n v="87813.11"/>
    <n v="17537.14"/>
    <n v="4507.6000000000004"/>
    <n v="1417.87"/>
    <n v="878.13"/>
    <n v="714.61"/>
    <n v="475.54"/>
    <n v="62282.22"/>
    <n v="0"/>
    <s v="None"/>
    <n v="146.13999999999999"/>
    <s v="Completed"/>
    <s v="Paid"/>
    <s v="Standard"/>
    <s v="R. Mehta"/>
    <s v="Middle East"/>
    <d v="2025-07-01T00:00:00"/>
    <x v="11"/>
  </r>
  <r>
    <x v="829"/>
    <s v="BK50500"/>
    <d v="2025-02-02T00:00:00"/>
    <d v="2025-02-06T00:00:00"/>
    <d v="2025-03-02T00:00:00"/>
    <s v="Bosch"/>
    <s v="Manufacturing"/>
    <s v="Germany"/>
    <s v="Jebel Ali"/>
    <s v="Nhava Sheva"/>
    <x v="0"/>
    <s v="MSC Gülsün"/>
    <s v="40FT"/>
    <n v="2"/>
    <s v="Electronics"/>
    <n v="87837.36"/>
    <n v="24956.51"/>
    <n v="4295.78"/>
    <n v="2058.5500000000002"/>
    <n v="878.37"/>
    <n v="606.85"/>
    <n v="1784.36"/>
    <n v="53256.94"/>
    <n v="8"/>
    <s v="Weather"/>
    <n v="207.97"/>
    <s v="Delayed"/>
    <s v="Paid"/>
    <s v="High"/>
    <s v="M. Ahmed"/>
    <s v="North America"/>
    <d v="2025-02-01T00:00:00"/>
    <x v="8"/>
  </r>
  <r>
    <x v="830"/>
    <s v="BK50828"/>
    <d v="2025-06-17T00:00:00"/>
    <d v="2025-06-21T00:00:00"/>
    <d v="2025-07-18T00:00:00"/>
    <s v="Pfizer"/>
    <s v="Pharma"/>
    <s v="USA"/>
    <s v="Singapore"/>
    <s v="Rotterdam"/>
    <x v="1"/>
    <s v="MSC Gülsün"/>
    <s v="High Cube"/>
    <n v="2"/>
    <s v="Auto Parts"/>
    <n v="87846.59"/>
    <n v="22575.16"/>
    <n v="3568.49"/>
    <n v="2413.9299999999998"/>
    <n v="878.47"/>
    <n v="841.73"/>
    <n v="515.09"/>
    <n v="57053.72"/>
    <n v="0"/>
    <s v="None"/>
    <n v="188.13"/>
    <s v="Completed"/>
    <s v="Pending"/>
    <s v="Critical"/>
    <s v="J. Smith"/>
    <s v="Middle East"/>
    <d v="2025-06-01T00:00:00"/>
    <x v="2"/>
  </r>
  <r>
    <x v="831"/>
    <s v="BK50063"/>
    <d v="2025-04-29T00:00:00"/>
    <d v="2025-04-30T00:00:00"/>
    <d v="2025-05-16T00:00:00"/>
    <s v="LG"/>
    <s v="Electronics"/>
    <s v="South Korea"/>
    <s v="Jebel Ali"/>
    <s v="Nhava Sheva"/>
    <x v="0"/>
    <s v="Ever Ace"/>
    <s v="Reefer"/>
    <n v="2"/>
    <s v="Food"/>
    <n v="88043.6"/>
    <n v="16411.560000000001"/>
    <n v="6524.12"/>
    <n v="1395.04"/>
    <n v="880.44"/>
    <n v="727.45"/>
    <n v="406.83"/>
    <n v="61698.16"/>
    <n v="48"/>
    <s v="Mechanical"/>
    <n v="136.76"/>
    <s v="Delayed"/>
    <s v="Pending"/>
    <s v="Standard"/>
    <s v="L. Chen"/>
    <s v="North America"/>
    <d v="2025-04-01T00:00:00"/>
    <x v="0"/>
  </r>
  <r>
    <x v="832"/>
    <s v="BK50644"/>
    <d v="2025-05-27T00:00:00"/>
    <d v="2025-05-29T00:00:00"/>
    <d v="2025-06-21T00:00:00"/>
    <s v="Amazon"/>
    <s v="E-commerce"/>
    <s v="USA"/>
    <s v="Colombo"/>
    <s v="Singapore"/>
    <x v="4"/>
    <s v="Ever Ace"/>
    <s v="20FT"/>
    <n v="2"/>
    <s v="Furniture"/>
    <n v="88069.440000000002"/>
    <n v="20188.23"/>
    <n v="5948.32"/>
    <n v="1327.03"/>
    <n v="880.69"/>
    <n v="325.64999999999998"/>
    <n v="1511.14"/>
    <n v="57888.38"/>
    <n v="0"/>
    <s v="None"/>
    <n v="168.24"/>
    <s v="Completed"/>
    <s v="Paid"/>
    <s v="Standard"/>
    <s v="M. Ahmed"/>
    <s v="North America"/>
    <d v="2025-05-01T00:00:00"/>
    <x v="7"/>
  </r>
  <r>
    <x v="833"/>
    <s v="BK50880"/>
    <d v="2025-09-09T00:00:00"/>
    <d v="2025-09-13T00:00:00"/>
    <d v="2025-10-04T00:00:00"/>
    <s v="Siemens"/>
    <s v="Engineering"/>
    <s v="Germany"/>
    <s v="Colombo"/>
    <s v="Singapore"/>
    <x v="4"/>
    <s v="OOCL Hong Kong"/>
    <s v="High Cube"/>
    <n v="2"/>
    <s v="Furniture"/>
    <n v="88211.21"/>
    <n v="25828.25"/>
    <n v="6336.1"/>
    <n v="2364.2800000000002"/>
    <n v="882.11"/>
    <n v="333.66"/>
    <n v="1192.98"/>
    <n v="51273.83"/>
    <n v="8"/>
    <s v="Customs"/>
    <n v="215.24"/>
    <s v="Delayed"/>
    <s v="Pending"/>
    <s v="High"/>
    <s v="M. Ahmed"/>
    <s v="North America"/>
    <d v="2025-09-01T00:00:00"/>
    <x v="9"/>
  </r>
  <r>
    <x v="834"/>
    <s v="BK50386"/>
    <d v="2025-11-22T00:00:00"/>
    <d v="2025-11-24T00:00:00"/>
    <d v="2025-12-11T00:00:00"/>
    <s v="Adidas"/>
    <s v="Retail"/>
    <s v="Germany"/>
    <s v="Colombo"/>
    <s v="Singapore"/>
    <x v="2"/>
    <s v="Monaco Maersk"/>
    <s v="Reefer"/>
    <n v="2"/>
    <s v="Food"/>
    <n v="88414.87"/>
    <n v="16571.39"/>
    <n v="4874.37"/>
    <n v="2098.39"/>
    <n v="884.15"/>
    <n v="744.82"/>
    <n v="1029.23"/>
    <n v="62212.52"/>
    <n v="0"/>
    <s v="None"/>
    <n v="138.09"/>
    <s v="Completed"/>
    <s v="Paid"/>
    <s v="Critical"/>
    <s v="L. Chen"/>
    <s v="North America"/>
    <d v="2025-11-01T00:00:00"/>
    <x v="18"/>
  </r>
  <r>
    <x v="835"/>
    <s v="BK50044"/>
    <d v="2025-02-16T00:00:00"/>
    <d v="2025-02-18T00:00:00"/>
    <d v="2025-03-11T00:00:00"/>
    <s v="Siemens"/>
    <s v="Engineering"/>
    <s v="Germany"/>
    <s v="Hamburg"/>
    <s v="Colombo"/>
    <x v="2"/>
    <s v="MSC Gülsün"/>
    <s v="20FT"/>
    <n v="4"/>
    <s v="Food"/>
    <n v="88428.12"/>
    <n v="15132.64"/>
    <n v="5524.44"/>
    <n v="1246.7"/>
    <n v="884.28"/>
    <n v="607.9"/>
    <n v="2481.91"/>
    <n v="62550.25"/>
    <n v="0"/>
    <s v="None"/>
    <n v="126.11"/>
    <s v="Completed"/>
    <s v="Pending"/>
    <s v="Critical"/>
    <s v="A. Tan"/>
    <s v="Europe"/>
    <d v="2025-02-01T00:00:00"/>
    <x v="9"/>
  </r>
  <r>
    <x v="836"/>
    <s v="BK50541"/>
    <d v="2025-09-07T00:00:00"/>
    <d v="2025-09-09T00:00:00"/>
    <d v="2025-09-23T00:00:00"/>
    <s v="Reliance"/>
    <s v="Retail"/>
    <s v="India"/>
    <s v="Busan"/>
    <s v="Los Angeles"/>
    <x v="3"/>
    <s v="MSC Gülsün"/>
    <s v="High Cube"/>
    <n v="4"/>
    <s v="Furniture"/>
    <n v="88722.71"/>
    <n v="19810.919999999998"/>
    <n v="6719.19"/>
    <n v="2049.9899999999998"/>
    <n v="887.23"/>
    <n v="561.41"/>
    <n v="630.85"/>
    <n v="58063.12"/>
    <n v="0"/>
    <s v="None"/>
    <n v="165.09"/>
    <s v="Completed"/>
    <s v="Pending"/>
    <s v="High"/>
    <s v="M. Ahmed"/>
    <s v="Asia"/>
    <d v="2025-09-01T00:00:00"/>
    <x v="1"/>
  </r>
  <r>
    <x v="837"/>
    <s v="BK50717"/>
    <d v="2025-09-26T00:00:00"/>
    <d v="2025-09-30T00:00:00"/>
    <d v="2025-10-13T00:00:00"/>
    <s v="Pfizer"/>
    <s v="Pharma"/>
    <s v="USA"/>
    <s v="Nhava Sheva"/>
    <s v="Los Angeles"/>
    <x v="2"/>
    <s v="Ever Ace"/>
    <s v="High Cube"/>
    <n v="2"/>
    <s v="Food"/>
    <n v="89056.17"/>
    <n v="23174.080000000002"/>
    <n v="7107.68"/>
    <n v="2544.17"/>
    <n v="890.56"/>
    <n v="719.79"/>
    <n v="1823.95"/>
    <n v="52795.94"/>
    <n v="0"/>
    <s v="None"/>
    <n v="193.12"/>
    <s v="Completed"/>
    <s v="Pending"/>
    <s v="Standard"/>
    <s v="L. Chen"/>
    <s v="Europe"/>
    <d v="2025-09-01T00:00:00"/>
    <x v="13"/>
  </r>
  <r>
    <x v="838"/>
    <s v="BK50923"/>
    <d v="2025-02-13T00:00:00"/>
    <d v="2025-02-15T00:00:00"/>
    <d v="2025-03-07T00:00:00"/>
    <s v="Reliance"/>
    <s v="Retail"/>
    <s v="India"/>
    <s v="Jebel Ali"/>
    <s v="Nhava Sheva"/>
    <x v="0"/>
    <s v="OOCL Hong Kong"/>
    <s v="40FT"/>
    <n v="2"/>
    <s v="Textiles"/>
    <n v="89082.18"/>
    <n v="16548.05"/>
    <n v="6660.57"/>
    <n v="2521.7600000000002"/>
    <n v="890.82"/>
    <n v="411.34"/>
    <n v="1469.61"/>
    <n v="60580.03"/>
    <n v="8"/>
    <s v="Weather"/>
    <n v="137.9"/>
    <s v="Delayed"/>
    <s v="Pending"/>
    <s v="Critical"/>
    <s v="L. Chen"/>
    <s v="Middle East"/>
    <d v="2025-02-01T00:00:00"/>
    <x v="16"/>
  </r>
  <r>
    <x v="839"/>
    <s v="BK50109"/>
    <d v="2025-12-27T00:00:00"/>
    <d v="2025-12-30T00:00:00"/>
    <d v="2026-01-21T00:00:00"/>
    <s v="Reliance"/>
    <s v="Retail"/>
    <s v="India"/>
    <s v="Jebel Ali"/>
    <s v="Nhava Sheva"/>
    <x v="0"/>
    <s v="Mary Maersk"/>
    <s v="High Cube"/>
    <n v="2"/>
    <s v="Furniture"/>
    <n v="89238.15"/>
    <n v="18807.98"/>
    <n v="6786.06"/>
    <n v="2607.63"/>
    <n v="892.38"/>
    <n v="349.19"/>
    <n v="2376.81"/>
    <n v="57418.1"/>
    <n v="4"/>
    <s v="Weather"/>
    <n v="156.72999999999999"/>
    <s v="Delayed"/>
    <s v="Paid"/>
    <s v="Critical"/>
    <s v="L. Chen"/>
    <s v="Asia"/>
    <d v="2025-12-01T00:00:00"/>
    <x v="4"/>
  </r>
  <r>
    <x v="840"/>
    <s v="BK50092"/>
    <d v="2025-05-07T00:00:00"/>
    <d v="2025-05-10T00:00:00"/>
    <d v="2025-06-02T00:00:00"/>
    <s v="Reliance"/>
    <s v="Retail"/>
    <s v="India"/>
    <s v="Colombo"/>
    <s v="Singapore"/>
    <x v="4"/>
    <s v="Mary Maersk"/>
    <s v="40FT"/>
    <n v="2"/>
    <s v="Chemicals"/>
    <n v="89468.76"/>
    <n v="26556.87"/>
    <n v="5618.88"/>
    <n v="2439.2199999999998"/>
    <n v="894.69"/>
    <n v="803.04"/>
    <n v="1801.22"/>
    <n v="51354.84"/>
    <n v="0"/>
    <s v="None"/>
    <n v="221.31"/>
    <s v="Completed"/>
    <s v="Pending"/>
    <s v="High"/>
    <s v="R. Mehta"/>
    <s v="Middle East"/>
    <d v="2025-05-01T00:00:00"/>
    <x v="7"/>
  </r>
  <r>
    <x v="841"/>
    <s v="BK50248"/>
    <d v="2025-09-22T00:00:00"/>
    <d v="2025-09-24T00:00:00"/>
    <d v="2025-10-12T00:00:00"/>
    <s v="IKEA"/>
    <s v="Retail"/>
    <s v="Sweden"/>
    <s v="Busan"/>
    <s v="Los Angeles"/>
    <x v="3"/>
    <s v="MSC Gülsün"/>
    <s v="20FT"/>
    <n v="2"/>
    <s v="Food"/>
    <n v="89595.09"/>
    <n v="22902.97"/>
    <n v="6710.69"/>
    <n v="1367.62"/>
    <n v="895.95"/>
    <n v="614.5"/>
    <n v="831.61"/>
    <n v="56271.75"/>
    <n v="48"/>
    <s v="Mechanical"/>
    <n v="190.86"/>
    <s v="Delayed"/>
    <s v="Paid"/>
    <s v="Standard"/>
    <s v="R. Mehta"/>
    <s v="North America"/>
    <d v="2025-09-01T00:00:00"/>
    <x v="14"/>
  </r>
  <r>
    <x v="842"/>
    <s v="BK50132"/>
    <d v="2025-01-09T00:00:00"/>
    <d v="2025-01-13T00:00:00"/>
    <d v="2025-02-08T00:00:00"/>
    <s v="Bosch"/>
    <s v="Manufacturing"/>
    <s v="Germany"/>
    <s v="Singapore"/>
    <s v="Rotterdam"/>
    <x v="1"/>
    <s v="MSC Gülsün"/>
    <s v="40FT"/>
    <n v="2"/>
    <s v="Furniture"/>
    <n v="89618.79"/>
    <n v="24629.07"/>
    <n v="5812.08"/>
    <n v="2013.51"/>
    <n v="896.19"/>
    <n v="296.08999999999997"/>
    <n v="2215.4"/>
    <n v="53756.45"/>
    <n v="8"/>
    <s v="Customs"/>
    <n v="205.24"/>
    <s v="Delayed"/>
    <s v="Paid"/>
    <s v="Critical"/>
    <s v="L. Chen"/>
    <s v="Middle East"/>
    <d v="2025-01-01T00:00:00"/>
    <x v="3"/>
  </r>
  <r>
    <x v="843"/>
    <s v="BK50815"/>
    <d v="2025-01-19T00:00:00"/>
    <d v="2025-01-23T00:00:00"/>
    <d v="2025-02-03T00:00:00"/>
    <s v="Siemens"/>
    <s v="Engineering"/>
    <s v="Germany"/>
    <s v="Colombo"/>
    <s v="Singapore"/>
    <x v="4"/>
    <s v="MSC Gülsün"/>
    <s v="20FT"/>
    <n v="2"/>
    <s v="Chemicals"/>
    <n v="89633.35"/>
    <n v="22011.9"/>
    <n v="5440.79"/>
    <n v="1339.8"/>
    <n v="896.33"/>
    <n v="119.58"/>
    <n v="2246.71"/>
    <n v="57578.239999999998"/>
    <n v="0"/>
    <s v="None"/>
    <n v="183.43"/>
    <s v="Completed"/>
    <s v="Pending"/>
    <s v="Standard"/>
    <s v="A. Tan"/>
    <s v="Asia"/>
    <d v="2025-01-01T00:00:00"/>
    <x v="5"/>
  </r>
  <r>
    <x v="844"/>
    <s v="BK50108"/>
    <d v="2025-12-26T00:00:00"/>
    <d v="2025-12-27T00:00:00"/>
    <d v="2026-01-19T00:00:00"/>
    <s v="Reliance"/>
    <s v="Retail"/>
    <s v="India"/>
    <s v="Hamburg"/>
    <s v="Singapore"/>
    <x v="2"/>
    <s v="OOCL Hong Kong"/>
    <s v="Reefer"/>
    <n v="2"/>
    <s v="Machinery"/>
    <n v="89731.57"/>
    <n v="20946.25"/>
    <n v="4334.78"/>
    <n v="1357.46"/>
    <n v="897.32"/>
    <n v="645.1"/>
    <n v="1161.3"/>
    <n v="60389.36"/>
    <n v="0"/>
    <s v="None"/>
    <n v="174.55"/>
    <s v="Completed"/>
    <s v="Pending"/>
    <s v="Standard"/>
    <s v="R. Mehta"/>
    <s v="Asia"/>
    <d v="2025-12-01T00:00:00"/>
    <x v="7"/>
  </r>
  <r>
    <x v="845"/>
    <s v="BK50375"/>
    <d v="2025-09-25T00:00:00"/>
    <d v="2025-09-28T00:00:00"/>
    <d v="2025-10-12T00:00:00"/>
    <s v="Unilever"/>
    <s v="FMCG"/>
    <s v="UK"/>
    <s v="Colombo"/>
    <s v="Singapore"/>
    <x v="4"/>
    <s v="MSC Gülsün"/>
    <s v="Reefer"/>
    <n v="4"/>
    <s v="Electronics"/>
    <n v="90136.37"/>
    <n v="23811.61"/>
    <n v="4823.97"/>
    <n v="1604.47"/>
    <n v="901.36"/>
    <n v="836.27"/>
    <n v="2273.02"/>
    <n v="55885.67"/>
    <n v="8"/>
    <s v="Weather"/>
    <n v="198.43"/>
    <s v="Delayed"/>
    <s v="Paid"/>
    <s v="High"/>
    <s v="L. Chen"/>
    <s v="Middle East"/>
    <d v="2025-09-01T00:00:00"/>
    <x v="1"/>
  </r>
  <r>
    <x v="846"/>
    <s v="BK50486"/>
    <d v="2025-07-06T00:00:00"/>
    <d v="2025-07-10T00:00:00"/>
    <d v="2025-08-03T00:00:00"/>
    <s v="Unilever"/>
    <s v="FMCG"/>
    <s v="UK"/>
    <s v="Colombo"/>
    <s v="Singapore"/>
    <x v="4"/>
    <s v="MSC Gülsün"/>
    <s v="20FT"/>
    <n v="4"/>
    <s v="Food"/>
    <n v="91961.71"/>
    <n v="17137.61"/>
    <n v="6452.03"/>
    <n v="2597.58"/>
    <n v="919.62"/>
    <n v="123.05"/>
    <n v="2212.77"/>
    <n v="62519.05"/>
    <n v="48"/>
    <s v="Port Congestion"/>
    <n v="142.81"/>
    <s v="Delayed"/>
    <s v="Paid"/>
    <s v="Standard"/>
    <s v="R. Mehta"/>
    <s v="Asia"/>
    <d v="2025-07-01T00:00:00"/>
    <x v="8"/>
  </r>
  <r>
    <x v="847"/>
    <s v="BK50995"/>
    <d v="2025-01-23T00:00:00"/>
    <d v="2025-01-24T00:00:00"/>
    <d v="2025-02-11T00:00:00"/>
    <s v="Adidas"/>
    <s v="Retail"/>
    <s v="Germany"/>
    <s v="Rotterdam"/>
    <s v="Los Angeles"/>
    <x v="2"/>
    <s v="CMA CGM Jacques Saadé"/>
    <s v="40FT"/>
    <n v="4"/>
    <s v="Textiles"/>
    <n v="92211.38"/>
    <n v="20412.38"/>
    <n v="5067.6099999999997"/>
    <n v="2283.7199999999998"/>
    <n v="922.11"/>
    <n v="294.20999999999998"/>
    <n v="2246.8200000000002"/>
    <n v="60984.53"/>
    <n v="0"/>
    <s v="None"/>
    <n v="170.1"/>
    <s v="Completed"/>
    <s v="Paid"/>
    <s v="Standard"/>
    <s v="L. Chen"/>
    <s v="Asia"/>
    <d v="2025-01-01T00:00:00"/>
    <x v="14"/>
  </r>
  <r>
    <x v="848"/>
    <s v="BK50308"/>
    <d v="2025-03-20T00:00:00"/>
    <d v="2025-03-21T00:00:00"/>
    <d v="2025-04-09T00:00:00"/>
    <s v="LG"/>
    <s v="Electronics"/>
    <s v="South Korea"/>
    <s v="Busan"/>
    <s v="Los Angeles"/>
    <x v="3"/>
    <s v="CMA CGM Jacques Saadé"/>
    <s v="Reefer"/>
    <n v="4"/>
    <s v="Auto Parts"/>
    <n v="92653.97"/>
    <n v="21113.33"/>
    <n v="6846.98"/>
    <n v="2688.43"/>
    <n v="926.54"/>
    <n v="308.85000000000002"/>
    <n v="483.29"/>
    <n v="60286.55"/>
    <n v="12"/>
    <s v="Port Congestion"/>
    <n v="175.94"/>
    <s v="Delayed"/>
    <s v="Pending"/>
    <s v="High"/>
    <s v="R. Mehta"/>
    <s v="North America"/>
    <d v="2025-03-01T00:00:00"/>
    <x v="11"/>
  </r>
  <r>
    <x v="849"/>
    <s v="BK50602"/>
    <d v="2025-06-12T00:00:00"/>
    <d v="2025-06-15T00:00:00"/>
    <d v="2025-07-12T00:00:00"/>
    <s v="Adidas"/>
    <s v="Retail"/>
    <s v="Germany"/>
    <s v="Singapore"/>
    <s v="Rotterdam"/>
    <x v="1"/>
    <s v="Mumbai Maersk"/>
    <s v="High Cube"/>
    <n v="4"/>
    <s v="Machinery"/>
    <n v="93543.98"/>
    <n v="15902.84"/>
    <n v="4380.58"/>
    <n v="2731.19"/>
    <n v="935.44"/>
    <n v="430.36"/>
    <n v="634.16999999999996"/>
    <n v="68529.399999999994"/>
    <n v="36"/>
    <s v="Mechanical"/>
    <n v="132.52000000000001"/>
    <s v="Delayed"/>
    <s v="Paid"/>
    <s v="Critical"/>
    <s v="L. Chen"/>
    <s v="North America"/>
    <d v="2025-06-01T00:00:00"/>
    <x v="2"/>
  </r>
  <r>
    <x v="850"/>
    <s v="BK50002"/>
    <d v="2025-07-12T00:00:00"/>
    <d v="2025-07-15T00:00:00"/>
    <d v="2025-07-28T00:00:00"/>
    <s v="Unilever"/>
    <s v="FMCG"/>
    <s v="UK"/>
    <s v="Nhava Sheva"/>
    <s v="Los Angeles"/>
    <x v="2"/>
    <s v="Mumbai Maersk"/>
    <s v="High Cube"/>
    <n v="4"/>
    <s v="Food"/>
    <n v="93591.95"/>
    <n v="25012.22"/>
    <n v="7195.1"/>
    <n v="1868.07"/>
    <n v="935.92"/>
    <n v="306.05"/>
    <n v="991.46"/>
    <n v="57283.13"/>
    <n v="12"/>
    <s v="Labor Strike"/>
    <n v="208.44"/>
    <s v="Delayed"/>
    <s v="Paid"/>
    <s v="High"/>
    <s v="M. Ahmed"/>
    <s v="Europe"/>
    <d v="2025-07-01T00:00:00"/>
    <x v="13"/>
  </r>
  <r>
    <x v="851"/>
    <s v="BK50588"/>
    <d v="2025-05-03T00:00:00"/>
    <d v="2025-05-04T00:00:00"/>
    <d v="2025-05-29T00:00:00"/>
    <s v="Nestlé"/>
    <s v="Food"/>
    <s v="Switzerland"/>
    <s v="Shanghai"/>
    <s v="Rotterdam"/>
    <x v="1"/>
    <s v="Madrid Maersk"/>
    <s v="40FT"/>
    <n v="4"/>
    <s v="Chemicals"/>
    <n v="93961.54"/>
    <n v="18924.55"/>
    <n v="6623.1"/>
    <n v="1788.25"/>
    <n v="939.62"/>
    <n v="700.64"/>
    <n v="1275.28"/>
    <n v="63710.1"/>
    <n v="0"/>
    <s v="None"/>
    <n v="157.69999999999999"/>
    <s v="Completed"/>
    <s v="Pending"/>
    <s v="Standard"/>
    <s v="M. Ahmed"/>
    <s v="Middle East"/>
    <d v="2025-05-01T00:00:00"/>
    <x v="10"/>
  </r>
  <r>
    <x v="852"/>
    <s v="BK50426"/>
    <d v="2025-11-27T00:00:00"/>
    <d v="2025-12-01T00:00:00"/>
    <d v="2025-12-16T00:00:00"/>
    <s v="Adidas"/>
    <s v="Retail"/>
    <s v="Germany"/>
    <s v="Singapore"/>
    <s v="Rotterdam"/>
    <x v="1"/>
    <s v="Monaco Maersk"/>
    <s v="40FT"/>
    <n v="4"/>
    <s v="Textiles"/>
    <n v="94195.87"/>
    <n v="18370.349999999999"/>
    <n v="5448.14"/>
    <n v="2353.98"/>
    <n v="941.96"/>
    <n v="261.76"/>
    <n v="1152.92"/>
    <n v="65666.759999999995"/>
    <n v="12"/>
    <s v="Port Congestion"/>
    <n v="153.09"/>
    <s v="Delayed"/>
    <s v="Pending"/>
    <s v="Critical"/>
    <s v="L. Chen"/>
    <s v="Europe"/>
    <d v="2025-11-01T00:00:00"/>
    <x v="6"/>
  </r>
  <r>
    <x v="853"/>
    <s v="BK50311"/>
    <d v="2025-02-15T00:00:00"/>
    <d v="2025-02-16T00:00:00"/>
    <d v="2025-02-28T00:00:00"/>
    <s v="LG"/>
    <s v="Electronics"/>
    <s v="South Korea"/>
    <s v="Singapore"/>
    <s v="Rotterdam"/>
    <x v="2"/>
    <s v="Madrid Maersk"/>
    <s v="High Cube"/>
    <n v="4"/>
    <s v="Food"/>
    <n v="94817.24"/>
    <n v="22728.560000000001"/>
    <n v="5159.53"/>
    <n v="2268.38"/>
    <n v="948.17"/>
    <n v="119.13"/>
    <n v="773.28"/>
    <n v="62820.19"/>
    <n v="24"/>
    <s v="Mechanical"/>
    <n v="189.4"/>
    <s v="Delayed"/>
    <s v="Paid"/>
    <s v="Critical"/>
    <s v="M. Ahmed"/>
    <s v="Middle East"/>
    <d v="2025-02-01T00:00:00"/>
    <x v="12"/>
  </r>
  <r>
    <x v="854"/>
    <s v="BK50590"/>
    <d v="2025-04-18T00:00:00"/>
    <d v="2025-04-20T00:00:00"/>
    <d v="2025-05-14T00:00:00"/>
    <s v="Amazon"/>
    <s v="E-commerce"/>
    <s v="USA"/>
    <s v="Busan"/>
    <s v="Los Angeles"/>
    <x v="3"/>
    <s v="OOCL Hong Kong"/>
    <s v="20FT"/>
    <n v="4"/>
    <s v="Food"/>
    <n v="95316.53"/>
    <n v="25410.46"/>
    <n v="7377.24"/>
    <n v="1455.82"/>
    <n v="953.17"/>
    <n v="306.62"/>
    <n v="2466.1799999999998"/>
    <n v="57347.040000000001"/>
    <n v="48"/>
    <s v="Mechanical"/>
    <n v="211.75"/>
    <s v="Delayed"/>
    <s v="Paid"/>
    <s v="Standard"/>
    <s v="R. Mehta"/>
    <s v="Asia"/>
    <d v="2025-04-01T00:00:00"/>
    <x v="8"/>
  </r>
  <r>
    <x v="855"/>
    <s v="BK50490"/>
    <d v="2025-04-30T00:00:00"/>
    <d v="2025-05-01T00:00:00"/>
    <d v="2025-05-22T00:00:00"/>
    <s v="IKEA"/>
    <s v="Retail"/>
    <s v="Sweden"/>
    <s v="Singapore"/>
    <s v="Rotterdam"/>
    <x v="1"/>
    <s v="CMA CGM Jacques Saadé"/>
    <s v="High Cube"/>
    <n v="4"/>
    <s v="Electronics"/>
    <n v="96042.93"/>
    <n v="26793.25"/>
    <n v="5017.38"/>
    <n v="1611.01"/>
    <n v="960.43"/>
    <n v="327.27999999999997"/>
    <n v="1249.8599999999999"/>
    <n v="60083.72"/>
    <n v="12"/>
    <s v="Customs"/>
    <n v="223.28"/>
    <s v="Delayed"/>
    <s v="Paid"/>
    <s v="Critical"/>
    <s v="A. Tan"/>
    <s v="Asia"/>
    <d v="2025-04-01T00:00:00"/>
    <x v="9"/>
  </r>
  <r>
    <x v="856"/>
    <s v="BK50743"/>
    <d v="2025-03-20T00:00:00"/>
    <d v="2025-03-22T00:00:00"/>
    <d v="2025-04-01T00:00:00"/>
    <s v="Siemens"/>
    <s v="Engineering"/>
    <s v="Germany"/>
    <s v="Singapore"/>
    <s v="Rotterdam"/>
    <x v="1"/>
    <s v="Mumbai Maersk"/>
    <s v="40FT"/>
    <n v="4"/>
    <s v="Machinery"/>
    <n v="96897.41"/>
    <n v="21947.86"/>
    <n v="6569.02"/>
    <n v="1063.31"/>
    <n v="968.97"/>
    <n v="278.24"/>
    <n v="1454.93"/>
    <n v="64615.08"/>
    <n v="4"/>
    <s v="Labor Strike"/>
    <n v="182.9"/>
    <s v="Delayed"/>
    <s v="Pending"/>
    <s v="Standard"/>
    <s v="L. Chen"/>
    <s v="Europe"/>
    <d v="2025-03-01T00:00:00"/>
    <x v="15"/>
  </r>
  <r>
    <x v="857"/>
    <s v="BK50989"/>
    <d v="2025-01-20T00:00:00"/>
    <d v="2025-01-22T00:00:00"/>
    <d v="2025-02-15T00:00:00"/>
    <s v="Nestlé"/>
    <s v="Food"/>
    <s v="Switzerland"/>
    <s v="Colombo"/>
    <s v="Singapore"/>
    <x v="4"/>
    <s v="Madrid Maersk"/>
    <s v="High Cube"/>
    <n v="4"/>
    <s v="Machinery"/>
    <n v="99807.67"/>
    <n v="17606.560000000001"/>
    <n v="5995.3"/>
    <n v="1009.83"/>
    <n v="998.08"/>
    <n v="489.96"/>
    <n v="2346.5700000000002"/>
    <n v="71361.37"/>
    <n v="12"/>
    <s v="Mechanical"/>
    <n v="146.72"/>
    <s v="Delayed"/>
    <s v="Pending"/>
    <s v="Standard"/>
    <s v="R. Mehta"/>
    <s v="Europe"/>
    <d v="2025-01-01T00:00:00"/>
    <x v="8"/>
  </r>
  <r>
    <x v="858"/>
    <s v="BK50413"/>
    <d v="2025-01-01T00:00:00"/>
    <d v="2025-01-04T00:00:00"/>
    <d v="2025-01-31T00:00:00"/>
    <s v="LG"/>
    <s v="Electronics"/>
    <s v="South Korea"/>
    <s v="Colombo"/>
    <s v="Singapore"/>
    <x v="4"/>
    <s v="Madrid Maersk"/>
    <s v="High Cube"/>
    <n v="4"/>
    <s v="Auto Parts"/>
    <n v="99903.31"/>
    <n v="20419.93"/>
    <n v="6411.95"/>
    <n v="2599.85"/>
    <n v="999.03"/>
    <n v="183.37"/>
    <n v="739.94"/>
    <n v="68549.240000000005"/>
    <n v="48"/>
    <s v="Weather"/>
    <n v="170.17"/>
    <s v="Delayed"/>
    <s v="Paid"/>
    <s v="Critical"/>
    <s v="A. Tan"/>
    <s v="Middle East"/>
    <d v="2025-01-01T00:00:00"/>
    <x v="2"/>
  </r>
  <r>
    <x v="859"/>
    <s v="BK50337"/>
    <d v="2025-06-22T00:00:00"/>
    <d v="2025-06-26T00:00:00"/>
    <d v="2025-07-18T00:00:00"/>
    <s v="Samsung"/>
    <s v="Electronics"/>
    <s v="South Korea"/>
    <s v="Shanghai"/>
    <s v="Rotterdam"/>
    <x v="1"/>
    <s v="OOCL Hong Kong"/>
    <s v="20FT"/>
    <n v="4"/>
    <s v="Chemicals"/>
    <n v="100162.54"/>
    <n v="22682.52"/>
    <n v="7503.69"/>
    <n v="1901.41"/>
    <n v="1001.63"/>
    <n v="519.76"/>
    <n v="1247.1400000000001"/>
    <n v="65306.39"/>
    <n v="0"/>
    <s v="None"/>
    <n v="189.02"/>
    <s v="Completed"/>
    <s v="Pending"/>
    <s v="High"/>
    <s v="M. Ahmed"/>
    <s v="Asia"/>
    <d v="2025-06-01T00:00:00"/>
    <x v="4"/>
  </r>
  <r>
    <x v="860"/>
    <s v="BK50297"/>
    <d v="2025-05-30T00:00:00"/>
    <d v="2025-05-31T00:00:00"/>
    <d v="2025-06-25T00:00:00"/>
    <s v="Samsung"/>
    <s v="Electronics"/>
    <s v="South Korea"/>
    <s v="Shanghai"/>
    <s v="Rotterdam"/>
    <x v="1"/>
    <s v="Monaco Maersk"/>
    <s v="Reefer"/>
    <n v="4"/>
    <s v="Machinery"/>
    <n v="101118.21"/>
    <n v="19706.88"/>
    <n v="5467.26"/>
    <n v="2948.45"/>
    <n v="1011.18"/>
    <n v="169.92"/>
    <n v="2487.0300000000002"/>
    <n v="69327.490000000005"/>
    <n v="0"/>
    <s v="None"/>
    <n v="164.22"/>
    <s v="Completed"/>
    <s v="Paid"/>
    <s v="High"/>
    <s v="L. Chen"/>
    <s v="Europe"/>
    <d v="2025-05-01T00:00:00"/>
    <x v="10"/>
  </r>
  <r>
    <x v="861"/>
    <s v="BK50257"/>
    <d v="2025-02-14T00:00:00"/>
    <d v="2025-02-15T00:00:00"/>
    <d v="2025-03-08T00:00:00"/>
    <s v="Samsung"/>
    <s v="Electronics"/>
    <s v="South Korea"/>
    <s v="Colombo"/>
    <s v="Singapore"/>
    <x v="4"/>
    <s v="Ever Ace"/>
    <s v="High Cube"/>
    <n v="4"/>
    <s v="Chemicals"/>
    <n v="102876.33"/>
    <n v="20802.189999999999"/>
    <n v="7897.73"/>
    <n v="2103.92"/>
    <n v="1028.76"/>
    <n v="415.68"/>
    <n v="483.81"/>
    <n v="70144.240000000005"/>
    <n v="0"/>
    <s v="None"/>
    <n v="173.35"/>
    <s v="Completed"/>
    <s v="Pending"/>
    <s v="High"/>
    <s v="L. Chen"/>
    <s v="North America"/>
    <d v="2025-02-01T00:00:00"/>
    <x v="9"/>
  </r>
  <r>
    <x v="862"/>
    <s v="BK50616"/>
    <d v="2025-06-21T00:00:00"/>
    <d v="2025-06-24T00:00:00"/>
    <d v="2025-07-13T00:00:00"/>
    <s v="IKEA"/>
    <s v="Retail"/>
    <s v="Sweden"/>
    <s v="Singapore"/>
    <s v="Rotterdam"/>
    <x v="1"/>
    <s v="Madrid Maersk"/>
    <s v="20FT"/>
    <n v="4"/>
    <s v="Food"/>
    <n v="102926.17"/>
    <n v="21489.62"/>
    <n v="5406.35"/>
    <n v="1192.24"/>
    <n v="1029.26"/>
    <n v="575.36"/>
    <n v="1370.7"/>
    <n v="71862.64"/>
    <n v="0"/>
    <s v="None"/>
    <n v="179.08"/>
    <s v="Completed"/>
    <s v="Pending"/>
    <s v="High"/>
    <s v="L. Chen"/>
    <s v="Middle East"/>
    <d v="2025-06-01T00:00:00"/>
    <x v="11"/>
  </r>
  <r>
    <x v="863"/>
    <s v="BK50878"/>
    <d v="2025-03-19T00:00:00"/>
    <d v="2025-03-23T00:00:00"/>
    <d v="2025-04-09T00:00:00"/>
    <s v="Bosch"/>
    <s v="Manufacturing"/>
    <s v="Germany"/>
    <s v="Singapore"/>
    <s v="Rotterdam"/>
    <x v="1"/>
    <s v="Monaco Maersk"/>
    <s v="Reefer"/>
    <n v="4"/>
    <s v="Machinery"/>
    <n v="103860.67"/>
    <n v="16623.43"/>
    <n v="7600.7"/>
    <n v="2354.15"/>
    <n v="1038.6099999999999"/>
    <n v="251.86"/>
    <n v="2230.65"/>
    <n v="73761.27"/>
    <n v="0"/>
    <s v="None"/>
    <n v="138.53"/>
    <s v="Completed"/>
    <s v="Paid"/>
    <s v="High"/>
    <s v="J. Smith"/>
    <s v="Middle East"/>
    <d v="2025-03-01T00:00:00"/>
    <x v="18"/>
  </r>
  <r>
    <x v="864"/>
    <s v="BK50464"/>
    <d v="2025-12-13T00:00:00"/>
    <d v="2025-12-15T00:00:00"/>
    <d v="2026-01-08T00:00:00"/>
    <s v="Samsung"/>
    <s v="Electronics"/>
    <s v="South Korea"/>
    <s v="Singapore"/>
    <s v="Rotterdam"/>
    <x v="1"/>
    <s v="Madrid Maersk"/>
    <s v="20FT"/>
    <n v="4"/>
    <s v="Electronics"/>
    <n v="104776.04"/>
    <n v="17185.46"/>
    <n v="6518.31"/>
    <n v="2020.53"/>
    <n v="1047.76"/>
    <n v="846.12"/>
    <n v="1999.97"/>
    <n v="75157.89"/>
    <n v="48"/>
    <s v="Customs"/>
    <n v="143.21"/>
    <s v="Delayed"/>
    <s v="Paid"/>
    <s v="Critical"/>
    <s v="A. Tan"/>
    <s v="Middle East"/>
    <d v="2025-12-01T00:00:00"/>
    <x v="8"/>
  </r>
  <r>
    <x v="865"/>
    <s v="BK50137"/>
    <d v="2025-03-10T00:00:00"/>
    <d v="2025-03-12T00:00:00"/>
    <d v="2025-04-03T00:00:00"/>
    <s v="Unilever"/>
    <s v="FMCG"/>
    <s v="UK"/>
    <s v="Singapore"/>
    <s v="Rotterdam"/>
    <x v="1"/>
    <s v="CMA CGM Jacques Saadé"/>
    <s v="20FT"/>
    <n v="4"/>
    <s v="Furniture"/>
    <n v="105671.76"/>
    <n v="21498.9"/>
    <n v="8301.26"/>
    <n v="3091.31"/>
    <n v="1056.72"/>
    <n v="123.56"/>
    <n v="2183.75"/>
    <n v="69416.259999999995"/>
    <n v="36"/>
    <s v="Labor Strike"/>
    <n v="179.16"/>
    <s v="Delayed"/>
    <s v="Pending"/>
    <s v="Standard"/>
    <s v="M. Ahmed"/>
    <s v="North America"/>
    <d v="2025-03-01T00:00:00"/>
    <x v="4"/>
  </r>
  <r>
    <x v="866"/>
    <s v="BK50727"/>
    <d v="2025-02-18T00:00:00"/>
    <d v="2025-02-21T00:00:00"/>
    <d v="2025-03-19T00:00:00"/>
    <s v="Toyota"/>
    <s v="Automotive"/>
    <s v="Japan"/>
    <s v="Shanghai"/>
    <s v="Rotterdam"/>
    <x v="1"/>
    <s v="CMA CGM Jacques Saadé"/>
    <s v="20FT"/>
    <n v="4"/>
    <s v="Food"/>
    <n v="105787.9"/>
    <n v="17737.46"/>
    <n v="5822.04"/>
    <n v="1193.9100000000001"/>
    <n v="1057.8800000000001"/>
    <n v="599.16"/>
    <n v="686.06"/>
    <n v="78691.39"/>
    <n v="0"/>
    <s v="None"/>
    <n v="147.81"/>
    <s v="Completed"/>
    <s v="Paid"/>
    <s v="Critical"/>
    <s v="J. Smith"/>
    <s v="North America"/>
    <d v="2025-02-01T00:00:00"/>
    <x v="3"/>
  </r>
  <r>
    <x v="867"/>
    <s v="BK50139"/>
    <d v="2025-10-17T00:00:00"/>
    <d v="2025-10-21T00:00:00"/>
    <d v="2025-11-15T00:00:00"/>
    <s v="Nestlé"/>
    <s v="Food"/>
    <s v="Switzerland"/>
    <s v="Busan"/>
    <s v="Los Angeles"/>
    <x v="3"/>
    <s v="Mary Maersk"/>
    <s v="High Cube"/>
    <n v="4"/>
    <s v="Electronics"/>
    <n v="106294.72"/>
    <n v="26561.79"/>
    <n v="5927.72"/>
    <n v="2041.26"/>
    <n v="1062.95"/>
    <n v="626.04999999999995"/>
    <n v="1933.04"/>
    <n v="68141.91"/>
    <n v="48"/>
    <s v="Labor Strike"/>
    <n v="221.35"/>
    <s v="Delayed"/>
    <s v="Pending"/>
    <s v="High"/>
    <s v="R. Mehta"/>
    <s v="Middle East"/>
    <d v="2025-10-01T00:00:00"/>
    <x v="10"/>
  </r>
  <r>
    <x v="868"/>
    <s v="BK50345"/>
    <d v="2025-06-19T00:00:00"/>
    <d v="2025-06-23T00:00:00"/>
    <d v="2025-07-21T00:00:00"/>
    <s v="Amazon"/>
    <s v="E-commerce"/>
    <s v="USA"/>
    <s v="Colombo"/>
    <s v="Singapore"/>
    <x v="4"/>
    <s v="Madrid Maersk"/>
    <s v="40FT"/>
    <n v="4"/>
    <s v="Food"/>
    <n v="106978.89"/>
    <n v="30454.83"/>
    <n v="8214.92"/>
    <n v="1927.74"/>
    <n v="1069.79"/>
    <n v="592.91999999999996"/>
    <n v="2343.71"/>
    <n v="62374.98"/>
    <n v="4"/>
    <s v="Customs"/>
    <n v="253.79"/>
    <s v="Delayed"/>
    <s v="Pending"/>
    <s v="Standard"/>
    <s v="R. Mehta"/>
    <s v="Asia"/>
    <d v="2025-06-01T00:00:00"/>
    <x v="17"/>
  </r>
  <r>
    <x v="869"/>
    <s v="BK50869"/>
    <d v="2025-11-27T00:00:00"/>
    <d v="2025-11-28T00:00:00"/>
    <d v="2025-12-18T00:00:00"/>
    <s v="Pfizer"/>
    <s v="Pharma"/>
    <s v="USA"/>
    <s v="Busan"/>
    <s v="Nhava Sheva"/>
    <x v="2"/>
    <s v="MSC Gülsün"/>
    <s v="High Cube"/>
    <n v="4"/>
    <s v="Food"/>
    <n v="107409.92"/>
    <n v="27267.97"/>
    <n v="7043.26"/>
    <n v="1338.49"/>
    <n v="1074.0999999999999"/>
    <n v="579.78"/>
    <n v="2415.75"/>
    <n v="67690.570000000007"/>
    <n v="4"/>
    <s v="Mechanical"/>
    <n v="227.23"/>
    <s v="Delayed"/>
    <s v="Pending"/>
    <s v="Standard"/>
    <s v="J. Smith"/>
    <s v="Asia"/>
    <d v="2025-11-01T00:00:00"/>
    <x v="16"/>
  </r>
  <r>
    <x v="870"/>
    <s v="BK50176"/>
    <d v="2025-10-21T00:00:00"/>
    <d v="2025-10-22T00:00:00"/>
    <d v="2025-11-09T00:00:00"/>
    <s v="Amazon"/>
    <s v="E-commerce"/>
    <s v="USA"/>
    <s v="Nhava Sheva"/>
    <s v="Hamburg"/>
    <x v="2"/>
    <s v="Ever Ace"/>
    <s v="20FT"/>
    <n v="4"/>
    <s v="Textiles"/>
    <n v="108148.89"/>
    <n v="18681.12"/>
    <n v="5926.82"/>
    <n v="1234.99"/>
    <n v="1081.49"/>
    <n v="645.23"/>
    <n v="1336.74"/>
    <n v="79242.5"/>
    <n v="0"/>
    <s v="None"/>
    <n v="155.68"/>
    <s v="Completed"/>
    <s v="Pending"/>
    <s v="Critical"/>
    <s v="L. Chen"/>
    <s v="Middle East"/>
    <d v="2025-10-01T00:00:00"/>
    <x v="14"/>
  </r>
  <r>
    <x v="871"/>
    <s v="BK50073"/>
    <d v="2025-05-16T00:00:00"/>
    <d v="2025-05-17T00:00:00"/>
    <d v="2025-06-12T00:00:00"/>
    <s v="Unilever"/>
    <s v="FMCG"/>
    <s v="UK"/>
    <s v="Singapore"/>
    <s v="Rotterdam"/>
    <x v="1"/>
    <s v="MSC Gülsün"/>
    <s v="20FT"/>
    <n v="4"/>
    <s v="Auto Parts"/>
    <n v="108258.86"/>
    <n v="20667.05"/>
    <n v="5793.96"/>
    <n v="2548.6"/>
    <n v="1082.5899999999999"/>
    <n v="785.06"/>
    <n v="1138.8499999999999"/>
    <n v="76242.75"/>
    <n v="0"/>
    <s v="None"/>
    <n v="172.23"/>
    <s v="Completed"/>
    <s v="Pending"/>
    <s v="Standard"/>
    <s v="A. Tan"/>
    <s v="Asia"/>
    <d v="2025-05-01T00:00:00"/>
    <x v="3"/>
  </r>
  <r>
    <x v="872"/>
    <s v="BK50435"/>
    <d v="2025-03-17T00:00:00"/>
    <d v="2025-03-19T00:00:00"/>
    <d v="2025-04-14T00:00:00"/>
    <s v="Amazon"/>
    <s v="E-commerce"/>
    <s v="USA"/>
    <s v="Nhava Sheva"/>
    <s v="Shanghai"/>
    <x v="2"/>
    <s v="Ever Ace"/>
    <s v="Reefer"/>
    <n v="4"/>
    <s v="Electronics"/>
    <n v="108521.98"/>
    <n v="23329.9"/>
    <n v="8545.7199999999993"/>
    <n v="2075.5700000000002"/>
    <n v="1085.22"/>
    <n v="633.44000000000005"/>
    <n v="1857.02"/>
    <n v="70995.11"/>
    <n v="12"/>
    <s v="Labor Strike"/>
    <n v="194.42"/>
    <s v="Delayed"/>
    <s v="Paid"/>
    <s v="Standard"/>
    <s v="M. Ahmed"/>
    <s v="Middle East"/>
    <d v="2025-03-01T00:00:00"/>
    <x v="3"/>
  </r>
  <r>
    <x v="873"/>
    <s v="BK50015"/>
    <d v="2025-11-30T00:00:00"/>
    <d v="2025-12-04T00:00:00"/>
    <d v="2025-12-30T00:00:00"/>
    <s v="IKEA"/>
    <s v="Retail"/>
    <s v="Sweden"/>
    <s v="Singapore"/>
    <s v="Rotterdam"/>
    <x v="1"/>
    <s v="Ever Ace"/>
    <s v="Reefer"/>
    <n v="4"/>
    <s v="Electronics"/>
    <n v="108755.74"/>
    <n v="26463.16"/>
    <n v="7055.89"/>
    <n v="3000.93"/>
    <n v="1087.56"/>
    <n v="748.16"/>
    <n v="1232.29"/>
    <n v="69167.75"/>
    <n v="12"/>
    <s v="Labor Strike"/>
    <n v="220.53"/>
    <s v="Delayed"/>
    <s v="Pending"/>
    <s v="Critical"/>
    <s v="L. Chen"/>
    <s v="Europe"/>
    <d v="2025-11-01T00:00:00"/>
    <x v="3"/>
  </r>
  <r>
    <x v="874"/>
    <s v="BK50998"/>
    <d v="2025-09-11T00:00:00"/>
    <d v="2025-09-14T00:00:00"/>
    <d v="2025-10-12T00:00:00"/>
    <s v="IKEA"/>
    <s v="Retail"/>
    <s v="Sweden"/>
    <s v="Busan"/>
    <s v="Los Angeles"/>
    <x v="3"/>
    <s v="Mumbai Maersk"/>
    <s v="20FT"/>
    <n v="4"/>
    <s v="Electronics"/>
    <n v="108758.49"/>
    <n v="19461.97"/>
    <n v="6237.12"/>
    <n v="1957.04"/>
    <n v="1087.58"/>
    <n v="193.58"/>
    <n v="1839.95"/>
    <n v="77981.25"/>
    <n v="12"/>
    <s v="Customs"/>
    <n v="162.18"/>
    <s v="Delayed"/>
    <s v="Pending"/>
    <s v="High"/>
    <s v="R. Mehta"/>
    <s v="Europe"/>
    <d v="2025-09-01T00:00:00"/>
    <x v="17"/>
  </r>
  <r>
    <x v="875"/>
    <s v="BK50716"/>
    <d v="2025-10-10T00:00:00"/>
    <d v="2025-10-12T00:00:00"/>
    <d v="2025-11-06T00:00:00"/>
    <s v="IKEA"/>
    <s v="Retail"/>
    <s v="Sweden"/>
    <s v="Busan"/>
    <s v="Los Angeles"/>
    <x v="3"/>
    <s v="Madrid Maersk"/>
    <s v="Reefer"/>
    <n v="4"/>
    <s v="Food"/>
    <n v="110331.43"/>
    <n v="24936.1"/>
    <n v="6740.35"/>
    <n v="3058.67"/>
    <n v="1103.31"/>
    <n v="883.61"/>
    <n v="2101.98"/>
    <n v="71507.41"/>
    <n v="0"/>
    <s v="None"/>
    <n v="207.8"/>
    <s v="Completed"/>
    <s v="Pending"/>
    <s v="High"/>
    <s v="A. Tan"/>
    <s v="Asia"/>
    <d v="2025-10-01T00:00:00"/>
    <x v="10"/>
  </r>
  <r>
    <x v="876"/>
    <s v="BK50418"/>
    <d v="2025-08-16T00:00:00"/>
    <d v="2025-08-19T00:00:00"/>
    <d v="2025-09-13T00:00:00"/>
    <s v="Nestlé"/>
    <s v="Food"/>
    <s v="Switzerland"/>
    <s v="New York"/>
    <s v="Jebel Ali"/>
    <x v="2"/>
    <s v="Monaco Maersk"/>
    <s v="Reefer"/>
    <n v="4"/>
    <s v="Auto Parts"/>
    <n v="110894.71"/>
    <n v="30363.82"/>
    <n v="6753.58"/>
    <n v="1537.6"/>
    <n v="1108.95"/>
    <n v="665.94"/>
    <n v="1308.7"/>
    <n v="69156.12"/>
    <n v="8"/>
    <s v="Weather"/>
    <n v="253.03"/>
    <s v="Delayed"/>
    <s v="Pending"/>
    <s v="Critical"/>
    <s v="R. Mehta"/>
    <s v="Europe"/>
    <d v="2025-08-01T00:00:00"/>
    <x v="10"/>
  </r>
  <r>
    <x v="877"/>
    <s v="BK50654"/>
    <d v="2025-01-06T00:00:00"/>
    <d v="2025-01-10T00:00:00"/>
    <d v="2025-01-22T00:00:00"/>
    <s v="IKEA"/>
    <s v="Retail"/>
    <s v="Sweden"/>
    <s v="Jebel Ali"/>
    <s v="Nhava Sheva"/>
    <x v="0"/>
    <s v="MSC Gülsün"/>
    <s v="Reefer"/>
    <n v="4"/>
    <s v="Furniture"/>
    <n v="111938.22"/>
    <n v="19698.12"/>
    <n v="7838.66"/>
    <n v="1535.53"/>
    <n v="1119.3800000000001"/>
    <n v="770.32"/>
    <n v="2092.4499999999998"/>
    <n v="78883.759999999995"/>
    <n v="12"/>
    <s v="Port Congestion"/>
    <n v="164.15"/>
    <s v="Delayed"/>
    <s v="Paid"/>
    <s v="High"/>
    <s v="M. Ahmed"/>
    <s v="Middle East"/>
    <d v="2025-01-01T00:00:00"/>
    <x v="12"/>
  </r>
  <r>
    <x v="878"/>
    <s v="BK50434"/>
    <d v="2025-03-30T00:00:00"/>
    <d v="2025-04-02T00:00:00"/>
    <d v="2025-04-20T00:00:00"/>
    <s v="LG"/>
    <s v="Electronics"/>
    <s v="South Korea"/>
    <s v="Hamburg"/>
    <s v="New York"/>
    <x v="2"/>
    <s v="OOCL Hong Kong"/>
    <s v="High Cube"/>
    <n v="4"/>
    <s v="Auto Parts"/>
    <n v="111998.55"/>
    <n v="33270.339999999997"/>
    <n v="8210.32"/>
    <n v="2314.3200000000002"/>
    <n v="1119.99"/>
    <n v="801.44"/>
    <n v="1292.54"/>
    <n v="64989.599999999999"/>
    <n v="0"/>
    <s v="None"/>
    <n v="277.25"/>
    <s v="Completed"/>
    <s v="Pending"/>
    <s v="High"/>
    <s v="J. Smith"/>
    <s v="North America"/>
    <d v="2025-03-01T00:00:00"/>
    <x v="14"/>
  </r>
  <r>
    <x v="879"/>
    <s v="BK50667"/>
    <d v="2025-11-19T00:00:00"/>
    <d v="2025-11-23T00:00:00"/>
    <d v="2025-12-04T00:00:00"/>
    <s v="Bosch"/>
    <s v="Manufacturing"/>
    <s v="Germany"/>
    <s v="Busan"/>
    <s v="Los Angeles"/>
    <x v="3"/>
    <s v="OOCL Hong Kong"/>
    <s v="40FT"/>
    <n v="4"/>
    <s v="Electronics"/>
    <n v="112707.96"/>
    <n v="21981.16"/>
    <n v="5956.28"/>
    <n v="3244.14"/>
    <n v="1127.08"/>
    <n v="700.06"/>
    <n v="2231.37"/>
    <n v="77467.87"/>
    <n v="0"/>
    <s v="None"/>
    <n v="183.18"/>
    <s v="Completed"/>
    <s v="Paid"/>
    <s v="High"/>
    <s v="M. Ahmed"/>
    <s v="Middle East"/>
    <d v="2025-11-01T00:00:00"/>
    <x v="5"/>
  </r>
  <r>
    <x v="880"/>
    <s v="BK50608"/>
    <d v="2025-05-24T00:00:00"/>
    <d v="2025-05-26T00:00:00"/>
    <d v="2025-06-13T00:00:00"/>
    <s v="Toyota"/>
    <s v="Automotive"/>
    <s v="Japan"/>
    <s v="Singapore"/>
    <s v="Rotterdam"/>
    <x v="1"/>
    <s v="Monaco Maersk"/>
    <s v="Reefer"/>
    <n v="4"/>
    <s v="Furniture"/>
    <n v="112811.39"/>
    <n v="24823.3"/>
    <n v="7159.2"/>
    <n v="2483.3200000000002"/>
    <n v="1128.1099999999999"/>
    <n v="217.34"/>
    <n v="1924.46"/>
    <n v="75075.66"/>
    <n v="48"/>
    <s v="Weather"/>
    <n v="206.86"/>
    <s v="Delayed"/>
    <s v="Pending"/>
    <s v="Critical"/>
    <s v="J. Smith"/>
    <s v="Middle East"/>
    <d v="2025-05-01T00:00:00"/>
    <x v="14"/>
  </r>
  <r>
    <x v="881"/>
    <s v="BK50551"/>
    <d v="2025-10-25T00:00:00"/>
    <d v="2025-10-29T00:00:00"/>
    <d v="2025-11-23T00:00:00"/>
    <s v="Adidas"/>
    <s v="Retail"/>
    <s v="Germany"/>
    <s v="Shanghai"/>
    <s v="Rotterdam"/>
    <x v="1"/>
    <s v="Mary Maersk"/>
    <s v="40FT"/>
    <n v="4"/>
    <s v="Machinery"/>
    <n v="113157.9"/>
    <n v="29142.35"/>
    <n v="5035.18"/>
    <n v="3048.41"/>
    <n v="1131.58"/>
    <n v="451.72"/>
    <n v="2115.1999999999998"/>
    <n v="72233.460000000006"/>
    <n v="0"/>
    <s v="None"/>
    <n v="242.85"/>
    <s v="Completed"/>
    <s v="Paid"/>
    <s v="Critical"/>
    <s v="J. Smith"/>
    <s v="Asia"/>
    <d v="2025-10-01T00:00:00"/>
    <x v="10"/>
  </r>
  <r>
    <x v="882"/>
    <s v="BK50507"/>
    <d v="2025-02-15T00:00:00"/>
    <d v="2025-02-16T00:00:00"/>
    <d v="2025-02-27T00:00:00"/>
    <s v="LG"/>
    <s v="Electronics"/>
    <s v="South Korea"/>
    <s v="Colombo"/>
    <s v="Singapore"/>
    <x v="4"/>
    <s v="Mumbai Maersk"/>
    <s v="Reefer"/>
    <n v="4"/>
    <s v="Food"/>
    <n v="113678.73"/>
    <n v="28681.06"/>
    <n v="6771.26"/>
    <n v="2026.86"/>
    <n v="1136.79"/>
    <n v="271.17"/>
    <n v="693.26"/>
    <n v="74098.33"/>
    <n v="24"/>
    <s v="Weather"/>
    <n v="239.01"/>
    <s v="Delayed"/>
    <s v="Paid"/>
    <s v="Critical"/>
    <s v="J. Smith"/>
    <s v="Middle East"/>
    <d v="2025-02-01T00:00:00"/>
    <x v="5"/>
  </r>
  <r>
    <x v="883"/>
    <s v="BK50026"/>
    <d v="2025-05-31T00:00:00"/>
    <d v="2025-06-04T00:00:00"/>
    <d v="2025-06-15T00:00:00"/>
    <s v="Amazon"/>
    <s v="E-commerce"/>
    <s v="USA"/>
    <s v="Colombo"/>
    <s v="Singapore"/>
    <x v="4"/>
    <s v="Madrid Maersk"/>
    <s v="20FT"/>
    <n v="4"/>
    <s v="Furniture"/>
    <n v="113699.48"/>
    <n v="27291.19"/>
    <n v="6083.06"/>
    <n v="1925.25"/>
    <n v="1136.99"/>
    <n v="353.02"/>
    <n v="2496.67"/>
    <n v="74413.3"/>
    <n v="8"/>
    <s v="Port Congestion"/>
    <n v="227.43"/>
    <s v="Delayed"/>
    <s v="Paid"/>
    <s v="Critical"/>
    <s v="L. Chen"/>
    <s v="Middle East"/>
    <d v="2025-05-01T00:00:00"/>
    <x v="5"/>
  </r>
  <r>
    <x v="884"/>
    <s v="BK50734"/>
    <d v="2025-03-25T00:00:00"/>
    <d v="2025-03-29T00:00:00"/>
    <d v="2025-04-23T00:00:00"/>
    <s v="Siemens"/>
    <s v="Engineering"/>
    <s v="Germany"/>
    <s v="Nhava Sheva"/>
    <s v="Nhava Sheva"/>
    <x v="2"/>
    <s v="Madrid Maersk"/>
    <s v="20FT"/>
    <n v="4"/>
    <s v="Machinery"/>
    <n v="114825.85"/>
    <n v="34160.49"/>
    <n v="7477.02"/>
    <n v="3113.35"/>
    <n v="1148.26"/>
    <n v="245.1"/>
    <n v="2130.9499999999998"/>
    <n v="66550.679999999993"/>
    <n v="4"/>
    <s v="Port Congestion"/>
    <n v="284.67"/>
    <s v="Delayed"/>
    <s v="Pending"/>
    <s v="Critical"/>
    <s v="L. Chen"/>
    <s v="North America"/>
    <d v="2025-03-01T00:00:00"/>
    <x v="10"/>
  </r>
  <r>
    <x v="885"/>
    <s v="BK50393"/>
    <d v="2025-02-01T00:00:00"/>
    <d v="2025-02-05T00:00:00"/>
    <d v="2025-02-22T00:00:00"/>
    <s v="Adidas"/>
    <s v="Retail"/>
    <s v="Germany"/>
    <s v="Jebel Ali"/>
    <s v="Nhava Sheva"/>
    <x v="0"/>
    <s v="Mumbai Maersk"/>
    <s v="20FT"/>
    <n v="4"/>
    <s v="Textiles"/>
    <n v="115409.44"/>
    <n v="26886"/>
    <n v="5729.19"/>
    <n v="1977.12"/>
    <n v="1154.0899999999999"/>
    <n v="307.77999999999997"/>
    <n v="1631.17"/>
    <n v="77724.09"/>
    <n v="24"/>
    <s v="Mechanical"/>
    <n v="224.05"/>
    <s v="Delayed"/>
    <s v="Pending"/>
    <s v="Critical"/>
    <s v="A. Tan"/>
    <s v="Middle East"/>
    <d v="2025-02-01T00:00:00"/>
    <x v="18"/>
  </r>
  <r>
    <x v="886"/>
    <s v="BK50846"/>
    <d v="2025-08-16T00:00:00"/>
    <d v="2025-08-19T00:00:00"/>
    <d v="2025-08-30T00:00:00"/>
    <s v="Reliance"/>
    <s v="Retail"/>
    <s v="India"/>
    <s v="Colombo"/>
    <s v="Singapore"/>
    <x v="4"/>
    <s v="Mumbai Maersk"/>
    <s v="Reefer"/>
    <n v="4"/>
    <s v="Food"/>
    <n v="115448.29"/>
    <n v="31610.99"/>
    <n v="5786.18"/>
    <n v="2993.9"/>
    <n v="1154.48"/>
    <n v="522.13"/>
    <n v="1217.0899999999999"/>
    <n v="72163.520000000004"/>
    <n v="0"/>
    <s v="None"/>
    <n v="263.42"/>
    <s v="Completed"/>
    <s v="Pending"/>
    <s v="Standard"/>
    <s v="R. Mehta"/>
    <s v="Europe"/>
    <d v="2025-08-01T00:00:00"/>
    <x v="5"/>
  </r>
  <r>
    <x v="887"/>
    <s v="BK50647"/>
    <d v="2025-04-23T00:00:00"/>
    <d v="2025-04-27T00:00:00"/>
    <d v="2025-05-12T00:00:00"/>
    <s v="Adidas"/>
    <s v="Retail"/>
    <s v="Germany"/>
    <s v="Jebel Ali"/>
    <s v="Nhava Sheva"/>
    <x v="0"/>
    <s v="Monaco Maersk"/>
    <s v="Reefer"/>
    <n v="4"/>
    <s v="Electronics"/>
    <n v="115489.1"/>
    <n v="28503.34"/>
    <n v="5367.86"/>
    <n v="1519.93"/>
    <n v="1154.8900000000001"/>
    <n v="828.73"/>
    <n v="407.53"/>
    <n v="77706.820000000007"/>
    <n v="48"/>
    <s v="Labor Strike"/>
    <n v="237.53"/>
    <s v="Delayed"/>
    <s v="Paid"/>
    <s v="High"/>
    <s v="J. Smith"/>
    <s v="Europe"/>
    <d v="2025-04-01T00:00:00"/>
    <x v="6"/>
  </r>
  <r>
    <x v="888"/>
    <s v="BK50837"/>
    <d v="2025-11-04T00:00:00"/>
    <d v="2025-11-07T00:00:00"/>
    <d v="2025-11-18T00:00:00"/>
    <s v="Siemens"/>
    <s v="Engineering"/>
    <s v="Germany"/>
    <s v="Colombo"/>
    <s v="Singapore"/>
    <x v="4"/>
    <s v="Madrid Maersk"/>
    <s v="40FT"/>
    <n v="4"/>
    <s v="Chemicals"/>
    <n v="115671.54"/>
    <n v="20466.560000000001"/>
    <n v="6949.21"/>
    <n v="1298.6300000000001"/>
    <n v="1156.72"/>
    <n v="291.74"/>
    <n v="1757.43"/>
    <n v="83751.25"/>
    <n v="36"/>
    <s v="Port Congestion"/>
    <n v="170.55"/>
    <s v="Delayed"/>
    <s v="Paid"/>
    <s v="High"/>
    <s v="J. Smith"/>
    <s v="Europe"/>
    <d v="2025-11-01T00:00:00"/>
    <x v="5"/>
  </r>
  <r>
    <x v="889"/>
    <s v="BK50065"/>
    <d v="2025-06-30T00:00:00"/>
    <d v="2025-07-01T00:00:00"/>
    <d v="2025-07-13T00:00:00"/>
    <s v="Samsung"/>
    <s v="Electronics"/>
    <s v="South Korea"/>
    <s v="Busan"/>
    <s v="Los Angeles"/>
    <x v="3"/>
    <s v="MSC Gülsün"/>
    <s v="High Cube"/>
    <n v="4"/>
    <s v="Electronics"/>
    <n v="115687.94"/>
    <n v="25465.439999999999"/>
    <n v="6731.54"/>
    <n v="2323.2800000000002"/>
    <n v="1156.8800000000001"/>
    <n v="648.16"/>
    <n v="1755.22"/>
    <n v="77607.42"/>
    <n v="0"/>
    <s v="None"/>
    <n v="212.21"/>
    <s v="Completed"/>
    <s v="Paid"/>
    <s v="High"/>
    <s v="L. Chen"/>
    <s v="Asia"/>
    <d v="2025-06-01T00:00:00"/>
    <x v="12"/>
  </r>
  <r>
    <x v="890"/>
    <s v="BK50254"/>
    <d v="2025-07-25T00:00:00"/>
    <d v="2025-07-28T00:00:00"/>
    <d v="2025-08-16T00:00:00"/>
    <s v="Unilever"/>
    <s v="FMCG"/>
    <s v="UK"/>
    <s v="Jebel Ali"/>
    <s v="Nhava Sheva"/>
    <x v="0"/>
    <s v="Ever Ace"/>
    <s v="20FT"/>
    <n v="4"/>
    <s v="Chemicals"/>
    <n v="116412.07"/>
    <n v="24315.62"/>
    <n v="4992.0600000000004"/>
    <n v="2302.38"/>
    <n v="1164.1199999999999"/>
    <n v="398.58"/>
    <n v="1091.58"/>
    <n v="82147.73"/>
    <n v="36"/>
    <s v="Port Congestion"/>
    <n v="202.63"/>
    <s v="Delayed"/>
    <s v="Paid"/>
    <s v="Critical"/>
    <s v="R. Mehta"/>
    <s v="Europe"/>
    <d v="2025-07-01T00:00:00"/>
    <x v="11"/>
  </r>
  <r>
    <x v="891"/>
    <s v="BK50281"/>
    <d v="2025-09-05T00:00:00"/>
    <d v="2025-09-07T00:00:00"/>
    <d v="2025-09-18T00:00:00"/>
    <s v="Siemens"/>
    <s v="Engineering"/>
    <s v="Germany"/>
    <s v="Shanghai"/>
    <s v="Rotterdam"/>
    <x v="1"/>
    <s v="Madrid Maersk"/>
    <s v="20FT"/>
    <n v="4"/>
    <s v="Textiles"/>
    <n v="116630.06"/>
    <n v="21611.02"/>
    <n v="8418.2800000000007"/>
    <n v="2225.12"/>
    <n v="1166.3"/>
    <n v="127.93"/>
    <n v="1031.17"/>
    <n v="82050.240000000005"/>
    <n v="0"/>
    <s v="None"/>
    <n v="180.09"/>
    <s v="Completed"/>
    <s v="Pending"/>
    <s v="Standard"/>
    <s v="L. Chen"/>
    <s v="Europe"/>
    <d v="2025-09-01T00:00:00"/>
    <x v="5"/>
  </r>
  <r>
    <x v="892"/>
    <s v="BK50938"/>
    <d v="2025-10-08T00:00:00"/>
    <d v="2025-10-10T00:00:00"/>
    <d v="2025-10-24T00:00:00"/>
    <s v="Amazon"/>
    <s v="E-commerce"/>
    <s v="USA"/>
    <s v="Colombo"/>
    <s v="Hamburg"/>
    <x v="2"/>
    <s v="Ever Ace"/>
    <s v="20FT"/>
    <n v="4"/>
    <s v="Food"/>
    <n v="117006.35"/>
    <n v="22437.13"/>
    <n v="4780.9799999999996"/>
    <n v="1241.1400000000001"/>
    <n v="1170.06"/>
    <n v="158.69"/>
    <n v="934.09"/>
    <n v="86284.26"/>
    <n v="4"/>
    <s v="Port Congestion"/>
    <n v="186.98"/>
    <s v="Delayed"/>
    <s v="Paid"/>
    <s v="Critical"/>
    <s v="A. Tan"/>
    <s v="Asia"/>
    <d v="2025-10-01T00:00:00"/>
    <x v="1"/>
  </r>
  <r>
    <x v="893"/>
    <s v="BK50304"/>
    <d v="2025-12-14T00:00:00"/>
    <d v="2025-12-16T00:00:00"/>
    <d v="2026-01-11T00:00:00"/>
    <s v="Siemens"/>
    <s v="Engineering"/>
    <s v="Germany"/>
    <s v="Busan"/>
    <s v="Jebel Ali"/>
    <x v="2"/>
    <s v="Ever Ace"/>
    <s v="Reefer"/>
    <n v="4"/>
    <s v="Textiles"/>
    <n v="119181.84"/>
    <n v="30533.19"/>
    <n v="4900.05"/>
    <n v="1214.24"/>
    <n v="1191.82"/>
    <n v="586.70000000000005"/>
    <n v="633.30999999999995"/>
    <n v="80122.53"/>
    <n v="8"/>
    <s v="Mechanical"/>
    <n v="254.44"/>
    <s v="Delayed"/>
    <s v="Paid"/>
    <s v="Standard"/>
    <s v="J. Smith"/>
    <s v="North America"/>
    <d v="2025-12-01T00:00:00"/>
    <x v="3"/>
  </r>
  <r>
    <x v="894"/>
    <s v="BK50580"/>
    <d v="2025-08-08T00:00:00"/>
    <d v="2025-08-12T00:00:00"/>
    <d v="2025-08-25T00:00:00"/>
    <s v="Amazon"/>
    <s v="E-commerce"/>
    <s v="USA"/>
    <s v="Colombo"/>
    <s v="Singapore"/>
    <x v="4"/>
    <s v="Ever Ace"/>
    <s v="High Cube"/>
    <n v="4"/>
    <s v="Auto Parts"/>
    <n v="119517.65"/>
    <n v="30654.74"/>
    <n v="9128.15"/>
    <n v="1711.51"/>
    <n v="1195.18"/>
    <n v="213.58"/>
    <n v="1766.18"/>
    <n v="74848.31"/>
    <n v="0"/>
    <s v="None"/>
    <n v="255.46"/>
    <s v="Completed"/>
    <s v="Pending"/>
    <s v="High"/>
    <s v="J. Smith"/>
    <s v="North America"/>
    <d v="2025-08-01T00:00:00"/>
    <x v="13"/>
  </r>
  <r>
    <x v="895"/>
    <s v="BK50767"/>
    <d v="2025-11-02T00:00:00"/>
    <d v="2025-11-04T00:00:00"/>
    <d v="2025-11-15T00:00:00"/>
    <s v="Bosch"/>
    <s v="Manufacturing"/>
    <s v="Germany"/>
    <s v="Shanghai"/>
    <s v="Rotterdam"/>
    <x v="1"/>
    <s v="OOCL Hong Kong"/>
    <s v="20FT"/>
    <n v="4"/>
    <s v="Chemicals"/>
    <n v="119600.62"/>
    <n v="33341.269999999997"/>
    <n v="9142.11"/>
    <n v="1976.59"/>
    <n v="1196.01"/>
    <n v="271.95"/>
    <n v="1843.91"/>
    <n v="71828.78"/>
    <n v="36"/>
    <s v="Customs"/>
    <n v="277.83999999999997"/>
    <s v="Delayed"/>
    <s v="Pending"/>
    <s v="Critical"/>
    <s v="L. Chen"/>
    <s v="Europe"/>
    <d v="2025-11-01T00:00:00"/>
    <x v="5"/>
  </r>
  <r>
    <x v="896"/>
    <s v="BK50394"/>
    <d v="2025-07-21T00:00:00"/>
    <d v="2025-07-24T00:00:00"/>
    <d v="2025-08-16T00:00:00"/>
    <s v="IKEA"/>
    <s v="Retail"/>
    <s v="Sweden"/>
    <s v="Colombo"/>
    <s v="Colombo"/>
    <x v="2"/>
    <s v="Mumbai Maersk"/>
    <s v="Reefer"/>
    <n v="4"/>
    <s v="Textiles"/>
    <n v="119679.91"/>
    <n v="25789.79"/>
    <n v="7307.91"/>
    <n v="3369.37"/>
    <n v="1196.8"/>
    <n v="470.21"/>
    <n v="1308.6600000000001"/>
    <n v="80237.17"/>
    <n v="0"/>
    <s v="None"/>
    <n v="214.91"/>
    <s v="Completed"/>
    <s v="Paid"/>
    <s v="Standard"/>
    <s v="R. Mehta"/>
    <s v="Middle East"/>
    <d v="2025-07-01T00:00:00"/>
    <x v="7"/>
  </r>
  <r>
    <x v="897"/>
    <s v="BK50235"/>
    <d v="2025-02-14T00:00:00"/>
    <d v="2025-02-15T00:00:00"/>
    <d v="2025-03-02T00:00:00"/>
    <s v="IKEA"/>
    <s v="Retail"/>
    <s v="Sweden"/>
    <s v="Busan"/>
    <s v="Los Angeles"/>
    <x v="3"/>
    <s v="OOCL Hong Kong"/>
    <s v="High Cube"/>
    <n v="4"/>
    <s v="Chemicals"/>
    <n v="120501.48"/>
    <n v="28194.86"/>
    <n v="8413"/>
    <n v="1996.77"/>
    <n v="1205.01"/>
    <n v="512.83000000000004"/>
    <n v="2480.4499999999998"/>
    <n v="77698.559999999998"/>
    <n v="4"/>
    <s v="Labor Strike"/>
    <n v="234.96"/>
    <s v="Delayed"/>
    <s v="Pending"/>
    <s v="High"/>
    <s v="M. Ahmed"/>
    <s v="Middle East"/>
    <d v="2025-02-01T00:00:00"/>
    <x v="6"/>
  </r>
  <r>
    <x v="898"/>
    <s v="BK50013"/>
    <d v="2025-09-09T00:00:00"/>
    <d v="2025-09-13T00:00:00"/>
    <d v="2025-10-02T00:00:00"/>
    <s v="LG"/>
    <s v="Electronics"/>
    <s v="South Korea"/>
    <s v="Colombo"/>
    <s v="Singapore"/>
    <x v="4"/>
    <s v="CMA CGM Jacques Saadé"/>
    <s v="High Cube"/>
    <n v="4"/>
    <s v="Auto Parts"/>
    <n v="123186.5"/>
    <n v="19787.849999999999"/>
    <n v="8608.84"/>
    <n v="3355.19"/>
    <n v="1231.8699999999999"/>
    <n v="243.57"/>
    <n v="1155.6199999999999"/>
    <n v="88803.56"/>
    <n v="0"/>
    <s v="None"/>
    <n v="164.9"/>
    <s v="Completed"/>
    <s v="Pending"/>
    <s v="Standard"/>
    <s v="A. Tan"/>
    <s v="North America"/>
    <d v="2025-09-01T00:00:00"/>
    <x v="11"/>
  </r>
  <r>
    <x v="899"/>
    <s v="BK50320"/>
    <d v="2025-11-13T00:00:00"/>
    <d v="2025-11-14T00:00:00"/>
    <d v="2025-12-08T00:00:00"/>
    <s v="Pfizer"/>
    <s v="Pharma"/>
    <s v="USA"/>
    <s v="Colombo"/>
    <s v="Singapore"/>
    <x v="4"/>
    <s v="CMA CGM Jacques Saadé"/>
    <s v="40FT"/>
    <n v="4"/>
    <s v="Machinery"/>
    <n v="124440.78"/>
    <n v="23872.69"/>
    <n v="7425.23"/>
    <n v="2474.73"/>
    <n v="1244.4100000000001"/>
    <n v="160.69"/>
    <n v="760.78"/>
    <n v="88502.25"/>
    <n v="48"/>
    <s v="Port Congestion"/>
    <n v="198.94"/>
    <s v="Delayed"/>
    <s v="Pending"/>
    <s v="Critical"/>
    <s v="A. Tan"/>
    <s v="Europe"/>
    <d v="2025-11-01T00:00:00"/>
    <x v="8"/>
  </r>
  <r>
    <x v="900"/>
    <s v="BK50341"/>
    <d v="2025-08-25T00:00:00"/>
    <d v="2025-08-26T00:00:00"/>
    <d v="2025-09-17T00:00:00"/>
    <s v="IKEA"/>
    <s v="Retail"/>
    <s v="Sweden"/>
    <s v="Busan"/>
    <s v="Singapore"/>
    <x v="2"/>
    <s v="OOCL Hong Kong"/>
    <s v="40FT"/>
    <n v="4"/>
    <s v="Auto Parts"/>
    <n v="124720.57"/>
    <n v="19998.34"/>
    <n v="7632.16"/>
    <n v="2054.92"/>
    <n v="1247.21"/>
    <n v="173.29"/>
    <n v="1624.61"/>
    <n v="91990.04"/>
    <n v="0"/>
    <s v="None"/>
    <n v="166.65"/>
    <s v="Completed"/>
    <s v="Paid"/>
    <s v="Standard"/>
    <s v="R. Mehta"/>
    <s v="Middle East"/>
    <d v="2025-08-01T00:00:00"/>
    <x v="4"/>
  </r>
  <r>
    <x v="901"/>
    <s v="BK50691"/>
    <d v="2025-08-06T00:00:00"/>
    <d v="2025-08-08T00:00:00"/>
    <d v="2025-09-06T00:00:00"/>
    <s v="Siemens"/>
    <s v="Engineering"/>
    <s v="Germany"/>
    <s v="Busan"/>
    <s v="Los Angeles"/>
    <x v="3"/>
    <s v="Ever Ace"/>
    <s v="20FT"/>
    <n v="4"/>
    <s v="Furniture"/>
    <n v="125102.5"/>
    <n v="35570.53"/>
    <n v="9592.48"/>
    <n v="1781.83"/>
    <n v="1251.03"/>
    <n v="473.72"/>
    <n v="547.03"/>
    <n v="75885.88"/>
    <n v="48"/>
    <s v="Customs"/>
    <n v="296.42"/>
    <s v="Delayed"/>
    <s v="Paid"/>
    <s v="High"/>
    <s v="M. Ahmed"/>
    <s v="Middle East"/>
    <d v="2025-08-01T00:00:00"/>
    <x v="20"/>
  </r>
  <r>
    <x v="902"/>
    <s v="BK50635"/>
    <d v="2025-10-16T00:00:00"/>
    <d v="2025-10-20T00:00:00"/>
    <d v="2025-11-01T00:00:00"/>
    <s v="LG"/>
    <s v="Electronics"/>
    <s v="South Korea"/>
    <s v="Busan"/>
    <s v="Los Angeles"/>
    <x v="3"/>
    <s v="MSC Gülsün"/>
    <s v="High Cube"/>
    <n v="4"/>
    <s v="Electronics"/>
    <n v="125279.39"/>
    <n v="21055.21"/>
    <n v="6620.38"/>
    <n v="1597.53"/>
    <n v="1252.79"/>
    <n v="418.01"/>
    <n v="1171.52"/>
    <n v="93163.95"/>
    <n v="12"/>
    <s v="Port Congestion"/>
    <n v="175.46"/>
    <s v="Delayed"/>
    <s v="Pending"/>
    <s v="Critical"/>
    <s v="L. Chen"/>
    <s v="Middle East"/>
    <d v="2025-10-01T00:00:00"/>
    <x v="12"/>
  </r>
  <r>
    <x v="903"/>
    <s v="BK50842"/>
    <d v="2025-08-12T00:00:00"/>
    <d v="2025-08-13T00:00:00"/>
    <d v="2025-09-09T00:00:00"/>
    <s v="IKEA"/>
    <s v="Retail"/>
    <s v="Sweden"/>
    <s v="Jebel Ali"/>
    <s v="Nhava Sheva"/>
    <x v="0"/>
    <s v="OOCL Hong Kong"/>
    <s v="Reefer"/>
    <n v="4"/>
    <s v="Chemicals"/>
    <n v="126240.95"/>
    <n v="26738.93"/>
    <n v="5801.94"/>
    <n v="1405.76"/>
    <n v="1262.4100000000001"/>
    <n v="378.13"/>
    <n v="2469.0700000000002"/>
    <n v="88184.71"/>
    <n v="48"/>
    <s v="Port Congestion"/>
    <n v="222.82"/>
    <s v="Delayed"/>
    <s v="Paid"/>
    <s v="High"/>
    <s v="J. Smith"/>
    <s v="Middle East"/>
    <d v="2025-08-01T00:00:00"/>
    <x v="2"/>
  </r>
  <r>
    <x v="904"/>
    <s v="BK50759"/>
    <d v="2025-12-26T00:00:00"/>
    <d v="2025-12-27T00:00:00"/>
    <d v="2026-01-23T00:00:00"/>
    <s v="Pfizer"/>
    <s v="Pharma"/>
    <s v="USA"/>
    <s v="Shanghai"/>
    <s v="Rotterdam"/>
    <x v="1"/>
    <s v="Monaco Maersk"/>
    <s v="20FT"/>
    <n v="4"/>
    <s v="Textiles"/>
    <n v="126472.71"/>
    <n v="33300.370000000003"/>
    <n v="6893.1"/>
    <n v="1962.43"/>
    <n v="1264.73"/>
    <n v="695"/>
    <n v="606.44000000000005"/>
    <n v="81750.64"/>
    <n v="12"/>
    <s v="Mechanical"/>
    <n v="277.5"/>
    <s v="Delayed"/>
    <s v="Pending"/>
    <s v="High"/>
    <s v="R. Mehta"/>
    <s v="Europe"/>
    <d v="2025-12-01T00:00:00"/>
    <x v="2"/>
  </r>
  <r>
    <x v="905"/>
    <s v="BK50370"/>
    <d v="2025-09-20T00:00:00"/>
    <d v="2025-09-22T00:00:00"/>
    <d v="2025-10-05T00:00:00"/>
    <s v="LG"/>
    <s v="Electronics"/>
    <s v="South Korea"/>
    <s v="Colombo"/>
    <s v="Singapore"/>
    <x v="4"/>
    <s v="Mary Maersk"/>
    <s v="20FT"/>
    <n v="4"/>
    <s v="Chemicals"/>
    <n v="126985.45"/>
    <n v="37995.65"/>
    <n v="6877.43"/>
    <n v="2909.26"/>
    <n v="1269.8499999999999"/>
    <n v="589.91"/>
    <n v="332.65"/>
    <n v="77010.7"/>
    <n v="0"/>
    <s v="None"/>
    <n v="316.63"/>
    <s v="Completed"/>
    <s v="Pending"/>
    <s v="Standard"/>
    <s v="L. Chen"/>
    <s v="Asia"/>
    <d v="2025-09-01T00:00:00"/>
    <x v="13"/>
  </r>
  <r>
    <x v="906"/>
    <s v="BK50456"/>
    <d v="2025-02-06T00:00:00"/>
    <d v="2025-02-08T00:00:00"/>
    <d v="2025-02-18T00:00:00"/>
    <s v="Bosch"/>
    <s v="Manufacturing"/>
    <s v="Germany"/>
    <s v="Colombo"/>
    <s v="New York"/>
    <x v="2"/>
    <s v="MSC Gülsün"/>
    <s v="40FT"/>
    <n v="4"/>
    <s v="Machinery"/>
    <n v="127201.79"/>
    <n v="27969.279999999999"/>
    <n v="8650.66"/>
    <n v="2987.94"/>
    <n v="1272.02"/>
    <n v="374.86"/>
    <n v="1107.1199999999999"/>
    <n v="84839.91"/>
    <n v="0"/>
    <s v="None"/>
    <n v="233.08"/>
    <s v="Completed"/>
    <s v="Pending"/>
    <s v="Standard"/>
    <s v="M. Ahmed"/>
    <s v="North America"/>
    <d v="2025-02-01T00:00:00"/>
    <x v="15"/>
  </r>
  <r>
    <x v="907"/>
    <s v="BK50293"/>
    <d v="2025-07-21T00:00:00"/>
    <d v="2025-07-25T00:00:00"/>
    <d v="2025-08-23T00:00:00"/>
    <s v="Toyota"/>
    <s v="Automotive"/>
    <s v="Japan"/>
    <s v="Shanghai"/>
    <s v="Rotterdam"/>
    <x v="1"/>
    <s v="MSC Gülsün"/>
    <s v="40FT"/>
    <n v="4"/>
    <s v="Auto Parts"/>
    <n v="128672.64"/>
    <n v="23785.88"/>
    <n v="8593.7199999999993"/>
    <n v="2817.6"/>
    <n v="1286.73"/>
    <n v="246.36"/>
    <n v="2267.6999999999998"/>
    <n v="89674.65"/>
    <n v="24"/>
    <s v="Port Congestion"/>
    <n v="198.22"/>
    <s v="Delayed"/>
    <s v="Paid"/>
    <s v="Standard"/>
    <s v="M. Ahmed"/>
    <s v="Europe"/>
    <d v="2025-07-01T00:00:00"/>
    <x v="20"/>
  </r>
  <r>
    <x v="908"/>
    <s v="BK50817"/>
    <d v="2025-09-15T00:00:00"/>
    <d v="2025-09-16T00:00:00"/>
    <d v="2025-10-03T00:00:00"/>
    <s v="Samsung"/>
    <s v="Electronics"/>
    <s v="South Korea"/>
    <s v="Busan"/>
    <s v="Los Angeles"/>
    <x v="3"/>
    <s v="CMA CGM Jacques Saadé"/>
    <s v="20FT"/>
    <n v="4"/>
    <s v="Food"/>
    <n v="128886.17"/>
    <n v="25069.47"/>
    <n v="6743.18"/>
    <n v="2721.63"/>
    <n v="1288.8599999999999"/>
    <n v="884.8"/>
    <n v="2196.33"/>
    <n v="89981.9"/>
    <n v="0"/>
    <s v="None"/>
    <n v="208.91"/>
    <s v="Completed"/>
    <s v="Paid"/>
    <s v="Critical"/>
    <s v="M. Ahmed"/>
    <s v="North America"/>
    <d v="2025-09-01T00:00:00"/>
    <x v="18"/>
  </r>
  <r>
    <x v="909"/>
    <s v="BK50614"/>
    <d v="2025-04-13T00:00:00"/>
    <d v="2025-04-17T00:00:00"/>
    <d v="2025-05-12T00:00:00"/>
    <s v="Samsung"/>
    <s v="Electronics"/>
    <s v="South Korea"/>
    <s v="Busan"/>
    <s v="Los Angeles"/>
    <x v="3"/>
    <s v="OOCL Hong Kong"/>
    <s v="20FT"/>
    <n v="4"/>
    <s v="Furniture"/>
    <n v="129009.55"/>
    <n v="30918.37"/>
    <n v="8288.0400000000009"/>
    <n v="1925.46"/>
    <n v="1290.0999999999999"/>
    <n v="272.33"/>
    <n v="311.58"/>
    <n v="86003.67"/>
    <n v="48"/>
    <s v="Port Congestion"/>
    <n v="257.64999999999998"/>
    <s v="Delayed"/>
    <s v="Paid"/>
    <s v="Critical"/>
    <s v="R. Mehta"/>
    <s v="Middle East"/>
    <d v="2025-04-01T00:00:00"/>
    <x v="10"/>
  </r>
  <r>
    <x v="910"/>
    <s v="BK50586"/>
    <d v="2025-07-31T00:00:00"/>
    <d v="2025-08-01T00:00:00"/>
    <d v="2025-08-29T00:00:00"/>
    <s v="Adidas"/>
    <s v="Retail"/>
    <s v="Germany"/>
    <s v="Colombo"/>
    <s v="Singapore"/>
    <x v="4"/>
    <s v="Ever Ace"/>
    <s v="40FT"/>
    <n v="4"/>
    <s v="Machinery"/>
    <n v="129463.11"/>
    <n v="25512.77"/>
    <n v="5471.08"/>
    <n v="1867.93"/>
    <n v="1294.6300000000001"/>
    <n v="614.91"/>
    <n v="678.72"/>
    <n v="94023.07"/>
    <n v="0"/>
    <s v="None"/>
    <n v="212.61"/>
    <s v="Completed"/>
    <s v="Pending"/>
    <s v="Critical"/>
    <s v="R. Mehta"/>
    <s v="Middle East"/>
    <d v="2025-07-01T00:00:00"/>
    <x v="17"/>
  </r>
  <r>
    <x v="911"/>
    <s v="BK50014"/>
    <d v="2025-10-18T00:00:00"/>
    <d v="2025-10-20T00:00:00"/>
    <d v="2025-11-14T00:00:00"/>
    <s v="Siemens"/>
    <s v="Engineering"/>
    <s v="Germany"/>
    <s v="New York"/>
    <s v="Singapore"/>
    <x v="2"/>
    <s v="MSC Gülsün"/>
    <s v="40FT"/>
    <n v="4"/>
    <s v="Textiles"/>
    <n v="129574.56"/>
    <n v="31923.19"/>
    <n v="5480.87"/>
    <n v="2551.4299999999998"/>
    <n v="1295.75"/>
    <n v="111.99"/>
    <n v="2227.2199999999998"/>
    <n v="85984.11"/>
    <n v="8"/>
    <s v="Customs"/>
    <n v="266.02999999999997"/>
    <s v="Delayed"/>
    <s v="Pending"/>
    <s v="Standard"/>
    <s v="L. Chen"/>
    <s v="Europe"/>
    <d v="2025-10-01T00:00:00"/>
    <x v="10"/>
  </r>
  <r>
    <x v="912"/>
    <s v="BK50356"/>
    <d v="2025-09-24T00:00:00"/>
    <d v="2025-09-27T00:00:00"/>
    <d v="2025-10-23T00:00:00"/>
    <s v="Pfizer"/>
    <s v="Pharma"/>
    <s v="USA"/>
    <s v="Singapore"/>
    <s v="Rotterdam"/>
    <x v="1"/>
    <s v="Mary Maersk"/>
    <s v="High Cube"/>
    <n v="4"/>
    <s v="Electronics"/>
    <n v="130965.94"/>
    <n v="25344.62"/>
    <n v="10069.08"/>
    <n v="3839.22"/>
    <n v="1309.6600000000001"/>
    <n v="663.07"/>
    <n v="328.73"/>
    <n v="89411.56"/>
    <n v="0"/>
    <s v="None"/>
    <n v="211.21"/>
    <s v="Completed"/>
    <s v="Pending"/>
    <s v="High"/>
    <s v="L. Chen"/>
    <s v="Asia"/>
    <d v="2025-09-01T00:00:00"/>
    <x v="3"/>
  </r>
  <r>
    <x v="913"/>
    <s v="BK50237"/>
    <d v="2025-09-13T00:00:00"/>
    <d v="2025-09-17T00:00:00"/>
    <d v="2025-10-16T00:00:00"/>
    <s v="Adidas"/>
    <s v="Retail"/>
    <s v="Germany"/>
    <s v="Colombo"/>
    <s v="Singapore"/>
    <x v="4"/>
    <s v="Mumbai Maersk"/>
    <s v="Reefer"/>
    <n v="4"/>
    <s v="Electronics"/>
    <n v="131518.82999999999"/>
    <n v="39039.760000000002"/>
    <n v="7082.47"/>
    <n v="1591.36"/>
    <n v="1315.19"/>
    <n v="820.79"/>
    <n v="2332.63"/>
    <n v="79336.63"/>
    <n v="48"/>
    <s v="Mechanical"/>
    <n v="325.33"/>
    <s v="Delayed"/>
    <s v="Pending"/>
    <s v="Standard"/>
    <s v="J. Smith"/>
    <s v="Europe"/>
    <d v="2025-09-01T00:00:00"/>
    <x v="20"/>
  </r>
  <r>
    <x v="914"/>
    <s v="BK50221"/>
    <d v="2025-06-24T00:00:00"/>
    <d v="2025-06-26T00:00:00"/>
    <d v="2025-07-26T00:00:00"/>
    <s v="IKEA"/>
    <s v="Retail"/>
    <s v="Sweden"/>
    <s v="Singapore"/>
    <s v="Rotterdam"/>
    <x v="1"/>
    <s v="OOCL Hong Kong"/>
    <s v="40FT"/>
    <n v="4"/>
    <s v="Furniture"/>
    <n v="131599.01"/>
    <n v="35203.89"/>
    <n v="8391.2800000000007"/>
    <n v="2203.37"/>
    <n v="1315.99"/>
    <n v="165.66"/>
    <n v="2203.17"/>
    <n v="82115.649999999994"/>
    <n v="48"/>
    <s v="Mechanical"/>
    <n v="293.37"/>
    <s v="Delayed"/>
    <s v="Pending"/>
    <s v="Critical"/>
    <s v="M. Ahmed"/>
    <s v="Middle East"/>
    <d v="2025-06-01T00:00:00"/>
    <x v="19"/>
  </r>
  <r>
    <x v="915"/>
    <s v="BK50184"/>
    <d v="2025-09-20T00:00:00"/>
    <d v="2025-09-23T00:00:00"/>
    <d v="2025-10-04T00:00:00"/>
    <s v="Amazon"/>
    <s v="E-commerce"/>
    <s v="USA"/>
    <s v="Jebel Ali"/>
    <s v="Nhava Sheva"/>
    <x v="0"/>
    <s v="Ever Ace"/>
    <s v="40FT"/>
    <n v="4"/>
    <s v="Textiles"/>
    <n v="131839.63"/>
    <n v="25817.81"/>
    <n v="5782"/>
    <n v="3332.91"/>
    <n v="1318.4"/>
    <n v="860.6"/>
    <n v="1291.27"/>
    <n v="93436.64"/>
    <n v="0"/>
    <s v="None"/>
    <n v="215.15"/>
    <s v="Completed"/>
    <s v="Pending"/>
    <s v="Critical"/>
    <s v="M. Ahmed"/>
    <s v="Europe"/>
    <d v="2025-09-01T00:00:00"/>
    <x v="5"/>
  </r>
  <r>
    <x v="916"/>
    <s v="BK50272"/>
    <d v="2025-07-01T00:00:00"/>
    <d v="2025-07-03T00:00:00"/>
    <d v="2025-07-17T00:00:00"/>
    <s v="IKEA"/>
    <s v="Retail"/>
    <s v="Sweden"/>
    <s v="Singapore"/>
    <s v="Rotterdam"/>
    <x v="1"/>
    <s v="Mumbai Maersk"/>
    <s v="Reefer"/>
    <n v="4"/>
    <s v="Chemicals"/>
    <n v="132104.28"/>
    <n v="39349.449999999997"/>
    <n v="7188.1"/>
    <n v="3389.73"/>
    <n v="1321.04"/>
    <n v="201.69"/>
    <n v="1080.69"/>
    <n v="79573.58"/>
    <n v="0"/>
    <s v="None"/>
    <n v="327.91"/>
    <s v="Completed"/>
    <s v="Pending"/>
    <s v="Standard"/>
    <s v="L. Chen"/>
    <s v="Middle East"/>
    <d v="2025-07-01T00:00:00"/>
    <x v="1"/>
  </r>
  <r>
    <x v="917"/>
    <s v="BK50266"/>
    <d v="2025-05-28T00:00:00"/>
    <d v="2025-06-01T00:00:00"/>
    <d v="2025-06-19T00:00:00"/>
    <s v="LG"/>
    <s v="Electronics"/>
    <s v="South Korea"/>
    <s v="Singapore"/>
    <s v="Busan"/>
    <x v="2"/>
    <s v="MSC Gülsün"/>
    <s v="40FT"/>
    <n v="4"/>
    <s v="Textiles"/>
    <n v="132295.76999999999"/>
    <n v="28605.11"/>
    <n v="6655.42"/>
    <n v="1972.62"/>
    <n v="1322.96"/>
    <n v="526.58000000000004"/>
    <n v="1990.51"/>
    <n v="91222.57"/>
    <n v="0"/>
    <s v="None"/>
    <n v="238.38"/>
    <s v="Completed"/>
    <s v="Pending"/>
    <s v="Standard"/>
    <s v="L. Chen"/>
    <s v="Middle East"/>
    <d v="2025-05-01T00:00:00"/>
    <x v="14"/>
  </r>
  <r>
    <x v="918"/>
    <s v="BK50613"/>
    <d v="2025-04-22T00:00:00"/>
    <d v="2025-04-25T00:00:00"/>
    <d v="2025-05-06T00:00:00"/>
    <s v="Siemens"/>
    <s v="Engineering"/>
    <s v="Germany"/>
    <s v="Colombo"/>
    <s v="Singapore"/>
    <x v="4"/>
    <s v="CMA CGM Jacques Saadé"/>
    <s v="20FT"/>
    <n v="4"/>
    <s v="Electronics"/>
    <n v="132421.69"/>
    <n v="29621.07"/>
    <n v="10401.69"/>
    <n v="2411.5100000000002"/>
    <n v="1324.22"/>
    <n v="686.08"/>
    <n v="384.86"/>
    <n v="87592.26"/>
    <n v="0"/>
    <s v="None"/>
    <n v="246.84"/>
    <s v="Completed"/>
    <s v="Pending"/>
    <s v="High"/>
    <s v="J. Smith"/>
    <s v="Asia"/>
    <d v="2025-04-01T00:00:00"/>
    <x v="5"/>
  </r>
  <r>
    <x v="919"/>
    <s v="BK50264"/>
    <d v="2025-04-10T00:00:00"/>
    <d v="2025-04-12T00:00:00"/>
    <d v="2025-04-22T00:00:00"/>
    <s v="Pfizer"/>
    <s v="Pharma"/>
    <s v="USA"/>
    <s v="Busan"/>
    <s v="Los Angeles"/>
    <x v="3"/>
    <s v="Ever Ace"/>
    <s v="Reefer"/>
    <n v="4"/>
    <s v="Electronics"/>
    <n v="132497.35"/>
    <n v="36151.370000000003"/>
    <n v="8863.48"/>
    <n v="1353.68"/>
    <n v="1324.97"/>
    <n v="466.6"/>
    <n v="2481.7600000000002"/>
    <n v="81855.490000000005"/>
    <n v="12"/>
    <s v="Weather"/>
    <n v="301.26"/>
    <s v="Delayed"/>
    <s v="Pending"/>
    <s v="Standard"/>
    <s v="M. Ahmed"/>
    <s v="Middle East"/>
    <d v="2025-04-01T00:00:00"/>
    <x v="15"/>
  </r>
  <r>
    <x v="920"/>
    <s v="BK50008"/>
    <d v="2025-06-20T00:00:00"/>
    <d v="2025-06-24T00:00:00"/>
    <d v="2025-07-06T00:00:00"/>
    <s v="Unilever"/>
    <s v="FMCG"/>
    <s v="UK"/>
    <s v="Shanghai"/>
    <s v="Rotterdam"/>
    <x v="1"/>
    <s v="Mary Maersk"/>
    <s v="High Cube"/>
    <n v="4"/>
    <s v="Food"/>
    <n v="132552.51999999999"/>
    <n v="36370.82"/>
    <n v="9792.27"/>
    <n v="2529.41"/>
    <n v="1325.53"/>
    <n v="860.96"/>
    <n v="2493"/>
    <n v="79180.53"/>
    <n v="0"/>
    <s v="None"/>
    <n v="303.08999999999997"/>
    <s v="Completed"/>
    <s v="Paid"/>
    <s v="Standard"/>
    <s v="J. Smith"/>
    <s v="North America"/>
    <d v="2025-06-01T00:00:00"/>
    <x v="12"/>
  </r>
  <r>
    <x v="921"/>
    <s v="BK50110"/>
    <d v="2025-01-09T00:00:00"/>
    <d v="2025-01-10T00:00:00"/>
    <d v="2025-02-03T00:00:00"/>
    <s v="LG"/>
    <s v="Electronics"/>
    <s v="South Korea"/>
    <s v="Busan"/>
    <s v="Los Angeles"/>
    <x v="3"/>
    <s v="OOCL Hong Kong"/>
    <s v="20FT"/>
    <n v="4"/>
    <s v="Textiles"/>
    <n v="133156.73000000001"/>
    <n v="21821.82"/>
    <n v="9515.2999999999993"/>
    <n v="1673.12"/>
    <n v="1331.57"/>
    <n v="222.6"/>
    <n v="2430.75"/>
    <n v="96161.57"/>
    <n v="0"/>
    <s v="None"/>
    <n v="181.85"/>
    <s v="Completed"/>
    <s v="Pending"/>
    <s v="Critical"/>
    <s v="R. Mehta"/>
    <s v="Europe"/>
    <d v="2025-01-01T00:00:00"/>
    <x v="8"/>
  </r>
  <r>
    <x v="922"/>
    <s v="BK50484"/>
    <d v="2025-11-21T00:00:00"/>
    <d v="2025-11-22T00:00:00"/>
    <d v="2025-12-06T00:00:00"/>
    <s v="Pfizer"/>
    <s v="Pharma"/>
    <s v="USA"/>
    <s v="Shanghai"/>
    <s v="Rotterdam"/>
    <x v="1"/>
    <s v="MSC Gülsün"/>
    <s v="Reefer"/>
    <n v="4"/>
    <s v="Furniture"/>
    <n v="133873.76"/>
    <n v="35511.58"/>
    <n v="8150.09"/>
    <n v="3413.74"/>
    <n v="1338.74"/>
    <n v="635.30999999999995"/>
    <n v="1562.2"/>
    <n v="83262.100000000006"/>
    <n v="36"/>
    <s v="Labor Strike"/>
    <n v="295.93"/>
    <s v="Delayed"/>
    <s v="Pending"/>
    <s v="High"/>
    <s v="L. Chen"/>
    <s v="Middle East"/>
    <d v="2025-11-01T00:00:00"/>
    <x v="1"/>
  </r>
  <r>
    <x v="923"/>
    <s v="BK50784"/>
    <d v="2025-07-22T00:00:00"/>
    <d v="2025-07-26T00:00:00"/>
    <d v="2025-08-14T00:00:00"/>
    <s v="Nestlé"/>
    <s v="Food"/>
    <s v="Switzerland"/>
    <s v="Rotterdam"/>
    <s v="Shanghai"/>
    <x v="2"/>
    <s v="OOCL Hong Kong"/>
    <s v="Reefer"/>
    <n v="4"/>
    <s v="Chemicals"/>
    <n v="134158.44"/>
    <n v="22934.44"/>
    <n v="5926.52"/>
    <n v="3845.71"/>
    <n v="1341.58"/>
    <n v="689.11"/>
    <n v="1756.34"/>
    <n v="97664.74"/>
    <n v="0"/>
    <s v="None"/>
    <n v="191.12"/>
    <s v="Completed"/>
    <s v="Pending"/>
    <s v="High"/>
    <s v="R. Mehta"/>
    <s v="Middle East"/>
    <d v="2025-07-01T00:00:00"/>
    <x v="11"/>
  </r>
  <r>
    <x v="924"/>
    <s v="BK50019"/>
    <d v="2025-05-11T00:00:00"/>
    <d v="2025-05-12T00:00:00"/>
    <d v="2025-05-27T00:00:00"/>
    <s v="Unilever"/>
    <s v="FMCG"/>
    <s v="UK"/>
    <s v="Colombo"/>
    <s v="Singapore"/>
    <x v="4"/>
    <s v="CMA CGM Jacques Saadé"/>
    <s v="40FT"/>
    <n v="4"/>
    <s v="Furniture"/>
    <n v="134395.82999999999"/>
    <n v="27651.87"/>
    <n v="6252.97"/>
    <n v="1987.69"/>
    <n v="1343.96"/>
    <n v="220.24"/>
    <n v="1996.44"/>
    <n v="94942.66"/>
    <n v="4"/>
    <s v="Labor Strike"/>
    <n v="230.43"/>
    <s v="Delayed"/>
    <s v="Pending"/>
    <s v="High"/>
    <s v="J. Smith"/>
    <s v="Europe"/>
    <d v="2025-05-01T00:00:00"/>
    <x v="6"/>
  </r>
  <r>
    <x v="925"/>
    <s v="BK50361"/>
    <d v="2025-08-25T00:00:00"/>
    <d v="2025-08-26T00:00:00"/>
    <d v="2025-09-07T00:00:00"/>
    <s v="Amazon"/>
    <s v="E-commerce"/>
    <s v="USA"/>
    <s v="Singapore"/>
    <s v="Rotterdam"/>
    <x v="1"/>
    <s v="Mumbai Maersk"/>
    <s v="20FT"/>
    <n v="4"/>
    <s v="Machinery"/>
    <n v="134522.35"/>
    <n v="29533.24"/>
    <n v="7656.27"/>
    <n v="2518.65"/>
    <n v="1345.22"/>
    <n v="811.4"/>
    <n v="1657.6"/>
    <n v="90999.97"/>
    <n v="8"/>
    <s v="Mechanical"/>
    <n v="246.11"/>
    <s v="Delayed"/>
    <s v="Pending"/>
    <s v="Critical"/>
    <s v="R. Mehta"/>
    <s v="Middle East"/>
    <d v="2025-08-01T00:00:00"/>
    <x v="12"/>
  </r>
  <r>
    <x v="926"/>
    <s v="BK50100"/>
    <d v="2025-04-05T00:00:00"/>
    <d v="2025-04-07T00:00:00"/>
    <d v="2025-05-03T00:00:00"/>
    <s v="Samsung"/>
    <s v="Electronics"/>
    <s v="South Korea"/>
    <s v="Busan"/>
    <s v="Los Angeles"/>
    <x v="3"/>
    <s v="CMA CGM Jacques Saadé"/>
    <s v="High Cube"/>
    <n v="4"/>
    <s v="Auto Parts"/>
    <n v="134562.76"/>
    <n v="32798.730000000003"/>
    <n v="7585.9"/>
    <n v="2424.13"/>
    <n v="1345.63"/>
    <n v="781.79"/>
    <n v="359.86"/>
    <n v="89266.72"/>
    <n v="4"/>
    <s v="Labor Strike"/>
    <n v="273.32"/>
    <s v="Delayed"/>
    <s v="Pending"/>
    <s v="High"/>
    <s v="R. Mehta"/>
    <s v="Europe"/>
    <d v="2025-04-01T00:00:00"/>
    <x v="3"/>
  </r>
  <r>
    <x v="927"/>
    <s v="BK50831"/>
    <d v="2025-11-20T00:00:00"/>
    <d v="2025-11-21T00:00:00"/>
    <d v="2025-12-04T00:00:00"/>
    <s v="Nestlé"/>
    <s v="Food"/>
    <s v="Switzerland"/>
    <s v="Singapore"/>
    <s v="Rotterdam"/>
    <x v="1"/>
    <s v="OOCL Hong Kong"/>
    <s v="40FT"/>
    <n v="4"/>
    <s v="Food"/>
    <n v="134812.65"/>
    <n v="27135.41"/>
    <n v="10666.82"/>
    <n v="3899.88"/>
    <n v="1348.13"/>
    <n v="662.06"/>
    <n v="1725.28"/>
    <n v="89375.07"/>
    <n v="24"/>
    <s v="Weather"/>
    <n v="226.13"/>
    <s v="Delayed"/>
    <s v="Pending"/>
    <s v="High"/>
    <s v="L. Chen"/>
    <s v="Asia"/>
    <d v="2025-11-01T00:00:00"/>
    <x v="13"/>
  </r>
  <r>
    <x v="928"/>
    <s v="BK50204"/>
    <d v="2025-06-16T00:00:00"/>
    <d v="2025-06-18T00:00:00"/>
    <d v="2025-06-30T00:00:00"/>
    <s v="IKEA"/>
    <s v="Retail"/>
    <s v="Sweden"/>
    <s v="Jebel Ali"/>
    <s v="New York"/>
    <x v="2"/>
    <s v="CMA CGM Jacques Saadé"/>
    <s v="High Cube"/>
    <n v="4"/>
    <s v="Electronics"/>
    <n v="136076.18"/>
    <n v="28343.57"/>
    <n v="10762.09"/>
    <n v="1516.11"/>
    <n v="1360.76"/>
    <n v="255.68"/>
    <n v="1915.3"/>
    <n v="91922.67"/>
    <n v="4"/>
    <s v="Weather"/>
    <n v="236.2"/>
    <s v="Delayed"/>
    <s v="Pending"/>
    <s v="Standard"/>
    <s v="J. Smith"/>
    <s v="Asia"/>
    <d v="2025-06-01T00:00:00"/>
    <x v="12"/>
  </r>
  <r>
    <x v="929"/>
    <s v="BK50103"/>
    <d v="2025-06-28T00:00:00"/>
    <d v="2025-07-01T00:00:00"/>
    <d v="2025-07-23T00:00:00"/>
    <s v="Toyota"/>
    <s v="Automotive"/>
    <s v="Japan"/>
    <s v="Colombo"/>
    <s v="Singapore"/>
    <x v="4"/>
    <s v="Monaco Maersk"/>
    <s v="Reefer"/>
    <n v="4"/>
    <s v="Textiles"/>
    <n v="136104.17000000001"/>
    <n v="39083.82"/>
    <n v="9060.27"/>
    <n v="1536.3"/>
    <n v="1361.04"/>
    <n v="204.32"/>
    <n v="1173.82"/>
    <n v="83684.600000000006"/>
    <n v="4"/>
    <s v="Customs"/>
    <n v="325.7"/>
    <s v="Delayed"/>
    <s v="Pending"/>
    <s v="Critical"/>
    <s v="L. Chen"/>
    <s v="North America"/>
    <d v="2025-06-01T00:00:00"/>
    <x v="4"/>
  </r>
  <r>
    <x v="930"/>
    <s v="BK50682"/>
    <d v="2025-09-13T00:00:00"/>
    <d v="2025-09-15T00:00:00"/>
    <d v="2025-09-30T00:00:00"/>
    <s v="Amazon"/>
    <s v="E-commerce"/>
    <s v="USA"/>
    <s v="Shanghai"/>
    <s v="Rotterdam"/>
    <x v="1"/>
    <s v="Mary Maersk"/>
    <s v="Reefer"/>
    <n v="4"/>
    <s v="Furniture"/>
    <n v="136203.5"/>
    <n v="38296.14"/>
    <n v="7806.76"/>
    <n v="2256.3200000000002"/>
    <n v="1362.04"/>
    <n v="240.51"/>
    <n v="442.97"/>
    <n v="85798.76"/>
    <n v="0"/>
    <s v="None"/>
    <n v="319.13"/>
    <s v="Completed"/>
    <s v="Paid"/>
    <s v="High"/>
    <s v="L. Chen"/>
    <s v="North America"/>
    <d v="2025-09-01T00:00:00"/>
    <x v="6"/>
  </r>
  <r>
    <x v="931"/>
    <s v="BK50499"/>
    <d v="2025-08-14T00:00:00"/>
    <d v="2025-08-17T00:00:00"/>
    <d v="2025-09-03T00:00:00"/>
    <s v="Samsung"/>
    <s v="Electronics"/>
    <s v="South Korea"/>
    <s v="Jebel Ali"/>
    <s v="Nhava Sheva"/>
    <x v="0"/>
    <s v="Mary Maersk"/>
    <s v="20FT"/>
    <n v="4"/>
    <s v="Electronics"/>
    <n v="137037.07999999999"/>
    <n v="27092.2"/>
    <n v="9066.43"/>
    <n v="1656.16"/>
    <n v="1370.37"/>
    <n v="558.13"/>
    <n v="2441.62"/>
    <n v="94852.17"/>
    <n v="36"/>
    <s v="Customs"/>
    <n v="225.77"/>
    <s v="Delayed"/>
    <s v="Pending"/>
    <s v="Standard"/>
    <s v="L. Chen"/>
    <s v="Asia"/>
    <d v="2025-08-01T00:00:00"/>
    <x v="18"/>
  </r>
  <r>
    <x v="932"/>
    <s v="BK50411"/>
    <d v="2025-09-12T00:00:00"/>
    <d v="2025-09-14T00:00:00"/>
    <d v="2025-10-01T00:00:00"/>
    <s v="Toyota"/>
    <s v="Automotive"/>
    <s v="Japan"/>
    <s v="Busan"/>
    <s v="Los Angeles"/>
    <x v="2"/>
    <s v="Ever Ace"/>
    <s v="20FT"/>
    <n v="4"/>
    <s v="Chemicals"/>
    <n v="137707.20000000001"/>
    <n v="38668.44"/>
    <n v="10022.07"/>
    <n v="2512.39"/>
    <n v="1377.07"/>
    <n v="406.17"/>
    <n v="402.75"/>
    <n v="84318.31"/>
    <n v="4"/>
    <s v="Mechanical"/>
    <n v="322.24"/>
    <s v="Delayed"/>
    <s v="Paid"/>
    <s v="Standard"/>
    <s v="L. Chen"/>
    <s v="Middle East"/>
    <d v="2025-09-01T00:00:00"/>
    <x v="18"/>
  </r>
  <r>
    <x v="933"/>
    <s v="BK50428"/>
    <d v="2025-10-25T00:00:00"/>
    <d v="2025-10-28T00:00:00"/>
    <d v="2025-11-25T00:00:00"/>
    <s v="Nestlé"/>
    <s v="Food"/>
    <s v="Switzerland"/>
    <s v="Colombo"/>
    <s v="Singapore"/>
    <x v="4"/>
    <s v="Mary Maersk"/>
    <s v="Reefer"/>
    <n v="4"/>
    <s v="Chemicals"/>
    <n v="137729.25"/>
    <n v="34113.919999999998"/>
    <n v="7254.46"/>
    <n v="4124.47"/>
    <n v="1377.29"/>
    <n v="637.78"/>
    <n v="389.62"/>
    <n v="89831.71"/>
    <n v="8"/>
    <s v="Labor Strike"/>
    <n v="284.27999999999997"/>
    <s v="Delayed"/>
    <s v="Paid"/>
    <s v="Critical"/>
    <s v="L. Chen"/>
    <s v="Asia"/>
    <d v="2025-10-01T00:00:00"/>
    <x v="17"/>
  </r>
  <r>
    <x v="934"/>
    <s v="BK50850"/>
    <d v="2025-07-26T00:00:00"/>
    <d v="2025-07-28T00:00:00"/>
    <d v="2025-08-11T00:00:00"/>
    <s v="Bosch"/>
    <s v="Manufacturing"/>
    <s v="Germany"/>
    <s v="Jebel Ali"/>
    <s v="Nhava Sheva"/>
    <x v="0"/>
    <s v="CMA CGM Jacques Saadé"/>
    <s v="20FT"/>
    <n v="4"/>
    <s v="Chemicals"/>
    <n v="138408.6"/>
    <n v="24866.26"/>
    <n v="9841.6"/>
    <n v="3169.41"/>
    <n v="1384.09"/>
    <n v="534.97"/>
    <n v="2431.23"/>
    <n v="96181.04"/>
    <n v="0"/>
    <s v="None"/>
    <n v="207.22"/>
    <s v="Completed"/>
    <s v="Pending"/>
    <s v="Critical"/>
    <s v="A. Tan"/>
    <s v="Asia"/>
    <d v="2025-07-01T00:00:00"/>
    <x v="1"/>
  </r>
  <r>
    <x v="935"/>
    <s v="BK50173"/>
    <d v="2025-06-22T00:00:00"/>
    <d v="2025-06-23T00:00:00"/>
    <d v="2025-07-08T00:00:00"/>
    <s v="LG"/>
    <s v="Electronics"/>
    <s v="South Korea"/>
    <s v="Busan"/>
    <s v="Los Angeles"/>
    <x v="3"/>
    <s v="Madrid Maersk"/>
    <s v="20FT"/>
    <n v="4"/>
    <s v="Furniture"/>
    <n v="139093.65"/>
    <n v="35495.620000000003"/>
    <n v="9634.61"/>
    <n v="1623.34"/>
    <n v="1390.94"/>
    <n v="267.06"/>
    <n v="1153.8599999999999"/>
    <n v="89528.22"/>
    <n v="36"/>
    <s v="Customs"/>
    <n v="295.8"/>
    <s v="Delayed"/>
    <s v="Paid"/>
    <s v="High"/>
    <s v="R. Mehta"/>
    <s v="Europe"/>
    <d v="2025-06-01T00:00:00"/>
    <x v="6"/>
  </r>
  <r>
    <x v="936"/>
    <s v="BK50054"/>
    <d v="2025-05-03T00:00:00"/>
    <d v="2025-05-07T00:00:00"/>
    <d v="2025-05-18T00:00:00"/>
    <s v="Reliance"/>
    <s v="Retail"/>
    <s v="India"/>
    <s v="Jebel Ali"/>
    <s v="Nhava Sheva"/>
    <x v="0"/>
    <s v="Mumbai Maersk"/>
    <s v="Reefer"/>
    <n v="4"/>
    <s v="Auto Parts"/>
    <n v="139286.81"/>
    <n v="33522.589999999997"/>
    <n v="10258.620000000001"/>
    <n v="1555.8"/>
    <n v="1392.87"/>
    <n v="880.03"/>
    <n v="2016.39"/>
    <n v="89660.51"/>
    <n v="0"/>
    <s v="None"/>
    <n v="279.35000000000002"/>
    <s v="Completed"/>
    <s v="Pending"/>
    <s v="Standard"/>
    <s v="A. Tan"/>
    <s v="Middle East"/>
    <d v="2025-05-01T00:00:00"/>
    <x v="5"/>
  </r>
  <r>
    <x v="937"/>
    <s v="BK50419"/>
    <d v="2025-09-13T00:00:00"/>
    <d v="2025-09-15T00:00:00"/>
    <d v="2025-09-30T00:00:00"/>
    <s v="Siemens"/>
    <s v="Engineering"/>
    <s v="Germany"/>
    <s v="Colombo"/>
    <s v="Singapore"/>
    <x v="4"/>
    <s v="Madrid Maersk"/>
    <s v="Reefer"/>
    <n v="4"/>
    <s v="Auto Parts"/>
    <n v="140813.38"/>
    <n v="39900.300000000003"/>
    <n v="9315.2800000000007"/>
    <n v="2093"/>
    <n v="1408.13"/>
    <n v="723.43"/>
    <n v="1630.76"/>
    <n v="85742.48"/>
    <n v="12"/>
    <s v="Port Congestion"/>
    <n v="332.5"/>
    <s v="Delayed"/>
    <s v="Paid"/>
    <s v="Critical"/>
    <s v="R. Mehta"/>
    <s v="North America"/>
    <d v="2025-09-01T00:00:00"/>
    <x v="6"/>
  </r>
  <r>
    <x v="938"/>
    <s v="BK50377"/>
    <d v="2025-06-29T00:00:00"/>
    <d v="2025-07-03T00:00:00"/>
    <d v="2025-07-18T00:00:00"/>
    <s v="Unilever"/>
    <s v="FMCG"/>
    <s v="UK"/>
    <s v="Shanghai"/>
    <s v="Rotterdam"/>
    <x v="1"/>
    <s v="Mary Maersk"/>
    <s v="20FT"/>
    <n v="4"/>
    <s v="Auto Parts"/>
    <n v="140912.95999999999"/>
    <n v="24816.65"/>
    <n v="10055.780000000001"/>
    <n v="1707.91"/>
    <n v="1409.13"/>
    <n v="772.88"/>
    <n v="1737.25"/>
    <n v="100413.36"/>
    <n v="24"/>
    <s v="Mechanical"/>
    <n v="206.81"/>
    <s v="Delayed"/>
    <s v="Paid"/>
    <s v="Critical"/>
    <s v="J. Smith"/>
    <s v="Asia"/>
    <d v="2025-06-01T00:00:00"/>
    <x v="6"/>
  </r>
  <r>
    <x v="939"/>
    <s v="BK50162"/>
    <d v="2025-04-11T00:00:00"/>
    <d v="2025-04-12T00:00:00"/>
    <d v="2025-05-07T00:00:00"/>
    <s v="Samsung"/>
    <s v="Electronics"/>
    <s v="South Korea"/>
    <s v="Colombo"/>
    <s v="Singapore"/>
    <x v="4"/>
    <s v="OOCL Hong Kong"/>
    <s v="High Cube"/>
    <n v="4"/>
    <s v="Food"/>
    <n v="141020.28"/>
    <n v="29204.22"/>
    <n v="5696.26"/>
    <n v="1545.02"/>
    <n v="1410.2"/>
    <n v="807.74"/>
    <n v="2086.2399999999998"/>
    <n v="100270.6"/>
    <n v="4"/>
    <s v="Mechanical"/>
    <n v="243.37"/>
    <s v="Delayed"/>
    <s v="Pending"/>
    <s v="Standard"/>
    <s v="R. Mehta"/>
    <s v="North America"/>
    <d v="2025-04-01T00:00:00"/>
    <x v="10"/>
  </r>
  <r>
    <x v="940"/>
    <s v="BK50263"/>
    <d v="2025-10-12T00:00:00"/>
    <d v="2025-10-16T00:00:00"/>
    <d v="2025-11-11T00:00:00"/>
    <s v="Nestlé"/>
    <s v="Food"/>
    <s v="Switzerland"/>
    <s v="Jebel Ali"/>
    <s v="Nhava Sheva"/>
    <x v="0"/>
    <s v="OOCL Hong Kong"/>
    <s v="Reefer"/>
    <n v="4"/>
    <s v="Textiles"/>
    <n v="141256.07999999999"/>
    <n v="36097.599999999999"/>
    <n v="10972.54"/>
    <n v="3374.81"/>
    <n v="1412.56"/>
    <n v="599.86"/>
    <n v="1573.72"/>
    <n v="87224.99"/>
    <n v="8"/>
    <s v="Labor Strike"/>
    <n v="300.81"/>
    <s v="Delayed"/>
    <s v="Paid"/>
    <s v="Critical"/>
    <s v="L. Chen"/>
    <s v="Europe"/>
    <d v="2025-10-01T00:00:00"/>
    <x v="3"/>
  </r>
  <r>
    <x v="941"/>
    <s v="BK50511"/>
    <d v="2025-04-15T00:00:00"/>
    <d v="2025-04-18T00:00:00"/>
    <d v="2025-05-03T00:00:00"/>
    <s v="IKEA"/>
    <s v="Retail"/>
    <s v="Sweden"/>
    <s v="Jebel Ali"/>
    <s v="Nhava Sheva"/>
    <x v="0"/>
    <s v="CMA CGM Jacques Saadé"/>
    <s v="Reefer"/>
    <n v="4"/>
    <s v="Food"/>
    <n v="142635.6"/>
    <n v="30530.48"/>
    <n v="7586.08"/>
    <n v="3484.74"/>
    <n v="1426.36"/>
    <n v="413.45"/>
    <n v="1408.63"/>
    <n v="97785.86"/>
    <n v="0"/>
    <s v="None"/>
    <n v="254.42"/>
    <s v="Completed"/>
    <s v="Pending"/>
    <s v="Critical"/>
    <s v="L. Chen"/>
    <s v="Europe"/>
    <d v="2025-04-01T00:00:00"/>
    <x v="6"/>
  </r>
  <r>
    <x v="942"/>
    <s v="BK50317"/>
    <d v="2025-05-25T00:00:00"/>
    <d v="2025-05-28T00:00:00"/>
    <d v="2025-06-12T00:00:00"/>
    <s v="Pfizer"/>
    <s v="Pharma"/>
    <s v="USA"/>
    <s v="Shanghai"/>
    <s v="Rotterdam"/>
    <x v="1"/>
    <s v="OOCL Hong Kong"/>
    <s v="Reefer"/>
    <n v="4"/>
    <s v="Electronics"/>
    <n v="143155.96"/>
    <n v="33948.49"/>
    <n v="10473.030000000001"/>
    <n v="3069.59"/>
    <n v="1431.56"/>
    <n v="847.87"/>
    <n v="1734.94"/>
    <n v="91650.48"/>
    <n v="48"/>
    <s v="Weather"/>
    <n v="282.89999999999998"/>
    <s v="Delayed"/>
    <s v="Pending"/>
    <s v="Standard"/>
    <s v="A. Tan"/>
    <s v="North America"/>
    <d v="2025-05-01T00:00:00"/>
    <x v="6"/>
  </r>
  <r>
    <x v="943"/>
    <s v="BK50639"/>
    <d v="2025-02-25T00:00:00"/>
    <d v="2025-02-27T00:00:00"/>
    <d v="2025-03-20T00:00:00"/>
    <s v="Nestlé"/>
    <s v="Food"/>
    <s v="Switzerland"/>
    <s v="Los Angeles"/>
    <s v="Jebel Ali"/>
    <x v="2"/>
    <s v="Mumbai Maersk"/>
    <s v="Reefer"/>
    <n v="4"/>
    <s v="Furniture"/>
    <n v="144414.64000000001"/>
    <n v="33954.26"/>
    <n v="10902.21"/>
    <n v="2386.81"/>
    <n v="1444.15"/>
    <n v="277.66000000000003"/>
    <n v="1884.53"/>
    <n v="93565.02"/>
    <n v="0"/>
    <s v="None"/>
    <n v="282.95"/>
    <s v="Completed"/>
    <s v="Paid"/>
    <s v="High"/>
    <s v="M. Ahmed"/>
    <s v="Europe"/>
    <d v="2025-02-01T00:00:00"/>
    <x v="9"/>
  </r>
  <r>
    <x v="944"/>
    <s v="BK50714"/>
    <d v="2025-08-05T00:00:00"/>
    <d v="2025-08-09T00:00:00"/>
    <d v="2025-09-06T00:00:00"/>
    <s v="Amazon"/>
    <s v="E-commerce"/>
    <s v="USA"/>
    <s v="Singapore"/>
    <s v="Rotterdam"/>
    <x v="1"/>
    <s v="Madrid Maersk"/>
    <s v="20FT"/>
    <n v="4"/>
    <s v="Auto Parts"/>
    <n v="144473.94"/>
    <n v="25543.81"/>
    <n v="9715.7999999999993"/>
    <n v="1934.69"/>
    <n v="1444.74"/>
    <n v="491.01"/>
    <n v="1759.89"/>
    <n v="103584"/>
    <n v="0"/>
    <s v="None"/>
    <n v="212.87"/>
    <s v="Completed"/>
    <s v="Paid"/>
    <s v="Critical"/>
    <s v="R. Mehta"/>
    <s v="Middle East"/>
    <d v="2025-08-01T00:00:00"/>
    <x v="17"/>
  </r>
  <r>
    <x v="945"/>
    <s v="BK50796"/>
    <d v="2025-11-30T00:00:00"/>
    <d v="2025-12-01T00:00:00"/>
    <d v="2025-12-24T00:00:00"/>
    <s v="Pfizer"/>
    <s v="Pharma"/>
    <s v="USA"/>
    <s v="New York"/>
    <s v="Jebel Ali"/>
    <x v="2"/>
    <s v="Monaco Maersk"/>
    <s v="20FT"/>
    <n v="4"/>
    <s v="Textiles"/>
    <n v="145862.13"/>
    <n v="33512.5"/>
    <n v="6229.17"/>
    <n v="1628.74"/>
    <n v="1458.62"/>
    <n v="496.39"/>
    <n v="385.94"/>
    <n v="102150.77"/>
    <n v="12"/>
    <s v="Port Congestion"/>
    <n v="279.27"/>
    <s v="Delayed"/>
    <s v="Pending"/>
    <s v="Standard"/>
    <s v="A. Tan"/>
    <s v="North America"/>
    <d v="2025-11-01T00:00:00"/>
    <x v="7"/>
  </r>
  <r>
    <x v="946"/>
    <s v="BK50258"/>
    <d v="2025-07-28T00:00:00"/>
    <d v="2025-08-01T00:00:00"/>
    <d v="2025-08-27T00:00:00"/>
    <s v="Amazon"/>
    <s v="E-commerce"/>
    <s v="USA"/>
    <s v="Colombo"/>
    <s v="Singapore"/>
    <x v="4"/>
    <s v="Mumbai Maersk"/>
    <s v="Reefer"/>
    <n v="4"/>
    <s v="Furniture"/>
    <n v="146322.60999999999"/>
    <n v="24810.32"/>
    <n v="7218.36"/>
    <n v="2410.73"/>
    <n v="1463.23"/>
    <n v="653.85"/>
    <n v="2323.79"/>
    <n v="107442.33"/>
    <n v="0"/>
    <s v="None"/>
    <n v="206.75"/>
    <s v="Completed"/>
    <s v="Pending"/>
    <s v="Standard"/>
    <s v="L. Chen"/>
    <s v="Middle East"/>
    <d v="2025-07-01T00:00:00"/>
    <x v="3"/>
  </r>
  <r>
    <x v="947"/>
    <s v="BK50624"/>
    <d v="2025-05-09T00:00:00"/>
    <d v="2025-05-11T00:00:00"/>
    <d v="2025-05-27T00:00:00"/>
    <s v="IKEA"/>
    <s v="Retail"/>
    <s v="Sweden"/>
    <s v="Jebel Ali"/>
    <s v="Nhava Sheva"/>
    <x v="0"/>
    <s v="OOCL Hong Kong"/>
    <s v="High Cube"/>
    <n v="4"/>
    <s v="Chemicals"/>
    <n v="147516.07"/>
    <n v="29728.76"/>
    <n v="6238.88"/>
    <n v="2375.75"/>
    <n v="1475.16"/>
    <n v="177.19"/>
    <n v="1633.17"/>
    <n v="105887.16"/>
    <n v="0"/>
    <s v="None"/>
    <n v="247.74"/>
    <s v="Completed"/>
    <s v="Pending"/>
    <s v="Critical"/>
    <s v="J. Smith"/>
    <s v="North America"/>
    <d v="2025-05-01T00:00:00"/>
    <x v="0"/>
  </r>
  <r>
    <x v="948"/>
    <s v="BK50801"/>
    <d v="2025-04-23T00:00:00"/>
    <d v="2025-04-27T00:00:00"/>
    <d v="2025-05-18T00:00:00"/>
    <s v="Reliance"/>
    <s v="Retail"/>
    <s v="India"/>
    <s v="Singapore"/>
    <s v="Rotterdam"/>
    <x v="1"/>
    <s v="Mumbai Maersk"/>
    <s v="High Cube"/>
    <n v="4"/>
    <s v="Furniture"/>
    <n v="148239.85"/>
    <n v="28329.27"/>
    <n v="9642.8799999999992"/>
    <n v="1931.94"/>
    <n v="1482.4"/>
    <n v="128.53"/>
    <n v="745.26"/>
    <n v="105979.57"/>
    <n v="0"/>
    <s v="None"/>
    <n v="236.08"/>
    <s v="Completed"/>
    <s v="Pending"/>
    <s v="Standard"/>
    <s v="M. Ahmed"/>
    <s v="North America"/>
    <d v="2025-04-01T00:00:00"/>
    <x v="9"/>
  </r>
  <r>
    <x v="949"/>
    <s v="BK50442"/>
    <d v="2025-09-27T00:00:00"/>
    <d v="2025-09-29T00:00:00"/>
    <d v="2025-10-13T00:00:00"/>
    <s v="Nestlé"/>
    <s v="Food"/>
    <s v="Switzerland"/>
    <s v="Singapore"/>
    <s v="Rotterdam"/>
    <x v="1"/>
    <s v="CMA CGM Jacques Saadé"/>
    <s v="20FT"/>
    <n v="4"/>
    <s v="Electronics"/>
    <n v="149529.88"/>
    <n v="26843.08"/>
    <n v="6538.76"/>
    <n v="2720.07"/>
    <n v="1495.3"/>
    <n v="752.59"/>
    <n v="701.44"/>
    <n v="110478.64"/>
    <n v="0"/>
    <s v="None"/>
    <n v="223.69"/>
    <s v="Completed"/>
    <s v="Pending"/>
    <s v="Standard"/>
    <s v="A. Tan"/>
    <s v="Europe"/>
    <d v="2025-09-01T00:00:00"/>
    <x v="1"/>
  </r>
  <r>
    <x v="950"/>
    <s v="BK50553"/>
    <d v="2025-07-19T00:00:00"/>
    <d v="2025-07-22T00:00:00"/>
    <d v="2025-08-06T00:00:00"/>
    <s v="Bosch"/>
    <s v="Manufacturing"/>
    <s v="Germany"/>
    <s v="Busan"/>
    <s v="Los Angeles"/>
    <x v="3"/>
    <s v="Mary Maersk"/>
    <s v="20FT"/>
    <n v="4"/>
    <s v="Food"/>
    <n v="149798.43"/>
    <n v="42816.28"/>
    <n v="8251.43"/>
    <n v="3580.32"/>
    <n v="1497.98"/>
    <n v="350.03"/>
    <n v="1344.45"/>
    <n v="91957.94"/>
    <n v="4"/>
    <s v="Customs"/>
    <n v="356.8"/>
    <s v="Delayed"/>
    <s v="Pending"/>
    <s v="Critical"/>
    <s v="M. Ahmed"/>
    <s v="Asia"/>
    <d v="2025-07-01T00:00:00"/>
    <x v="6"/>
  </r>
  <r>
    <x v="951"/>
    <s v="BK50731"/>
    <d v="2025-03-03T00:00:00"/>
    <d v="2025-03-06T00:00:00"/>
    <d v="2025-04-03T00:00:00"/>
    <s v="Adidas"/>
    <s v="Retail"/>
    <s v="Germany"/>
    <s v="Singapore"/>
    <s v="Rotterdam"/>
    <x v="1"/>
    <s v="Mary Maersk"/>
    <s v="Reefer"/>
    <n v="4"/>
    <s v="Electronics"/>
    <n v="149936.16"/>
    <n v="32687.62"/>
    <n v="9054.77"/>
    <n v="4003.93"/>
    <n v="1499.36"/>
    <n v="746.51"/>
    <n v="2256.83"/>
    <n v="99687.14"/>
    <n v="0"/>
    <s v="None"/>
    <n v="272.39999999999998"/>
    <s v="Completed"/>
    <s v="Paid"/>
    <s v="Standard"/>
    <s v="R. Mehta"/>
    <s v="Middle East"/>
    <d v="2025-03-01T00:00:00"/>
    <x v="17"/>
  </r>
  <r>
    <x v="952"/>
    <s v="BK50105"/>
    <d v="2025-09-22T00:00:00"/>
    <d v="2025-09-25T00:00:00"/>
    <d v="2025-10-16T00:00:00"/>
    <s v="Unilever"/>
    <s v="FMCG"/>
    <s v="UK"/>
    <s v="Shanghai"/>
    <s v="Shanghai"/>
    <x v="2"/>
    <s v="CMA CGM Jacques Saadé"/>
    <s v="Reefer"/>
    <n v="4"/>
    <s v="Auto Parts"/>
    <n v="151768.12"/>
    <n v="45134.27"/>
    <n v="6710.19"/>
    <n v="4109.7"/>
    <n v="1517.68"/>
    <n v="632.83000000000004"/>
    <n v="2028.74"/>
    <n v="91634.71"/>
    <n v="8"/>
    <s v="Mechanical"/>
    <n v="376.12"/>
    <s v="Delayed"/>
    <s v="Pending"/>
    <s v="Critical"/>
    <s v="M. Ahmed"/>
    <s v="North America"/>
    <d v="2025-09-01T00:00:00"/>
    <x v="9"/>
  </r>
  <r>
    <x v="953"/>
    <s v="BK50099"/>
    <d v="2025-10-18T00:00:00"/>
    <d v="2025-10-19T00:00:00"/>
    <d v="2025-11-11T00:00:00"/>
    <s v="IKEA"/>
    <s v="Retail"/>
    <s v="Sweden"/>
    <s v="Busan"/>
    <s v="Los Angeles"/>
    <x v="3"/>
    <s v="OOCL Hong Kong"/>
    <s v="High Cube"/>
    <n v="4"/>
    <s v="Food"/>
    <n v="152808.59"/>
    <n v="31790.34"/>
    <n v="8460.76"/>
    <n v="2288.75"/>
    <n v="1528.09"/>
    <n v="268.70999999999998"/>
    <n v="1041.06"/>
    <n v="107430.88"/>
    <n v="8"/>
    <s v="Customs"/>
    <n v="264.92"/>
    <s v="Delayed"/>
    <s v="Paid"/>
    <s v="Standard"/>
    <s v="R. Mehta"/>
    <s v="North America"/>
    <d v="2025-10-01T00:00:00"/>
    <x v="7"/>
  </r>
  <r>
    <x v="954"/>
    <s v="BK50144"/>
    <d v="2025-03-19T00:00:00"/>
    <d v="2025-03-20T00:00:00"/>
    <d v="2025-04-06T00:00:00"/>
    <s v="Reliance"/>
    <s v="Retail"/>
    <s v="India"/>
    <s v="Rotterdam"/>
    <s v="Busan"/>
    <x v="2"/>
    <s v="MSC Gülsün"/>
    <s v="Reefer"/>
    <n v="4"/>
    <s v="Electronics"/>
    <n v="152811.39000000001"/>
    <n v="42315.839999999997"/>
    <n v="7104.37"/>
    <n v="3778.52"/>
    <n v="1528.11"/>
    <n v="458.53"/>
    <n v="1195.75"/>
    <n v="96430.27"/>
    <n v="24"/>
    <s v="Weather"/>
    <n v="352.63"/>
    <s v="Delayed"/>
    <s v="Pending"/>
    <s v="High"/>
    <s v="J. Smith"/>
    <s v="Asia"/>
    <d v="2025-03-01T00:00:00"/>
    <x v="18"/>
  </r>
  <r>
    <x v="955"/>
    <s v="BK50340"/>
    <d v="2025-01-25T00:00:00"/>
    <d v="2025-01-27T00:00:00"/>
    <d v="2025-02-23T00:00:00"/>
    <s v="LG"/>
    <s v="Electronics"/>
    <s v="South Korea"/>
    <s v="Los Angeles"/>
    <s v="Shanghai"/>
    <x v="2"/>
    <s v="Madrid Maersk"/>
    <s v="20FT"/>
    <n v="4"/>
    <s v="Chemicals"/>
    <n v="153519.73000000001"/>
    <n v="28633.42"/>
    <n v="8096.61"/>
    <n v="2259.6799999999998"/>
    <n v="1535.2"/>
    <n v="338.57"/>
    <n v="1877.22"/>
    <n v="110779.03"/>
    <n v="12"/>
    <s v="Labor Strike"/>
    <n v="238.61"/>
    <s v="Delayed"/>
    <s v="Paid"/>
    <s v="Critical"/>
    <s v="M. Ahmed"/>
    <s v="North America"/>
    <d v="2025-01-01T00:00:00"/>
    <x v="2"/>
  </r>
  <r>
    <x v="956"/>
    <s v="BK50648"/>
    <d v="2025-10-10T00:00:00"/>
    <d v="2025-10-11T00:00:00"/>
    <d v="2025-11-06T00:00:00"/>
    <s v="Toyota"/>
    <s v="Automotive"/>
    <s v="Japan"/>
    <s v="Shanghai"/>
    <s v="Jebel Ali"/>
    <x v="2"/>
    <s v="Madrid Maersk"/>
    <s v="40FT"/>
    <n v="4"/>
    <s v="Textiles"/>
    <n v="153590.19"/>
    <n v="30482.12"/>
    <n v="9838.39"/>
    <n v="3060.26"/>
    <n v="1535.9"/>
    <n v="158.5"/>
    <n v="881.64"/>
    <n v="107633.38"/>
    <n v="4"/>
    <s v="Port Congestion"/>
    <n v="254.02"/>
    <s v="Delayed"/>
    <s v="Pending"/>
    <s v="Critical"/>
    <s v="L. Chen"/>
    <s v="Europe"/>
    <d v="2025-10-01T00:00:00"/>
    <x v="3"/>
  </r>
  <r>
    <x v="957"/>
    <s v="BK50657"/>
    <d v="2025-05-05T00:00:00"/>
    <d v="2025-05-06T00:00:00"/>
    <d v="2025-05-22T00:00:00"/>
    <s v="Siemens"/>
    <s v="Engineering"/>
    <s v="Germany"/>
    <s v="Singapore"/>
    <s v="Busan"/>
    <x v="2"/>
    <s v="OOCL Hong Kong"/>
    <s v="40FT"/>
    <n v="4"/>
    <s v="Food"/>
    <n v="153734.75"/>
    <n v="40887.54"/>
    <n v="8347.27"/>
    <n v="4457.7"/>
    <n v="1537.35"/>
    <n v="198.63"/>
    <n v="2158.9499999999998"/>
    <n v="96147.31"/>
    <n v="0"/>
    <s v="None"/>
    <n v="340.73"/>
    <s v="Completed"/>
    <s v="Paid"/>
    <s v="High"/>
    <s v="J. Smith"/>
    <s v="Europe"/>
    <d v="2025-05-01T00:00:00"/>
    <x v="0"/>
  </r>
  <r>
    <x v="958"/>
    <s v="BK50040"/>
    <d v="2025-09-28T00:00:00"/>
    <d v="2025-09-29T00:00:00"/>
    <d v="2025-10-27T00:00:00"/>
    <s v="Siemens"/>
    <s v="Engineering"/>
    <s v="Germany"/>
    <s v="Busan"/>
    <s v="Los Angeles"/>
    <x v="3"/>
    <s v="MSC Gülsün"/>
    <s v="Reefer"/>
    <n v="4"/>
    <s v="Food"/>
    <n v="153940.6"/>
    <n v="43251.7"/>
    <n v="11603.46"/>
    <n v="1941.62"/>
    <n v="1539.41"/>
    <n v="186.3"/>
    <n v="1718.54"/>
    <n v="93699.57"/>
    <n v="48"/>
    <s v="Weather"/>
    <n v="360.43"/>
    <s v="Delayed"/>
    <s v="Paid"/>
    <s v="Standard"/>
    <s v="M. Ahmed"/>
    <s v="Middle East"/>
    <d v="2025-09-01T00:00:00"/>
    <x v="17"/>
  </r>
  <r>
    <x v="959"/>
    <s v="BK50497"/>
    <d v="2025-09-21T00:00:00"/>
    <d v="2025-09-22T00:00:00"/>
    <d v="2025-10-11T00:00:00"/>
    <s v="Unilever"/>
    <s v="FMCG"/>
    <s v="UK"/>
    <s v="Nhava Sheva"/>
    <s v="Rotterdam"/>
    <x v="2"/>
    <s v="OOCL Hong Kong"/>
    <s v="40FT"/>
    <n v="4"/>
    <s v="Machinery"/>
    <n v="154292.03"/>
    <n v="30700.74"/>
    <n v="11026.98"/>
    <n v="2468.2600000000002"/>
    <n v="1542.92"/>
    <n v="476.23"/>
    <n v="361.17"/>
    <n v="107715.73"/>
    <n v="48"/>
    <s v="Port Congestion"/>
    <n v="255.84"/>
    <s v="Delayed"/>
    <s v="Pending"/>
    <s v="Standard"/>
    <s v="L. Chen"/>
    <s v="North America"/>
    <d v="2025-09-01T00:00:00"/>
    <x v="11"/>
  </r>
  <r>
    <x v="960"/>
    <s v="BK50088"/>
    <d v="2025-06-03T00:00:00"/>
    <d v="2025-06-07T00:00:00"/>
    <d v="2025-06-25T00:00:00"/>
    <s v="Pfizer"/>
    <s v="Pharma"/>
    <s v="USA"/>
    <s v="Colombo"/>
    <s v="Shanghai"/>
    <x v="2"/>
    <s v="MSC Gülsün"/>
    <s v="Reefer"/>
    <n v="4"/>
    <s v="Chemicals"/>
    <n v="154540.21"/>
    <n v="37576.400000000001"/>
    <n v="10241.77"/>
    <n v="2445.34"/>
    <n v="1545.4"/>
    <n v="756.05"/>
    <n v="492.56"/>
    <n v="101482.69"/>
    <n v="36"/>
    <s v="Weather"/>
    <n v="313.14"/>
    <s v="Delayed"/>
    <s v="Pending"/>
    <s v="Standard"/>
    <s v="M. Ahmed"/>
    <s v="Asia"/>
    <d v="2025-06-01T00:00:00"/>
    <x v="14"/>
  </r>
  <r>
    <x v="961"/>
    <s v="BK50922"/>
    <d v="2025-03-20T00:00:00"/>
    <d v="2025-03-22T00:00:00"/>
    <d v="2025-04-19T00:00:00"/>
    <s v="LG"/>
    <s v="Electronics"/>
    <s v="South Korea"/>
    <s v="Singapore"/>
    <s v="Rotterdam"/>
    <x v="1"/>
    <s v="Ever Ace"/>
    <s v="20FT"/>
    <n v="4"/>
    <s v="Chemicals"/>
    <n v="155290.01"/>
    <n v="42137.65"/>
    <n v="10334.59"/>
    <n v="3456.8"/>
    <n v="1552.9"/>
    <n v="215.59"/>
    <n v="365.11"/>
    <n v="97227.37"/>
    <n v="12"/>
    <s v="Customs"/>
    <n v="351.15"/>
    <s v="Delayed"/>
    <s v="Pending"/>
    <s v="Critical"/>
    <s v="L. Chen"/>
    <s v="Europe"/>
    <d v="2025-03-01T00:00:00"/>
    <x v="17"/>
  </r>
  <r>
    <x v="962"/>
    <s v="BK50410"/>
    <d v="2025-05-17T00:00:00"/>
    <d v="2025-05-18T00:00:00"/>
    <d v="2025-06-14T00:00:00"/>
    <s v="Siemens"/>
    <s v="Engineering"/>
    <s v="Germany"/>
    <s v="Singapore"/>
    <s v="Rotterdam"/>
    <x v="1"/>
    <s v="Ever Ace"/>
    <s v="20FT"/>
    <n v="4"/>
    <s v="Auto Parts"/>
    <n v="155399.95000000001"/>
    <n v="26128.05"/>
    <n v="6223.99"/>
    <n v="4259.95"/>
    <n v="1554"/>
    <n v="749.12"/>
    <n v="1829.48"/>
    <n v="114655.36"/>
    <n v="0"/>
    <s v="None"/>
    <n v="217.73"/>
    <s v="Completed"/>
    <s v="Pending"/>
    <s v="Critical"/>
    <s v="L. Chen"/>
    <s v="Europe"/>
    <d v="2025-05-01T00:00:00"/>
    <x v="2"/>
  </r>
  <r>
    <x v="963"/>
    <s v="BK50172"/>
    <d v="2025-09-15T00:00:00"/>
    <d v="2025-09-19T00:00:00"/>
    <d v="2025-10-17T00:00:00"/>
    <s v="Siemens"/>
    <s v="Engineering"/>
    <s v="Germany"/>
    <s v="New York"/>
    <s v="Nhava Sheva"/>
    <x v="2"/>
    <s v="Mary Maersk"/>
    <s v="High Cube"/>
    <n v="4"/>
    <s v="Electronics"/>
    <n v="155863.24"/>
    <n v="44539.98"/>
    <n v="6472.89"/>
    <n v="2724.9"/>
    <n v="1558.63"/>
    <n v="686.29"/>
    <n v="840.78"/>
    <n v="99039.77"/>
    <n v="0"/>
    <s v="None"/>
    <n v="371.17"/>
    <s v="Completed"/>
    <s v="Paid"/>
    <s v="High"/>
    <s v="L. Chen"/>
    <s v="Asia"/>
    <d v="2025-09-01T00:00:00"/>
    <x v="17"/>
  </r>
  <r>
    <x v="964"/>
    <s v="BK50301"/>
    <d v="2025-03-26T00:00:00"/>
    <d v="2025-03-30T00:00:00"/>
    <d v="2025-04-25T00:00:00"/>
    <s v="Nestlé"/>
    <s v="Food"/>
    <s v="Switzerland"/>
    <s v="Singapore"/>
    <s v="Rotterdam"/>
    <x v="1"/>
    <s v="Monaco Maersk"/>
    <s v="40FT"/>
    <n v="4"/>
    <s v="Food"/>
    <n v="155931.93"/>
    <n v="36185.230000000003"/>
    <n v="9385.89"/>
    <n v="2472.96"/>
    <n v="1559.32"/>
    <n v="120"/>
    <n v="767.88"/>
    <n v="105440.65"/>
    <n v="0"/>
    <s v="None"/>
    <n v="301.54000000000002"/>
    <s v="Completed"/>
    <s v="Paid"/>
    <s v="High"/>
    <s v="A. Tan"/>
    <s v="North America"/>
    <d v="2025-03-01T00:00:00"/>
    <x v="3"/>
  </r>
  <r>
    <x v="965"/>
    <s v="BK50496"/>
    <d v="2025-08-13T00:00:00"/>
    <d v="2025-08-16T00:00:00"/>
    <d v="2025-08-31T00:00:00"/>
    <s v="Reliance"/>
    <s v="Retail"/>
    <s v="India"/>
    <s v="Shanghai"/>
    <s v="Rotterdam"/>
    <x v="1"/>
    <s v="Mumbai Maersk"/>
    <s v="High Cube"/>
    <n v="4"/>
    <s v="Auto Parts"/>
    <n v="156736.46"/>
    <n v="40196.82"/>
    <n v="10802.93"/>
    <n v="1906.71"/>
    <n v="1567.36"/>
    <n v="797.22"/>
    <n v="2375.64"/>
    <n v="99089.78"/>
    <n v="24"/>
    <s v="Port Congestion"/>
    <n v="334.97"/>
    <s v="Delayed"/>
    <s v="Paid"/>
    <s v="Critical"/>
    <s v="J. Smith"/>
    <s v="Europe"/>
    <d v="2025-08-01T00:00:00"/>
    <x v="6"/>
  </r>
  <r>
    <x v="966"/>
    <s v="BK50407"/>
    <d v="2025-01-06T00:00:00"/>
    <d v="2025-01-08T00:00:00"/>
    <d v="2025-02-02T00:00:00"/>
    <s v="Siemens"/>
    <s v="Engineering"/>
    <s v="Germany"/>
    <s v="Singapore"/>
    <s v="Rotterdam"/>
    <x v="1"/>
    <s v="CMA CGM Jacques Saadé"/>
    <s v="20FT"/>
    <n v="4"/>
    <s v="Furniture"/>
    <n v="157135.89000000001"/>
    <n v="30719.41"/>
    <n v="8426.2900000000009"/>
    <n v="3885.69"/>
    <n v="1571.36"/>
    <n v="152.68"/>
    <n v="974.1"/>
    <n v="111406.36"/>
    <n v="0"/>
    <s v="None"/>
    <n v="256"/>
    <s v="Completed"/>
    <s v="Paid"/>
    <s v="High"/>
    <s v="R. Mehta"/>
    <s v="Europe"/>
    <d v="2025-01-01T00:00:00"/>
    <x v="10"/>
  </r>
  <r>
    <x v="967"/>
    <s v="BK50135"/>
    <d v="2025-02-01T00:00:00"/>
    <d v="2025-02-02T00:00:00"/>
    <d v="2025-02-12T00:00:00"/>
    <s v="Pfizer"/>
    <s v="Pharma"/>
    <s v="USA"/>
    <s v="Colombo"/>
    <s v="Singapore"/>
    <x v="4"/>
    <s v="Mary Maersk"/>
    <s v="Reefer"/>
    <n v="4"/>
    <s v="Textiles"/>
    <n v="157560.15"/>
    <n v="45859.93"/>
    <n v="8887.3700000000008"/>
    <n v="3667.04"/>
    <n v="1575.6"/>
    <n v="307.69"/>
    <n v="626.34"/>
    <n v="96636.18"/>
    <n v="0"/>
    <s v="None"/>
    <n v="382.17"/>
    <s v="Completed"/>
    <s v="Paid"/>
    <s v="High"/>
    <s v="J. Smith"/>
    <s v="Middle East"/>
    <d v="2025-02-01T00:00:00"/>
    <x v="15"/>
  </r>
  <r>
    <x v="968"/>
    <s v="BK50833"/>
    <d v="2025-01-27T00:00:00"/>
    <d v="2025-01-29T00:00:00"/>
    <d v="2025-02-14T00:00:00"/>
    <s v="Unilever"/>
    <s v="FMCG"/>
    <s v="UK"/>
    <s v="Hamburg"/>
    <s v="Los Angeles"/>
    <x v="2"/>
    <s v="MSC Gülsün"/>
    <s v="40FT"/>
    <n v="4"/>
    <s v="Electronics"/>
    <n v="158547.63"/>
    <n v="45801.440000000002"/>
    <n v="10550.56"/>
    <n v="3291.35"/>
    <n v="1585.48"/>
    <n v="537.02"/>
    <n v="2204.6"/>
    <n v="94577.18"/>
    <n v="36"/>
    <s v="Port Congestion"/>
    <n v="381.68"/>
    <s v="Delayed"/>
    <s v="Pending"/>
    <s v="Critical"/>
    <s v="R. Mehta"/>
    <s v="Middle East"/>
    <d v="2025-01-01T00:00:00"/>
    <x v="0"/>
  </r>
  <r>
    <x v="969"/>
    <s v="BK50924"/>
    <d v="2025-08-03T00:00:00"/>
    <d v="2025-08-05T00:00:00"/>
    <d v="2025-08-21T00:00:00"/>
    <s v="LG"/>
    <s v="Electronics"/>
    <s v="South Korea"/>
    <s v="Colombo"/>
    <s v="Singapore"/>
    <x v="4"/>
    <s v="CMA CGM Jacques Saadé"/>
    <s v="High Cube"/>
    <n v="4"/>
    <s v="Textiles"/>
    <n v="158698.66"/>
    <n v="40898.370000000003"/>
    <n v="8471.7800000000007"/>
    <n v="1939.74"/>
    <n v="1586.99"/>
    <n v="511.41"/>
    <n v="2449.79"/>
    <n v="102840.58"/>
    <n v="12"/>
    <s v="Port Congestion"/>
    <n v="340.82"/>
    <s v="Delayed"/>
    <s v="Pending"/>
    <s v="High"/>
    <s v="M. Ahmed"/>
    <s v="North America"/>
    <d v="2025-08-01T00:00:00"/>
    <x v="0"/>
  </r>
  <r>
    <x v="970"/>
    <s v="BK50770"/>
    <d v="2025-11-26T00:00:00"/>
    <d v="2025-11-27T00:00:00"/>
    <d v="2025-12-21T00:00:00"/>
    <s v="IKEA"/>
    <s v="Retail"/>
    <s v="Sweden"/>
    <s v="Singapore"/>
    <s v="Rotterdam"/>
    <x v="2"/>
    <s v="Monaco Maersk"/>
    <s v="40FT"/>
    <n v="4"/>
    <s v="Food"/>
    <n v="158724.6"/>
    <n v="39752.31"/>
    <n v="9471.9"/>
    <n v="4679.17"/>
    <n v="1587.25"/>
    <n v="204.01"/>
    <n v="1186.0899999999999"/>
    <n v="101843.87"/>
    <n v="36"/>
    <s v="Customs"/>
    <n v="331.27"/>
    <s v="Delayed"/>
    <s v="Paid"/>
    <s v="Critical"/>
    <s v="R. Mehta"/>
    <s v="Middle East"/>
    <d v="2025-11-01T00:00:00"/>
    <x v="8"/>
  </r>
  <r>
    <x v="971"/>
    <s v="BK50601"/>
    <d v="2025-04-28T00:00:00"/>
    <d v="2025-04-29T00:00:00"/>
    <d v="2025-05-12T00:00:00"/>
    <s v="Amazon"/>
    <s v="E-commerce"/>
    <s v="USA"/>
    <s v="Busan"/>
    <s v="Los Angeles"/>
    <x v="3"/>
    <s v="OOCL Hong Kong"/>
    <s v="40FT"/>
    <n v="4"/>
    <s v="Furniture"/>
    <n v="159787.17000000001"/>
    <n v="28006.49"/>
    <n v="12235.98"/>
    <n v="3669.74"/>
    <n v="1597.87"/>
    <n v="333.88"/>
    <n v="2249.33"/>
    <n v="111693.88"/>
    <n v="48"/>
    <s v="Customs"/>
    <n v="233.39"/>
    <s v="Delayed"/>
    <s v="Paid"/>
    <s v="High"/>
    <s v="L. Chen"/>
    <s v="Europe"/>
    <d v="2025-04-01T00:00:00"/>
    <x v="13"/>
  </r>
  <r>
    <x v="972"/>
    <s v="BK50974"/>
    <d v="2025-08-08T00:00:00"/>
    <d v="2025-08-09T00:00:00"/>
    <d v="2025-08-31T00:00:00"/>
    <s v="Toyota"/>
    <s v="Automotive"/>
    <s v="Japan"/>
    <s v="Colombo"/>
    <s v="Singapore"/>
    <x v="4"/>
    <s v="Mumbai Maersk"/>
    <s v="Reefer"/>
    <n v="4"/>
    <s v="Auto Parts"/>
    <n v="160633.66"/>
    <n v="29102.68"/>
    <n v="8483.74"/>
    <n v="4530.29"/>
    <n v="1606.34"/>
    <n v="761.71"/>
    <n v="1140.1099999999999"/>
    <n v="115008.79"/>
    <n v="36"/>
    <s v="Port Congestion"/>
    <n v="242.52"/>
    <s v="Delayed"/>
    <s v="Paid"/>
    <s v="High"/>
    <s v="L. Chen"/>
    <s v="Asia"/>
    <d v="2025-08-01T00:00:00"/>
    <x v="4"/>
  </r>
  <r>
    <x v="973"/>
    <s v="BK50633"/>
    <d v="2025-07-25T00:00:00"/>
    <d v="2025-07-27T00:00:00"/>
    <d v="2025-08-22T00:00:00"/>
    <s v="Bosch"/>
    <s v="Manufacturing"/>
    <s v="Germany"/>
    <s v="Singapore"/>
    <s v="Rotterdam"/>
    <x v="1"/>
    <s v="CMA CGM Jacques Saadé"/>
    <s v="Reefer"/>
    <n v="4"/>
    <s v="Textiles"/>
    <n v="160706.25"/>
    <n v="31670.46"/>
    <n v="10279.629999999999"/>
    <n v="4376.04"/>
    <n v="1607.06"/>
    <n v="821.74"/>
    <n v="949.66"/>
    <n v="111001.66"/>
    <n v="48"/>
    <s v="Port Congestion"/>
    <n v="263.92"/>
    <s v="Delayed"/>
    <s v="Pending"/>
    <s v="Standard"/>
    <s v="R. Mehta"/>
    <s v="Asia"/>
    <d v="2025-07-01T00:00:00"/>
    <x v="3"/>
  </r>
  <r>
    <x v="974"/>
    <s v="BK50107"/>
    <d v="2025-10-06T00:00:00"/>
    <d v="2025-10-09T00:00:00"/>
    <d v="2025-10-29T00:00:00"/>
    <s v="Pfizer"/>
    <s v="Pharma"/>
    <s v="USA"/>
    <s v="Singapore"/>
    <s v="Rotterdam"/>
    <x v="1"/>
    <s v="CMA CGM Jacques Saadé"/>
    <s v="High Cube"/>
    <n v="4"/>
    <s v="Textiles"/>
    <n v="163216.49"/>
    <n v="30689.14"/>
    <n v="11660.53"/>
    <n v="3227.77"/>
    <n v="1632.16"/>
    <n v="166.41"/>
    <n v="979.14"/>
    <n v="114861.34"/>
    <n v="4"/>
    <s v="Mechanical"/>
    <n v="255.74"/>
    <s v="Delayed"/>
    <s v="Pending"/>
    <s v="Standard"/>
    <s v="J. Smith"/>
    <s v="Europe"/>
    <d v="2025-10-01T00:00:00"/>
    <x v="16"/>
  </r>
  <r>
    <x v="975"/>
    <s v="BK50233"/>
    <d v="2025-05-27T00:00:00"/>
    <d v="2025-05-30T00:00:00"/>
    <d v="2025-06-17T00:00:00"/>
    <s v="IKEA"/>
    <s v="Retail"/>
    <s v="Sweden"/>
    <s v="Shanghai"/>
    <s v="Rotterdam"/>
    <x v="1"/>
    <s v="OOCL Hong Kong"/>
    <s v="Reefer"/>
    <n v="4"/>
    <s v="Food"/>
    <n v="164255.12"/>
    <n v="33440.879999999997"/>
    <n v="8411.15"/>
    <n v="3246.52"/>
    <n v="1642.55"/>
    <n v="882.46"/>
    <n v="1953.29"/>
    <n v="114678.27"/>
    <n v="8"/>
    <s v="Customs"/>
    <n v="278.67"/>
    <s v="Delayed"/>
    <s v="Pending"/>
    <s v="Critical"/>
    <s v="J. Smith"/>
    <s v="Middle East"/>
    <d v="2025-05-01T00:00:00"/>
    <x v="14"/>
  </r>
  <r>
    <x v="976"/>
    <s v="BK50016"/>
    <d v="2025-09-25T00:00:00"/>
    <d v="2025-09-28T00:00:00"/>
    <d v="2025-10-27T00:00:00"/>
    <s v="IKEA"/>
    <s v="Retail"/>
    <s v="Sweden"/>
    <s v="Busan"/>
    <s v="Los Angeles"/>
    <x v="3"/>
    <s v="Monaco Maersk"/>
    <s v="20FT"/>
    <n v="4"/>
    <s v="Chemicals"/>
    <n v="164628.16"/>
    <n v="41835.53"/>
    <n v="11526.81"/>
    <n v="4436.37"/>
    <n v="1646.28"/>
    <n v="415.15"/>
    <n v="1096.43"/>
    <n v="103671.59"/>
    <n v="48"/>
    <s v="Port Congestion"/>
    <n v="348.63"/>
    <s v="Delayed"/>
    <s v="Pending"/>
    <s v="Standard"/>
    <s v="L. Chen"/>
    <s v="Asia"/>
    <d v="2025-09-01T00:00:00"/>
    <x v="20"/>
  </r>
  <r>
    <x v="977"/>
    <s v="BK50243"/>
    <d v="2025-01-20T00:00:00"/>
    <d v="2025-01-22T00:00:00"/>
    <d v="2025-02-05T00:00:00"/>
    <s v="Samsung"/>
    <s v="Electronics"/>
    <s v="South Korea"/>
    <s v="Jebel Ali"/>
    <s v="Nhava Sheva"/>
    <x v="0"/>
    <s v="Monaco Maersk"/>
    <s v="Reefer"/>
    <n v="4"/>
    <s v="Auto Parts"/>
    <n v="165009.53"/>
    <n v="30610.11"/>
    <n v="6883.92"/>
    <n v="3648.77"/>
    <n v="1650.1"/>
    <n v="192.6"/>
    <n v="1485.77"/>
    <n v="120538.26"/>
    <n v="8"/>
    <s v="Labor Strike"/>
    <n v="255.08"/>
    <s v="Delayed"/>
    <s v="Pending"/>
    <s v="Standard"/>
    <s v="M. Ahmed"/>
    <s v="Asia"/>
    <d v="2025-01-01T00:00:00"/>
    <x v="1"/>
  </r>
  <r>
    <x v="978"/>
    <s v="BK50537"/>
    <d v="2025-08-11T00:00:00"/>
    <d v="2025-08-12T00:00:00"/>
    <d v="2025-08-23T00:00:00"/>
    <s v="Pfizer"/>
    <s v="Pharma"/>
    <s v="USA"/>
    <s v="Colombo"/>
    <s v="Singapore"/>
    <x v="4"/>
    <s v="CMA CGM Jacques Saadé"/>
    <s v="20FT"/>
    <n v="4"/>
    <s v="Electronics"/>
    <n v="165395.25"/>
    <n v="36892.06"/>
    <n v="8234.19"/>
    <n v="3737.85"/>
    <n v="1653.95"/>
    <n v="682.98"/>
    <n v="606.73"/>
    <n v="113587.49"/>
    <n v="4"/>
    <s v="Mechanical"/>
    <n v="307.43"/>
    <s v="Delayed"/>
    <s v="Paid"/>
    <s v="Critical"/>
    <s v="A. Tan"/>
    <s v="Middle East"/>
    <d v="2025-08-01T00:00:00"/>
    <x v="5"/>
  </r>
  <r>
    <x v="979"/>
    <s v="BK50824"/>
    <d v="2025-05-21T00:00:00"/>
    <d v="2025-05-25T00:00:00"/>
    <d v="2025-06-19T00:00:00"/>
    <s v="Nestlé"/>
    <s v="Food"/>
    <s v="Switzerland"/>
    <s v="Colombo"/>
    <s v="Singapore"/>
    <x v="4"/>
    <s v="Ever Ace"/>
    <s v="20FT"/>
    <n v="4"/>
    <s v="Chemicals"/>
    <n v="166542.6"/>
    <n v="49563.1"/>
    <n v="9781.51"/>
    <n v="4568.17"/>
    <n v="1665.43"/>
    <n v="309.51"/>
    <n v="1393.08"/>
    <n v="99261.8"/>
    <n v="0"/>
    <s v="None"/>
    <n v="413.03"/>
    <s v="Completed"/>
    <s v="Paid"/>
    <s v="Critical"/>
    <s v="M. Ahmed"/>
    <s v="Asia"/>
    <d v="2025-05-01T00:00:00"/>
    <x v="10"/>
  </r>
  <r>
    <x v="980"/>
    <s v="BK50747"/>
    <d v="2025-06-21T00:00:00"/>
    <d v="2025-06-24T00:00:00"/>
    <d v="2025-07-08T00:00:00"/>
    <s v="Bosch"/>
    <s v="Manufacturing"/>
    <s v="Germany"/>
    <s v="Nhava Sheva"/>
    <s v="Nhava Sheva"/>
    <x v="2"/>
    <s v="OOCL Hong Kong"/>
    <s v="40FT"/>
    <n v="4"/>
    <s v="Furniture"/>
    <n v="167817.04"/>
    <n v="38977.589999999997"/>
    <n v="12813.21"/>
    <n v="2086.0700000000002"/>
    <n v="1678.17"/>
    <n v="817.9"/>
    <n v="2246.08"/>
    <n v="109198.02"/>
    <n v="8"/>
    <s v="Weather"/>
    <n v="324.81"/>
    <s v="Delayed"/>
    <s v="Pending"/>
    <s v="Standard"/>
    <s v="J. Smith"/>
    <s v="Asia"/>
    <d v="2025-06-01T00:00:00"/>
    <x v="1"/>
  </r>
  <r>
    <x v="981"/>
    <s v="BK50198"/>
    <d v="2025-09-17T00:00:00"/>
    <d v="2025-09-20T00:00:00"/>
    <d v="2025-10-05T00:00:00"/>
    <s v="Siemens"/>
    <s v="Engineering"/>
    <s v="Germany"/>
    <s v="Shanghai"/>
    <s v="Rotterdam"/>
    <x v="1"/>
    <s v="CMA CGM Jacques Saadé"/>
    <s v="20FT"/>
    <n v="4"/>
    <s v="Furniture"/>
    <n v="168348.07"/>
    <n v="31828.2"/>
    <n v="7444.01"/>
    <n v="3222.31"/>
    <n v="1683.48"/>
    <n v="554.72"/>
    <n v="1199.94"/>
    <n v="122415.41"/>
    <n v="0"/>
    <s v="None"/>
    <n v="265.24"/>
    <s v="Completed"/>
    <s v="Pending"/>
    <s v="Standard"/>
    <s v="A. Tan"/>
    <s v="Asia"/>
    <d v="2025-09-01T00:00:00"/>
    <x v="6"/>
  </r>
  <r>
    <x v="982"/>
    <s v="BK50255"/>
    <d v="2025-06-05T00:00:00"/>
    <d v="2025-06-08T00:00:00"/>
    <d v="2025-06-24T00:00:00"/>
    <s v="Toyota"/>
    <s v="Automotive"/>
    <s v="Japan"/>
    <s v="Jebel Ali"/>
    <s v="Nhava Sheva"/>
    <x v="0"/>
    <s v="CMA CGM Jacques Saadé"/>
    <s v="Reefer"/>
    <n v="4"/>
    <s v="Textiles"/>
    <n v="168440.11"/>
    <n v="33196.870000000003"/>
    <n v="8849.42"/>
    <n v="1824.88"/>
    <n v="1684.4"/>
    <n v="488.53"/>
    <n v="1627.48"/>
    <n v="120768.53"/>
    <n v="12"/>
    <s v="Labor Strike"/>
    <n v="276.64"/>
    <s v="Delayed"/>
    <s v="Pending"/>
    <s v="Standard"/>
    <s v="A. Tan"/>
    <s v="Middle East"/>
    <d v="2025-06-01T00:00:00"/>
    <x v="0"/>
  </r>
  <r>
    <x v="983"/>
    <s v="BK50891"/>
    <d v="2025-02-26T00:00:00"/>
    <d v="2025-02-27T00:00:00"/>
    <d v="2025-03-19T00:00:00"/>
    <s v="Toyota"/>
    <s v="Automotive"/>
    <s v="Japan"/>
    <s v="Colombo"/>
    <s v="Singapore"/>
    <x v="4"/>
    <s v="Ever Ace"/>
    <s v="40FT"/>
    <n v="4"/>
    <s v="Machinery"/>
    <n v="168540.49"/>
    <n v="49370.35"/>
    <n v="9801.84"/>
    <n v="2764.42"/>
    <n v="1685.4"/>
    <n v="282.20999999999998"/>
    <n v="1177.8"/>
    <n v="103458.47"/>
    <n v="0"/>
    <s v="None"/>
    <n v="411.42"/>
    <s v="Completed"/>
    <s v="Paid"/>
    <s v="Standard"/>
    <s v="R. Mehta"/>
    <s v="North America"/>
    <d v="2025-02-01T00:00:00"/>
    <x v="16"/>
  </r>
  <r>
    <x v="984"/>
    <s v="BK50692"/>
    <d v="2025-12-11T00:00:00"/>
    <d v="2025-12-13T00:00:00"/>
    <d v="2025-12-29T00:00:00"/>
    <s v="Amazon"/>
    <s v="E-commerce"/>
    <s v="USA"/>
    <s v="Colombo"/>
    <s v="Singapore"/>
    <x v="4"/>
    <s v="Monaco Maersk"/>
    <s v="Reefer"/>
    <n v="4"/>
    <s v="Machinery"/>
    <n v="168624.75"/>
    <n v="32783.129999999997"/>
    <n v="8027.06"/>
    <n v="2354.21"/>
    <n v="1686.25"/>
    <n v="115.79"/>
    <n v="1619.17"/>
    <n v="122039.14"/>
    <n v="0"/>
    <s v="None"/>
    <n v="273.19"/>
    <s v="Completed"/>
    <s v="Pending"/>
    <s v="High"/>
    <s v="R. Mehta"/>
    <s v="Europe"/>
    <d v="2025-12-01T00:00:00"/>
    <x v="0"/>
  </r>
  <r>
    <x v="985"/>
    <s v="BK50793"/>
    <d v="2025-09-26T00:00:00"/>
    <d v="2025-09-30T00:00:00"/>
    <d v="2025-10-13T00:00:00"/>
    <s v="Unilever"/>
    <s v="FMCG"/>
    <s v="UK"/>
    <s v="Busan"/>
    <s v="Los Angeles"/>
    <x v="3"/>
    <s v="Mary Maersk"/>
    <s v="20FT"/>
    <n v="4"/>
    <s v="Textiles"/>
    <n v="168664.95"/>
    <n v="48677.42"/>
    <n v="9921.23"/>
    <n v="2444.16"/>
    <n v="1686.65"/>
    <n v="375.67"/>
    <n v="901.38"/>
    <n v="104658.44"/>
    <n v="12"/>
    <s v="Labor Strike"/>
    <n v="405.65"/>
    <s v="Delayed"/>
    <s v="Pending"/>
    <s v="Critical"/>
    <s v="J. Smith"/>
    <s v="Asia"/>
    <d v="2025-09-01T00:00:00"/>
    <x v="13"/>
  </r>
  <r>
    <x v="986"/>
    <s v="BK50813"/>
    <d v="2025-09-09T00:00:00"/>
    <d v="2025-09-11T00:00:00"/>
    <d v="2025-09-22T00:00:00"/>
    <s v="Adidas"/>
    <s v="Retail"/>
    <s v="Germany"/>
    <s v="Singapore"/>
    <s v="Rotterdam"/>
    <x v="1"/>
    <s v="Mary Maersk"/>
    <s v="20FT"/>
    <n v="4"/>
    <s v="Furniture"/>
    <n v="170680.95"/>
    <n v="47106.38"/>
    <n v="13530.11"/>
    <n v="3376.99"/>
    <n v="1706.81"/>
    <n v="395.48"/>
    <n v="1686.63"/>
    <n v="102878.55"/>
    <n v="0"/>
    <s v="None"/>
    <n v="392.55"/>
    <s v="Completed"/>
    <s v="Pending"/>
    <s v="High"/>
    <s v="J. Smith"/>
    <s v="Europe"/>
    <d v="2025-09-01T00:00:00"/>
    <x v="5"/>
  </r>
  <r>
    <x v="987"/>
    <s v="BK50438"/>
    <d v="2025-09-12T00:00:00"/>
    <d v="2025-09-15T00:00:00"/>
    <d v="2025-10-01T00:00:00"/>
    <s v="Reliance"/>
    <s v="Retail"/>
    <s v="India"/>
    <s v="New York"/>
    <s v="New York"/>
    <x v="2"/>
    <s v="CMA CGM Jacques Saadé"/>
    <s v="Reefer"/>
    <n v="4"/>
    <s v="Chemicals"/>
    <n v="170906.14"/>
    <n v="44479.67"/>
    <n v="11010.12"/>
    <n v="2179.21"/>
    <n v="1709.06"/>
    <n v="390.39"/>
    <n v="867.38"/>
    <n v="110270.31"/>
    <n v="36"/>
    <s v="Labor Strike"/>
    <n v="370.66"/>
    <s v="Delayed"/>
    <s v="Paid"/>
    <s v="Critical"/>
    <s v="J. Smith"/>
    <s v="Europe"/>
    <d v="2025-09-01T00:00:00"/>
    <x v="0"/>
  </r>
  <r>
    <x v="988"/>
    <s v="BK50559"/>
    <d v="2025-05-22T00:00:00"/>
    <d v="2025-05-24T00:00:00"/>
    <d v="2025-06-05T00:00:00"/>
    <s v="Siemens"/>
    <s v="Engineering"/>
    <s v="Germany"/>
    <s v="Busan"/>
    <s v="Los Angeles"/>
    <x v="3"/>
    <s v="MSC Gülsün"/>
    <s v="High Cube"/>
    <n v="4"/>
    <s v="Textiles"/>
    <n v="171513.69"/>
    <n v="42523.31"/>
    <n v="9497.44"/>
    <n v="4254.88"/>
    <n v="1715.14"/>
    <n v="865.77"/>
    <n v="1594.66"/>
    <n v="111062.49"/>
    <n v="8"/>
    <s v="Weather"/>
    <n v="354.36"/>
    <s v="Delayed"/>
    <s v="Paid"/>
    <s v="Standard"/>
    <s v="J. Smith"/>
    <s v="Europe"/>
    <d v="2025-05-01T00:00:00"/>
    <x v="12"/>
  </r>
  <r>
    <x v="989"/>
    <s v="BK50360"/>
    <d v="2025-10-10T00:00:00"/>
    <d v="2025-10-12T00:00:00"/>
    <d v="2025-11-01T00:00:00"/>
    <s v="Siemens"/>
    <s v="Engineering"/>
    <s v="Germany"/>
    <s v="Busan"/>
    <s v="Los Angeles"/>
    <x v="3"/>
    <s v="OOCL Hong Kong"/>
    <s v="40FT"/>
    <n v="4"/>
    <s v="Auto Parts"/>
    <n v="171665.71"/>
    <n v="44594.17"/>
    <n v="11630.82"/>
    <n v="1763.17"/>
    <n v="1716.66"/>
    <n v="110.92"/>
    <n v="1295.73"/>
    <n v="110554.24000000001"/>
    <n v="12"/>
    <s v="Port Congestion"/>
    <n v="371.62"/>
    <s v="Delayed"/>
    <s v="Pending"/>
    <s v="High"/>
    <s v="M. Ahmed"/>
    <s v="North America"/>
    <d v="2025-10-01T00:00:00"/>
    <x v="16"/>
  </r>
  <r>
    <x v="990"/>
    <s v="BK50025"/>
    <d v="2025-03-31T00:00:00"/>
    <d v="2025-04-02T00:00:00"/>
    <d v="2025-04-18T00:00:00"/>
    <s v="Adidas"/>
    <s v="Retail"/>
    <s v="Germany"/>
    <s v="Shanghai"/>
    <s v="Rotterdam"/>
    <x v="1"/>
    <s v="OOCL Hong Kong"/>
    <s v="20FT"/>
    <n v="4"/>
    <s v="Machinery"/>
    <n v="172340.72"/>
    <n v="40500.21"/>
    <n v="8284.33"/>
    <n v="2572.6799999999998"/>
    <n v="1723.41"/>
    <n v="803.43"/>
    <n v="1937.15"/>
    <n v="116519.51"/>
    <n v="48"/>
    <s v="Port Congestion"/>
    <n v="337.5"/>
    <s v="Delayed"/>
    <s v="Paid"/>
    <s v="Critical"/>
    <s v="A. Tan"/>
    <s v="Middle East"/>
    <d v="2025-03-01T00:00:00"/>
    <x v="0"/>
  </r>
  <r>
    <x v="991"/>
    <s v="BK50574"/>
    <d v="2025-04-02T00:00:00"/>
    <d v="2025-04-05T00:00:00"/>
    <d v="2025-04-20T00:00:00"/>
    <s v="Siemens"/>
    <s v="Engineering"/>
    <s v="Germany"/>
    <s v="Singapore"/>
    <s v="Rotterdam"/>
    <x v="1"/>
    <s v="Madrid Maersk"/>
    <s v="High Cube"/>
    <n v="4"/>
    <s v="Machinery"/>
    <n v="172786.46"/>
    <n v="47824.480000000003"/>
    <n v="10046.82"/>
    <n v="1875.37"/>
    <n v="1727.86"/>
    <n v="853.01"/>
    <n v="1750.59"/>
    <n v="108708.33"/>
    <n v="12"/>
    <s v="Customs"/>
    <n v="398.54"/>
    <s v="Delayed"/>
    <s v="Pending"/>
    <s v="High"/>
    <s v="M. Ahmed"/>
    <s v="Europe"/>
    <d v="2025-04-01T00:00:00"/>
    <x v="6"/>
  </r>
  <r>
    <x v="992"/>
    <s v="BK50306"/>
    <d v="2025-01-04T00:00:00"/>
    <d v="2025-01-05T00:00:00"/>
    <d v="2025-01-21T00:00:00"/>
    <s v="Nestlé"/>
    <s v="Food"/>
    <s v="Switzerland"/>
    <s v="Shanghai"/>
    <s v="Singapore"/>
    <x v="2"/>
    <s v="Madrid Maersk"/>
    <s v="40FT"/>
    <n v="4"/>
    <s v="Furniture"/>
    <n v="172817.64"/>
    <n v="34728.97"/>
    <n v="9125.7000000000007"/>
    <n v="2243.7800000000002"/>
    <n v="1728.18"/>
    <n v="446.22"/>
    <n v="797.74"/>
    <n v="123747.05"/>
    <n v="12"/>
    <s v="Labor Strike"/>
    <n v="289.41000000000003"/>
    <s v="Delayed"/>
    <s v="Paid"/>
    <s v="Standard"/>
    <s v="L. Chen"/>
    <s v="Europe"/>
    <d v="2025-01-01T00:00:00"/>
    <x v="0"/>
  </r>
  <r>
    <x v="993"/>
    <s v="BK50339"/>
    <d v="2025-03-16T00:00:00"/>
    <d v="2025-03-19T00:00:00"/>
    <d v="2025-04-15T00:00:00"/>
    <s v="Unilever"/>
    <s v="FMCG"/>
    <s v="UK"/>
    <s v="Jebel Ali"/>
    <s v="Nhava Sheva"/>
    <x v="0"/>
    <s v="CMA CGM Jacques Saadé"/>
    <s v="40FT"/>
    <n v="4"/>
    <s v="Machinery"/>
    <n v="172860.73"/>
    <n v="35993.18"/>
    <n v="12811.89"/>
    <n v="4151.33"/>
    <n v="1728.61"/>
    <n v="812.65"/>
    <n v="1525.5"/>
    <n v="115837.57"/>
    <n v="24"/>
    <s v="Port Congestion"/>
    <n v="299.94"/>
    <s v="Delayed"/>
    <s v="Paid"/>
    <s v="Standard"/>
    <s v="L. Chen"/>
    <s v="Europe"/>
    <d v="2025-03-01T00:00:00"/>
    <x v="2"/>
  </r>
  <r>
    <x v="994"/>
    <s v="BK50917"/>
    <d v="2025-12-16T00:00:00"/>
    <d v="2025-12-17T00:00:00"/>
    <d v="2026-01-01T00:00:00"/>
    <s v="Reliance"/>
    <s v="Retail"/>
    <s v="India"/>
    <s v="Jebel Ali"/>
    <s v="Nhava Sheva"/>
    <x v="0"/>
    <s v="Mumbai Maersk"/>
    <s v="20FT"/>
    <n v="4"/>
    <s v="Chemicals"/>
    <n v="173542.87"/>
    <n v="44903.18"/>
    <n v="11137.31"/>
    <n v="3136.88"/>
    <n v="1735.43"/>
    <n v="143.81"/>
    <n v="1843.5"/>
    <n v="110642.76"/>
    <n v="12"/>
    <s v="Labor Strike"/>
    <n v="374.19"/>
    <s v="Delayed"/>
    <s v="Pending"/>
    <s v="Critical"/>
    <s v="M. Ahmed"/>
    <s v="North America"/>
    <d v="2025-12-01T00:00:00"/>
    <x v="6"/>
  </r>
  <r>
    <x v="995"/>
    <s v="BK50810"/>
    <d v="2025-10-14T00:00:00"/>
    <d v="2025-10-16T00:00:00"/>
    <d v="2025-11-05T00:00:00"/>
    <s v="Adidas"/>
    <s v="Retail"/>
    <s v="Germany"/>
    <s v="Singapore"/>
    <s v="Rotterdam"/>
    <x v="1"/>
    <s v="CMA CGM Jacques Saadé"/>
    <s v="20FT"/>
    <n v="4"/>
    <s v="Auto Parts"/>
    <n v="173885.88"/>
    <n v="42437.77"/>
    <n v="9167.1"/>
    <n v="2673.79"/>
    <n v="1738.86"/>
    <n v="163.44"/>
    <n v="677.25"/>
    <n v="117027.67"/>
    <n v="0"/>
    <s v="None"/>
    <n v="353.65"/>
    <s v="Completed"/>
    <s v="Paid"/>
    <s v="Critical"/>
    <s v="A. Tan"/>
    <s v="Asia"/>
    <d v="2025-10-01T00:00:00"/>
    <x v="16"/>
  </r>
  <r>
    <x v="996"/>
    <s v="BK50168"/>
    <d v="2025-03-27T00:00:00"/>
    <d v="2025-03-28T00:00:00"/>
    <d v="2025-04-25T00:00:00"/>
    <s v="Pfizer"/>
    <s v="Pharma"/>
    <s v="USA"/>
    <s v="Singapore"/>
    <s v="Rotterdam"/>
    <x v="1"/>
    <s v="Ever Ace"/>
    <s v="Reefer"/>
    <n v="4"/>
    <s v="Machinery"/>
    <n v="175692.18"/>
    <n v="30162.35"/>
    <n v="7941.15"/>
    <n v="4952.2700000000004"/>
    <n v="1756.92"/>
    <n v="845.11"/>
    <n v="1979.48"/>
    <n v="128054.9"/>
    <n v="48"/>
    <s v="Mechanical"/>
    <n v="251.35"/>
    <s v="Delayed"/>
    <s v="Paid"/>
    <s v="Critical"/>
    <s v="R. Mehta"/>
    <s v="Middle East"/>
    <d v="2025-03-01T00:00:00"/>
    <x v="17"/>
  </r>
  <r>
    <x v="997"/>
    <s v="BK50033"/>
    <d v="2025-09-30T00:00:00"/>
    <d v="2025-10-01T00:00:00"/>
    <d v="2025-10-20T00:00:00"/>
    <s v="Pfizer"/>
    <s v="Pharma"/>
    <s v="USA"/>
    <s v="New York"/>
    <s v="Jebel Ali"/>
    <x v="2"/>
    <s v="Mary Maersk"/>
    <s v="20FT"/>
    <n v="4"/>
    <s v="Chemicals"/>
    <n v="177919.26"/>
    <n v="52552.46"/>
    <n v="13393.57"/>
    <n v="4000.28"/>
    <n v="1779.19"/>
    <n v="832.28"/>
    <n v="2089.5"/>
    <n v="103271.98"/>
    <n v="0"/>
    <s v="None"/>
    <n v="437.94"/>
    <s v="Completed"/>
    <s v="Paid"/>
    <s v="High"/>
    <s v="R. Mehta"/>
    <s v="Middle East"/>
    <d v="2025-09-01T00:00:00"/>
    <x v="11"/>
  </r>
  <r>
    <x v="998"/>
    <s v="BK50740"/>
    <d v="2025-09-07T00:00:00"/>
    <d v="2025-09-10T00:00:00"/>
    <d v="2025-09-21T00:00:00"/>
    <s v="Unilever"/>
    <s v="FMCG"/>
    <s v="UK"/>
    <s v="Jebel Ali"/>
    <s v="Nhava Sheva"/>
    <x v="0"/>
    <s v="CMA CGM Jacques Saadé"/>
    <s v="Reefer"/>
    <n v="4"/>
    <s v="Chemicals"/>
    <n v="178225.09"/>
    <n v="32908.769999999997"/>
    <n v="13627.97"/>
    <n v="1871.51"/>
    <n v="1782.25"/>
    <n v="166.32"/>
    <n v="972.16"/>
    <n v="126896.11"/>
    <n v="0"/>
    <s v="None"/>
    <n v="274.24"/>
    <s v="Completed"/>
    <s v="Paid"/>
    <s v="Critical"/>
    <s v="M. Ahmed"/>
    <s v="North America"/>
    <d v="2025-09-01T00:00:00"/>
    <x v="5"/>
  </r>
  <r>
    <x v="999"/>
    <s v="BK50673"/>
    <d v="2025-06-03T00:00:00"/>
    <d v="2025-06-05T00:00:00"/>
    <d v="2025-06-28T00:00:00"/>
    <s v="Adidas"/>
    <s v="Retail"/>
    <s v="Germany"/>
    <s v="Colombo"/>
    <s v="Hamburg"/>
    <x v="2"/>
    <s v="MSC Gülsün"/>
    <s v="High Cube"/>
    <n v="4"/>
    <s v="Auto Parts"/>
    <n v="179807.73"/>
    <n v="48800.86"/>
    <n v="13109.36"/>
    <n v="2282.79"/>
    <n v="1798.08"/>
    <n v="207.03"/>
    <n v="608.72"/>
    <n v="113000.89"/>
    <n v="0"/>
    <s v="None"/>
    <n v="406.67"/>
    <s v="Completed"/>
    <s v="Paid"/>
    <s v="Critical"/>
    <s v="R. Mehta"/>
    <s v="North America"/>
    <d v="2025-06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92954-692D-46D3-87BE-5FE61B263058}" name="PivotTable2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16" firstHeaderRow="0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65" outline="0" showAll="0">
      <items count="13">
        <item x="11"/>
        <item x="9"/>
        <item x="5"/>
        <item x="10"/>
        <item x="6"/>
        <item x="0"/>
        <item x="1"/>
        <item x="4"/>
        <item x="3"/>
        <item x="7"/>
        <item x="8"/>
        <item x="2"/>
        <item t="default"/>
      </items>
    </pivotField>
  </pivotFields>
  <rowFields count="1">
    <field x="3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5" baseField="0" baseItem="0"/>
    <dataField name="Sum of Profit_USD" fld="22" baseField="0" baseItem="0"/>
  </dataFields>
  <formats count="1">
    <format dxfId="6">
      <pivotArea outline="0" collapsedLevelsAreSubtotals="1" fieldPosition="0"/>
    </format>
  </format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EE2F3-0E7B-4CE9-AE11-983D365668D9}" name="PivotTable3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32"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Count of Shipment_ID" fld="0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8FA81-7515-4C9E-976A-D3D34C7CFD46}" name="PivotTable4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9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Revenue_USD" fld="15" baseField="0" baseItem="0" numFmtId="167"/>
  </dataFields>
  <formats count="1">
    <format dxfId="5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10330-305F-4761-8567-E263D86BF662}" name="PivotTable5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Profit_USD" fld="22" baseField="0" baseItem="0" numFmtId="167"/>
  </dataFields>
  <formats count="2">
    <format dxfId="3">
      <pivotArea outline="0" fieldPosition="0">
        <references count="1">
          <reference field="10" count="1" selected="0">
            <x v="1"/>
          </reference>
        </references>
      </pivotArea>
    </format>
    <format dxfId="4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2721E-7562-4446-833A-BBD9F3AB9F60}" name="PivotTable6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D10" firstHeaderRow="1" firstDataRow="2" firstDataCol="1"/>
  <pivotFields count="32">
    <pivotField dataField="1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Count of Shipment_ID" fld="0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1D69E-0AD5-4485-B761-AE3EE28AEE7D}" name="PivotTable7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um of Fuel_Cost_USD" fld="16" baseField="0" baseItem="0" numFmtId="167"/>
  </dataFields>
  <formats count="1">
    <format dxfId="2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44259-CD5E-4F3C-B846-D592C274FE76}" name="PivotTable8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Average of Delay_Hours" fld="23" subtotal="average" baseField="0" baseItem="0"/>
  </dataFields>
  <formats count="1">
    <format dxfId="1">
      <pivotArea outline="0" fieldPosition="0">
        <references count="1">
          <reference field="10" count="0" selected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6B3EF-8DCE-426A-8C8A-53BFF717BD90}" name="PivotTable9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0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um of CO2_Emission_Tonnes" fld="2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89ACF-83A4-4221-ABC0-125CF6494994}" name="PivotTable5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5:B52" firstHeaderRow="1" firstDataRow="1" firstDataCol="1"/>
  <pivotFields count="3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2"/>
        <item x="0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7">
    <i>
      <x v="1"/>
    </i>
    <i>
      <x/>
    </i>
    <i>
      <x v="3"/>
    </i>
    <i>
      <x v="2"/>
    </i>
    <i>
      <x v="4"/>
    </i>
    <i>
      <x v="5"/>
    </i>
    <i t="grand">
      <x/>
    </i>
  </rowItems>
  <colItems count="1">
    <i/>
  </colItems>
  <dataFields count="1">
    <dataField name="Sum of Profit_US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319FC-7D75-451C-A50D-6C8645EEBFA8}" name="PivotTable4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B43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4"/>
        <item x="1"/>
        <item x="7"/>
        <item x="3"/>
        <item x="6"/>
        <item x="5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1"/>
  </rowFields>
  <rowItems count="9">
    <i>
      <x/>
    </i>
    <i>
      <x v="7"/>
    </i>
    <i>
      <x v="5"/>
    </i>
    <i>
      <x v="1"/>
    </i>
    <i>
      <x v="3"/>
    </i>
    <i>
      <x v="6"/>
    </i>
    <i>
      <x v="4"/>
    </i>
    <i>
      <x v="2"/>
    </i>
    <i t="grand">
      <x/>
    </i>
  </rowItems>
  <colItems count="1">
    <i/>
  </colItems>
  <dataFields count="1">
    <dataField name="Sum of Profit_US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B87C9-15EC-4D41-BAFF-92D5C09170E2}" name="PivotTable3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B31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axis="axisRow" compact="0" outline="0" showAll="0" sortType="descending">
      <items count="13">
        <item x="7"/>
        <item x="10"/>
        <item x="4"/>
        <item x="8"/>
        <item x="3"/>
        <item x="5"/>
        <item x="6"/>
        <item x="0"/>
        <item x="2"/>
        <item x="9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5"/>
  </rowFields>
  <rowItems count="13">
    <i>
      <x v="1"/>
    </i>
    <i>
      <x v="9"/>
    </i>
    <i>
      <x v="5"/>
    </i>
    <i>
      <x v="10"/>
    </i>
    <i>
      <x v="3"/>
    </i>
    <i>
      <x/>
    </i>
    <i>
      <x v="11"/>
    </i>
    <i>
      <x v="6"/>
    </i>
    <i>
      <x v="8"/>
    </i>
    <i>
      <x v="4"/>
    </i>
    <i>
      <x v="7"/>
    </i>
    <i>
      <x v="2"/>
    </i>
    <i t="grand">
      <x/>
    </i>
  </rowItems>
  <colItems count="1">
    <i/>
  </colItems>
  <dataFields count="1">
    <dataField name="Sum of Profit_US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2D3CA-E6CC-48D7-8503-3B50CB51CA9F}" name="PivotTable9" cacheId="3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0:B86" firstHeaderRow="1" firstDataRow="1" firstDataCol="1"/>
  <pivotFields count="33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outline="0" showAll="0">
      <items count="22">
        <item x="15"/>
        <item x="5"/>
        <item x="12"/>
        <item x="13"/>
        <item x="1"/>
        <item x="6"/>
        <item x="0"/>
        <item x="18"/>
        <item x="14"/>
        <item x="11"/>
        <item x="16"/>
        <item x="9"/>
        <item x="4"/>
        <item x="7"/>
        <item x="8"/>
        <item x="10"/>
        <item x="3"/>
        <item x="2"/>
        <item x="17"/>
        <item x="20"/>
        <item x="19"/>
        <item t="default"/>
      </items>
    </pivotField>
  </pivotFields>
  <rowFields count="1">
    <field x="10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Duration" fld="32" subtotal="average" baseField="0" baseItem="0"/>
  </dataFields>
  <formats count="1">
    <format dxfId="0">
      <pivotArea outline="0" fieldPosition="0">
        <references count="1">
          <reference field="10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48DD5-8D22-4C71-81FD-7869C1E146F3}" name="PivotTable1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axis="axisRow" compact="0" outline="0" showAll="0" sortType="descending">
      <items count="13">
        <item x="7"/>
        <item x="10"/>
        <item x="4"/>
        <item x="8"/>
        <item x="3"/>
        <item x="5"/>
        <item x="6"/>
        <item x="0"/>
        <item x="2"/>
        <item x="9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5"/>
  </rowFields>
  <rowItems count="13">
    <i>
      <x v="1"/>
    </i>
    <i>
      <x v="9"/>
    </i>
    <i>
      <x v="5"/>
    </i>
    <i>
      <x v="10"/>
    </i>
    <i>
      <x v="3"/>
    </i>
    <i>
      <x/>
    </i>
    <i>
      <x v="11"/>
    </i>
    <i>
      <x v="6"/>
    </i>
    <i>
      <x v="8"/>
    </i>
    <i>
      <x v="4"/>
    </i>
    <i>
      <x v="7"/>
    </i>
    <i>
      <x v="2"/>
    </i>
    <i t="grand">
      <x/>
    </i>
  </rowItems>
  <colItems count="1">
    <i/>
  </colItems>
  <dataFields count="1">
    <dataField name="Sum of Revenue_US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74A0E-A360-4C0F-BEEB-D021069FBE12}" name="PivotTable6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2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7">
        <item x="2"/>
        <item x="0"/>
        <item x="1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24"/>
  </rowFields>
  <rowItems count="7">
    <i>
      <x v="3"/>
    </i>
    <i>
      <x v="1"/>
    </i>
    <i>
      <x v="5"/>
    </i>
    <i>
      <x v="2"/>
    </i>
    <i>
      <x v="4"/>
    </i>
    <i>
      <x/>
    </i>
    <i t="grand">
      <x/>
    </i>
  </rowItems>
  <colItems count="1">
    <i/>
  </colItems>
  <dataFields count="1">
    <dataField name="Count of Delay_Reason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D0E30-6342-45DD-962B-E70838BCAFA5}" name="PivotTable7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4:B77" firstHeaderRow="1" firstDataRow="1" firstDataCol="1"/>
  <pivotFields count="32"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axis="axisRow" compact="0" outline="0" showAll="0" sortType="descending">
      <items count="13">
        <item x="7"/>
        <item x="10"/>
        <item x="4"/>
        <item x="8"/>
        <item x="3"/>
        <item x="5"/>
        <item x="6"/>
        <item x="0"/>
        <item x="2"/>
        <item x="9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5"/>
  </rowFields>
  <rowItems count="13">
    <i>
      <x v="10"/>
    </i>
    <i>
      <x v="1"/>
    </i>
    <i>
      <x v="7"/>
    </i>
    <i>
      <x v="8"/>
    </i>
    <i>
      <x v="11"/>
    </i>
    <i>
      <x v="3"/>
    </i>
    <i>
      <x v="6"/>
    </i>
    <i>
      <x v="2"/>
    </i>
    <i>
      <x/>
    </i>
    <i>
      <x v="5"/>
    </i>
    <i>
      <x v="9"/>
    </i>
    <i>
      <x v="4"/>
    </i>
    <i t="grand">
      <x/>
    </i>
  </rowItems>
  <colItems count="1">
    <i/>
  </colItems>
  <dataFields count="1">
    <dataField name="Sum of Delay_Hour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workbookViewId="0">
      <pane ySplit="1" topLeftCell="C2" activePane="bottomLeft" state="frozen"/>
      <selection pane="bottomLeft" activeCell="AI5" sqref="AI5"/>
    </sheetView>
  </sheetViews>
  <sheetFormatPr defaultRowHeight="15"/>
  <cols>
    <col min="1" max="1" width="12.42578125" bestFit="1" customWidth="1"/>
    <col min="2" max="2" width="11.42578125" bestFit="1" customWidth="1"/>
    <col min="3" max="3" width="11.5703125" customWidth="1"/>
    <col min="4" max="4" width="15.5703125" customWidth="1"/>
    <col min="5" max="5" width="12.5703125" customWidth="1"/>
    <col min="6" max="6" width="16.28515625" bestFit="1" customWidth="1"/>
    <col min="7" max="7" width="14.140625" bestFit="1" customWidth="1"/>
    <col min="8" max="8" width="18" bestFit="1" customWidth="1"/>
    <col min="9" max="9" width="12.28515625" bestFit="1" customWidth="1"/>
    <col min="10" max="10" width="16.140625" bestFit="1" customWidth="1"/>
    <col min="11" max="11" width="16.42578125" bestFit="1" customWidth="1"/>
    <col min="12" max="12" width="23.5703125" bestFit="1" customWidth="1"/>
    <col min="13" max="13" width="15.140625" bestFit="1" customWidth="1"/>
    <col min="15" max="15" width="11.42578125" bestFit="1" customWidth="1"/>
    <col min="16" max="16" width="14.85546875" style="48" bestFit="1" customWidth="1"/>
    <col min="17" max="17" width="14.5703125" style="48" bestFit="1" customWidth="1"/>
    <col min="18" max="18" width="17.85546875" style="48" bestFit="1" customWidth="1"/>
    <col min="19" max="19" width="18.5703125" style="48" bestFit="1" customWidth="1"/>
    <col min="20" max="20" width="14.5703125" style="48" bestFit="1" customWidth="1"/>
    <col min="21" max="21" width="27.85546875" style="48" bestFit="1" customWidth="1"/>
    <col min="22" max="22" width="26.28515625" style="48" bestFit="1" customWidth="1"/>
    <col min="23" max="23" width="15.5703125" style="48" customWidth="1"/>
    <col min="24" max="24" width="12.28515625" bestFit="1" customWidth="1"/>
    <col min="25" max="25" width="15.28515625" bestFit="1" customWidth="1"/>
    <col min="26" max="26" width="21.28515625" bestFit="1" customWidth="1"/>
    <col min="27" max="27" width="16.140625" bestFit="1" customWidth="1"/>
    <col min="28" max="28" width="15.42578125" bestFit="1" customWidth="1"/>
    <col min="29" max="29" width="11.85546875" customWidth="1"/>
    <col min="30" max="30" width="15.5703125" customWidth="1"/>
    <col min="31" max="31" width="14" bestFit="1" customWidth="1"/>
    <col min="32" max="32" width="11.140625" bestFit="1" customWidth="1"/>
    <col min="34" max="34" width="16" bestFit="1" customWidth="1"/>
  </cols>
  <sheetData>
    <row r="1" spans="1:3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t="s">
        <v>34</v>
      </c>
      <c r="B2" t="s">
        <v>35</v>
      </c>
      <c r="C2" s="1">
        <v>45930</v>
      </c>
      <c r="D2" s="1">
        <v>45931</v>
      </c>
      <c r="E2" s="1">
        <v>45950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4</v>
      </c>
      <c r="O2" t="s">
        <v>44</v>
      </c>
      <c r="P2" s="48">
        <v>177919.26</v>
      </c>
      <c r="Q2" s="48">
        <v>52552.46</v>
      </c>
      <c r="R2" s="48">
        <v>13393.57</v>
      </c>
      <c r="S2" s="48">
        <v>4000.28</v>
      </c>
      <c r="T2" s="48">
        <v>1779.19</v>
      </c>
      <c r="U2" s="48">
        <v>832.28</v>
      </c>
      <c r="V2" s="48">
        <v>2089.5</v>
      </c>
      <c r="W2" s="48">
        <v>103271.98</v>
      </c>
      <c r="X2">
        <v>0</v>
      </c>
      <c r="Y2" t="s">
        <v>45</v>
      </c>
      <c r="Z2">
        <v>437.94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s="5">
        <f>DATE(YEAR(C2),MONTH(C2),1)</f>
        <v>45901</v>
      </c>
      <c r="AG2">
        <f>E2-D2</f>
        <v>19</v>
      </c>
      <c r="AH2" s="6">
        <f>W2/P2*100</f>
        <v>58.044294923438869</v>
      </c>
    </row>
    <row r="3" spans="1:34">
      <c r="A3" t="s">
        <v>51</v>
      </c>
      <c r="B3" t="s">
        <v>52</v>
      </c>
      <c r="C3" s="1">
        <v>45798</v>
      </c>
      <c r="D3" s="1">
        <v>45802</v>
      </c>
      <c r="E3" s="1">
        <v>45827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43</v>
      </c>
      <c r="N3">
        <v>4</v>
      </c>
      <c r="O3" t="s">
        <v>44</v>
      </c>
      <c r="P3" s="48">
        <v>166542.6</v>
      </c>
      <c r="Q3" s="48">
        <v>49563.1</v>
      </c>
      <c r="R3" s="48">
        <v>9781.51</v>
      </c>
      <c r="S3" s="48">
        <v>4568.17</v>
      </c>
      <c r="T3" s="48">
        <v>1665.43</v>
      </c>
      <c r="U3" s="48">
        <v>309.51</v>
      </c>
      <c r="V3" s="48">
        <v>1393.08</v>
      </c>
      <c r="W3" s="48">
        <v>99261.8</v>
      </c>
      <c r="X3">
        <v>0</v>
      </c>
      <c r="Y3" t="s">
        <v>45</v>
      </c>
      <c r="Z3">
        <v>413.03</v>
      </c>
      <c r="AA3" t="s">
        <v>46</v>
      </c>
      <c r="AB3" t="s">
        <v>47</v>
      </c>
      <c r="AC3" t="s">
        <v>60</v>
      </c>
      <c r="AD3" t="s">
        <v>61</v>
      </c>
      <c r="AE3" t="s">
        <v>62</v>
      </c>
      <c r="AF3" s="5">
        <f>DATE(YEAR(C3),MONTH(C3),1)</f>
        <v>45778</v>
      </c>
      <c r="AG3">
        <f>E3-D3</f>
        <v>25</v>
      </c>
      <c r="AH3" s="6">
        <f t="shared" ref="AH3:AH66" si="0">W3/P3*100</f>
        <v>59.601447317383062</v>
      </c>
    </row>
    <row r="4" spans="1:34">
      <c r="A4" t="s">
        <v>63</v>
      </c>
      <c r="B4" t="s">
        <v>64</v>
      </c>
      <c r="C4" s="1">
        <v>45714</v>
      </c>
      <c r="D4" s="1">
        <v>45715</v>
      </c>
      <c r="E4" s="1">
        <v>45735</v>
      </c>
      <c r="F4" t="s">
        <v>65</v>
      </c>
      <c r="G4" t="s">
        <v>66</v>
      </c>
      <c r="H4" t="s">
        <v>67</v>
      </c>
      <c r="I4" t="s">
        <v>56</v>
      </c>
      <c r="J4" t="s">
        <v>57</v>
      </c>
      <c r="K4" t="s">
        <v>58</v>
      </c>
      <c r="L4" t="s">
        <v>59</v>
      </c>
      <c r="M4" t="s">
        <v>68</v>
      </c>
      <c r="N4">
        <v>4</v>
      </c>
      <c r="O4" t="s">
        <v>69</v>
      </c>
      <c r="P4" s="48">
        <v>168540.49</v>
      </c>
      <c r="Q4" s="48">
        <v>49370.35</v>
      </c>
      <c r="R4" s="48">
        <v>9801.84</v>
      </c>
      <c r="S4" s="48">
        <v>2764.42</v>
      </c>
      <c r="T4" s="48">
        <v>1685.4</v>
      </c>
      <c r="U4" s="48">
        <v>282.20999999999998</v>
      </c>
      <c r="V4" s="48">
        <v>1177.8</v>
      </c>
      <c r="W4" s="48">
        <v>103458.47</v>
      </c>
      <c r="X4">
        <v>0</v>
      </c>
      <c r="Y4" t="s">
        <v>45</v>
      </c>
      <c r="Z4">
        <v>411.42</v>
      </c>
      <c r="AA4" t="s">
        <v>46</v>
      </c>
      <c r="AB4" t="s">
        <v>47</v>
      </c>
      <c r="AC4" t="s">
        <v>70</v>
      </c>
      <c r="AD4" t="s">
        <v>49</v>
      </c>
      <c r="AE4" t="s">
        <v>71</v>
      </c>
      <c r="AF4" s="5">
        <f>DATE(YEAR(C4),MONTH(C4),1)</f>
        <v>45689</v>
      </c>
      <c r="AG4">
        <f>E4-D4</f>
        <v>20</v>
      </c>
      <c r="AH4" s="6">
        <f t="shared" si="0"/>
        <v>61.38493486045995</v>
      </c>
    </row>
    <row r="5" spans="1:34">
      <c r="A5" t="s">
        <v>72</v>
      </c>
      <c r="B5" t="s">
        <v>73</v>
      </c>
      <c r="C5" s="1">
        <v>45811</v>
      </c>
      <c r="D5" s="1">
        <v>45813</v>
      </c>
      <c r="E5" s="1">
        <v>45836</v>
      </c>
      <c r="F5" t="s">
        <v>74</v>
      </c>
      <c r="G5" t="s">
        <v>75</v>
      </c>
      <c r="H5" t="s">
        <v>76</v>
      </c>
      <c r="I5" t="s">
        <v>56</v>
      </c>
      <c r="J5" t="s">
        <v>77</v>
      </c>
      <c r="K5" t="s">
        <v>41</v>
      </c>
      <c r="L5" t="s">
        <v>78</v>
      </c>
      <c r="M5" t="s">
        <v>79</v>
      </c>
      <c r="N5">
        <v>4</v>
      </c>
      <c r="O5" t="s">
        <v>80</v>
      </c>
      <c r="P5" s="48">
        <v>179807.73</v>
      </c>
      <c r="Q5" s="48">
        <v>48800.86</v>
      </c>
      <c r="R5" s="48">
        <v>13109.36</v>
      </c>
      <c r="S5" s="48">
        <v>2282.79</v>
      </c>
      <c r="T5" s="48">
        <v>1798.08</v>
      </c>
      <c r="U5" s="48">
        <v>207.03</v>
      </c>
      <c r="V5" s="48">
        <v>608.72</v>
      </c>
      <c r="W5" s="48">
        <v>113000.89</v>
      </c>
      <c r="X5">
        <v>0</v>
      </c>
      <c r="Y5" t="s">
        <v>45</v>
      </c>
      <c r="Z5">
        <v>406.67</v>
      </c>
      <c r="AA5" t="s">
        <v>46</v>
      </c>
      <c r="AB5" t="s">
        <v>47</v>
      </c>
      <c r="AC5" t="s">
        <v>60</v>
      </c>
      <c r="AD5" t="s">
        <v>49</v>
      </c>
      <c r="AE5" t="s">
        <v>71</v>
      </c>
      <c r="AF5" s="5">
        <f>DATE(YEAR(C5),MONTH(C5),1)</f>
        <v>45809</v>
      </c>
      <c r="AG5">
        <f>E5-D5</f>
        <v>23</v>
      </c>
      <c r="AH5" s="6">
        <f t="shared" si="0"/>
        <v>62.845401585348966</v>
      </c>
    </row>
    <row r="6" spans="1:34">
      <c r="A6" t="s">
        <v>81</v>
      </c>
      <c r="B6" t="s">
        <v>82</v>
      </c>
      <c r="C6" s="1">
        <v>45926</v>
      </c>
      <c r="D6" s="1">
        <v>45930</v>
      </c>
      <c r="E6" s="1">
        <v>45943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42</v>
      </c>
      <c r="M6" t="s">
        <v>43</v>
      </c>
      <c r="N6">
        <v>4</v>
      </c>
      <c r="O6" t="s">
        <v>89</v>
      </c>
      <c r="P6" s="48">
        <v>168664.95</v>
      </c>
      <c r="Q6" s="48">
        <v>48677.42</v>
      </c>
      <c r="R6" s="48">
        <v>9921.23</v>
      </c>
      <c r="S6" s="48">
        <v>2444.16</v>
      </c>
      <c r="T6" s="48">
        <v>1686.65</v>
      </c>
      <c r="U6" s="48">
        <v>375.67</v>
      </c>
      <c r="V6" s="48">
        <v>901.38</v>
      </c>
      <c r="W6" s="48">
        <v>104658.44</v>
      </c>
      <c r="X6">
        <v>12</v>
      </c>
      <c r="Y6" t="s">
        <v>90</v>
      </c>
      <c r="Z6">
        <v>405.65</v>
      </c>
      <c r="AA6" t="s">
        <v>91</v>
      </c>
      <c r="AB6" t="s">
        <v>92</v>
      </c>
      <c r="AC6" t="s">
        <v>60</v>
      </c>
      <c r="AD6" t="s">
        <v>93</v>
      </c>
      <c r="AE6" t="s">
        <v>62</v>
      </c>
      <c r="AF6" s="5">
        <f>DATE(YEAR(C6),MONTH(C6),1)</f>
        <v>45901</v>
      </c>
      <c r="AG6">
        <f>E6-D6</f>
        <v>13</v>
      </c>
      <c r="AH6" s="6">
        <f t="shared" si="0"/>
        <v>62.051090045679317</v>
      </c>
    </row>
    <row r="7" spans="1:34">
      <c r="A7" t="s">
        <v>94</v>
      </c>
      <c r="B7" t="s">
        <v>95</v>
      </c>
      <c r="C7" s="1">
        <v>45749</v>
      </c>
      <c r="D7" s="1">
        <v>45752</v>
      </c>
      <c r="E7" s="1">
        <v>45767</v>
      </c>
      <c r="F7" t="s">
        <v>96</v>
      </c>
      <c r="G7" t="s">
        <v>97</v>
      </c>
      <c r="H7" t="s">
        <v>76</v>
      </c>
      <c r="I7" t="s">
        <v>57</v>
      </c>
      <c r="J7" t="s">
        <v>98</v>
      </c>
      <c r="K7" t="s">
        <v>99</v>
      </c>
      <c r="L7" t="s">
        <v>100</v>
      </c>
      <c r="M7" t="s">
        <v>79</v>
      </c>
      <c r="N7">
        <v>4</v>
      </c>
      <c r="O7" t="s">
        <v>69</v>
      </c>
      <c r="P7" s="48">
        <v>172786.46</v>
      </c>
      <c r="Q7" s="48">
        <v>47824.480000000003</v>
      </c>
      <c r="R7" s="48">
        <v>10046.82</v>
      </c>
      <c r="S7" s="48">
        <v>1875.37</v>
      </c>
      <c r="T7" s="48">
        <v>1727.86</v>
      </c>
      <c r="U7" s="48">
        <v>853.01</v>
      </c>
      <c r="V7" s="48">
        <v>1750.59</v>
      </c>
      <c r="W7" s="48">
        <v>108708.33</v>
      </c>
      <c r="X7">
        <v>12</v>
      </c>
      <c r="Y7" t="s">
        <v>101</v>
      </c>
      <c r="Z7">
        <v>398.54</v>
      </c>
      <c r="AA7" t="s">
        <v>91</v>
      </c>
      <c r="AB7" t="s">
        <v>92</v>
      </c>
      <c r="AC7" t="s">
        <v>48</v>
      </c>
      <c r="AD7" t="s">
        <v>61</v>
      </c>
      <c r="AE7" t="s">
        <v>102</v>
      </c>
      <c r="AF7" s="5">
        <f>DATE(YEAR(C7),MONTH(C7),1)</f>
        <v>45748</v>
      </c>
      <c r="AG7">
        <f>E7-D7</f>
        <v>15</v>
      </c>
      <c r="AH7" s="6">
        <f t="shared" si="0"/>
        <v>62.914842980173333</v>
      </c>
    </row>
    <row r="8" spans="1:34">
      <c r="A8" t="s">
        <v>103</v>
      </c>
      <c r="B8" t="s">
        <v>104</v>
      </c>
      <c r="C8" s="1">
        <v>45909</v>
      </c>
      <c r="D8" s="1">
        <v>45911</v>
      </c>
      <c r="E8" s="1">
        <v>45922</v>
      </c>
      <c r="F8" t="s">
        <v>74</v>
      </c>
      <c r="G8" t="s">
        <v>75</v>
      </c>
      <c r="H8" t="s">
        <v>76</v>
      </c>
      <c r="I8" t="s">
        <v>57</v>
      </c>
      <c r="J8" t="s">
        <v>98</v>
      </c>
      <c r="K8" t="s">
        <v>99</v>
      </c>
      <c r="L8" t="s">
        <v>42</v>
      </c>
      <c r="M8" t="s">
        <v>43</v>
      </c>
      <c r="N8">
        <v>4</v>
      </c>
      <c r="O8" t="s">
        <v>105</v>
      </c>
      <c r="P8" s="48">
        <v>170680.95</v>
      </c>
      <c r="Q8" s="48">
        <v>47106.38</v>
      </c>
      <c r="R8" s="48">
        <v>13530.11</v>
      </c>
      <c r="S8" s="48">
        <v>3376.99</v>
      </c>
      <c r="T8" s="48">
        <v>1706.81</v>
      </c>
      <c r="U8" s="48">
        <v>395.48</v>
      </c>
      <c r="V8" s="48">
        <v>1686.63</v>
      </c>
      <c r="W8" s="48">
        <v>102878.55</v>
      </c>
      <c r="X8">
        <v>0</v>
      </c>
      <c r="Y8" t="s">
        <v>45</v>
      </c>
      <c r="Z8">
        <v>392.55</v>
      </c>
      <c r="AA8" t="s">
        <v>46</v>
      </c>
      <c r="AB8" t="s">
        <v>92</v>
      </c>
      <c r="AC8" t="s">
        <v>48</v>
      </c>
      <c r="AD8" t="s">
        <v>93</v>
      </c>
      <c r="AE8" t="s">
        <v>102</v>
      </c>
      <c r="AF8" s="5">
        <f>DATE(YEAR(C8),MONTH(C8),1)</f>
        <v>45901</v>
      </c>
      <c r="AG8">
        <f>E8-D8</f>
        <v>11</v>
      </c>
      <c r="AH8" s="6">
        <f t="shared" si="0"/>
        <v>60.275355861330752</v>
      </c>
    </row>
    <row r="9" spans="1:34">
      <c r="A9" t="s">
        <v>106</v>
      </c>
      <c r="B9" t="s">
        <v>107</v>
      </c>
      <c r="C9" s="1">
        <v>45689</v>
      </c>
      <c r="D9" s="1">
        <v>45690</v>
      </c>
      <c r="E9" s="1">
        <v>45700</v>
      </c>
      <c r="F9" t="s">
        <v>36</v>
      </c>
      <c r="G9" t="s">
        <v>37</v>
      </c>
      <c r="H9" t="s">
        <v>38</v>
      </c>
      <c r="I9" t="s">
        <v>56</v>
      </c>
      <c r="J9" t="s">
        <v>57</v>
      </c>
      <c r="K9" t="s">
        <v>58</v>
      </c>
      <c r="L9" t="s">
        <v>42</v>
      </c>
      <c r="M9" t="s">
        <v>108</v>
      </c>
      <c r="N9">
        <v>4</v>
      </c>
      <c r="O9" t="s">
        <v>89</v>
      </c>
      <c r="P9" s="48">
        <v>157560.15</v>
      </c>
      <c r="Q9" s="48">
        <v>45859.93</v>
      </c>
      <c r="R9" s="48">
        <v>8887.3700000000008</v>
      </c>
      <c r="S9" s="48">
        <v>3667.04</v>
      </c>
      <c r="T9" s="48">
        <v>1575.6</v>
      </c>
      <c r="U9" s="48">
        <v>307.69</v>
      </c>
      <c r="V9" s="48">
        <v>626.34</v>
      </c>
      <c r="W9" s="48">
        <v>96636.18</v>
      </c>
      <c r="X9">
        <v>0</v>
      </c>
      <c r="Y9" t="s">
        <v>45</v>
      </c>
      <c r="Z9">
        <v>382.17</v>
      </c>
      <c r="AA9" t="s">
        <v>46</v>
      </c>
      <c r="AB9" t="s">
        <v>47</v>
      </c>
      <c r="AC9" t="s">
        <v>48</v>
      </c>
      <c r="AD9" t="s">
        <v>93</v>
      </c>
      <c r="AE9" t="s">
        <v>50</v>
      </c>
      <c r="AF9" s="5">
        <f>DATE(YEAR(C9),MONTH(C9),1)</f>
        <v>45689</v>
      </c>
      <c r="AG9">
        <f>E9-D9</f>
        <v>10</v>
      </c>
      <c r="AH9" s="6">
        <f t="shared" si="0"/>
        <v>61.332881442420565</v>
      </c>
    </row>
    <row r="10" spans="1:34">
      <c r="A10" t="s">
        <v>109</v>
      </c>
      <c r="B10" t="s">
        <v>110</v>
      </c>
      <c r="C10" s="1">
        <v>45684</v>
      </c>
      <c r="D10" s="1">
        <v>45686</v>
      </c>
      <c r="E10" s="1">
        <v>45702</v>
      </c>
      <c r="F10" t="s">
        <v>83</v>
      </c>
      <c r="G10" t="s">
        <v>84</v>
      </c>
      <c r="H10" t="s">
        <v>85</v>
      </c>
      <c r="I10" t="s">
        <v>77</v>
      </c>
      <c r="J10" t="s">
        <v>87</v>
      </c>
      <c r="K10" t="s">
        <v>41</v>
      </c>
      <c r="L10" t="s">
        <v>78</v>
      </c>
      <c r="M10" t="s">
        <v>68</v>
      </c>
      <c r="N10">
        <v>4</v>
      </c>
      <c r="O10" t="s">
        <v>111</v>
      </c>
      <c r="P10" s="48">
        <v>158547.63</v>
      </c>
      <c r="Q10" s="48">
        <v>45801.440000000002</v>
      </c>
      <c r="R10" s="48">
        <v>10550.56</v>
      </c>
      <c r="S10" s="48">
        <v>3291.35</v>
      </c>
      <c r="T10" s="48">
        <v>1585.48</v>
      </c>
      <c r="U10" s="48">
        <v>537.02</v>
      </c>
      <c r="V10" s="48">
        <v>2204.6</v>
      </c>
      <c r="W10" s="48">
        <v>94577.18</v>
      </c>
      <c r="X10">
        <v>36</v>
      </c>
      <c r="Y10" t="s">
        <v>112</v>
      </c>
      <c r="Z10">
        <v>381.68</v>
      </c>
      <c r="AA10" t="s">
        <v>91</v>
      </c>
      <c r="AB10" t="s">
        <v>92</v>
      </c>
      <c r="AC10" t="s">
        <v>60</v>
      </c>
      <c r="AD10" t="s">
        <v>49</v>
      </c>
      <c r="AE10" t="s">
        <v>50</v>
      </c>
      <c r="AF10" s="5">
        <f>DATE(YEAR(C10),MONTH(C10),1)</f>
        <v>45658</v>
      </c>
      <c r="AG10">
        <f>E10-D10</f>
        <v>16</v>
      </c>
      <c r="AH10" s="6">
        <f t="shared" si="0"/>
        <v>59.652219336233529</v>
      </c>
    </row>
    <row r="11" spans="1:34">
      <c r="A11" t="s">
        <v>113</v>
      </c>
      <c r="B11" t="s">
        <v>114</v>
      </c>
      <c r="C11" s="1">
        <v>45922</v>
      </c>
      <c r="D11" s="1">
        <v>45925</v>
      </c>
      <c r="E11" s="1">
        <v>45946</v>
      </c>
      <c r="F11" t="s">
        <v>83</v>
      </c>
      <c r="G11" t="s">
        <v>84</v>
      </c>
      <c r="H11" t="s">
        <v>85</v>
      </c>
      <c r="I11" t="s">
        <v>115</v>
      </c>
      <c r="J11" t="s">
        <v>115</v>
      </c>
      <c r="K11" t="s">
        <v>41</v>
      </c>
      <c r="L11" t="s">
        <v>116</v>
      </c>
      <c r="M11" t="s">
        <v>108</v>
      </c>
      <c r="N11">
        <v>4</v>
      </c>
      <c r="O11" t="s">
        <v>80</v>
      </c>
      <c r="P11" s="48">
        <v>151768.12</v>
      </c>
      <c r="Q11" s="48">
        <v>45134.27</v>
      </c>
      <c r="R11" s="48">
        <v>6710.19</v>
      </c>
      <c r="S11" s="48">
        <v>4109.7</v>
      </c>
      <c r="T11" s="48">
        <v>1517.68</v>
      </c>
      <c r="U11" s="48">
        <v>632.83000000000004</v>
      </c>
      <c r="V11" s="48">
        <v>2028.74</v>
      </c>
      <c r="W11" s="48">
        <v>91634.71</v>
      </c>
      <c r="X11">
        <v>8</v>
      </c>
      <c r="Y11" t="s">
        <v>117</v>
      </c>
      <c r="Z11">
        <v>376.12</v>
      </c>
      <c r="AA11" t="s">
        <v>91</v>
      </c>
      <c r="AB11" t="s">
        <v>92</v>
      </c>
      <c r="AC11" t="s">
        <v>60</v>
      </c>
      <c r="AD11" t="s">
        <v>61</v>
      </c>
      <c r="AE11" t="s">
        <v>71</v>
      </c>
      <c r="AF11" s="5">
        <f>DATE(YEAR(C11),MONTH(C11),1)</f>
        <v>45901</v>
      </c>
      <c r="AG11">
        <f>E11-D11</f>
        <v>21</v>
      </c>
      <c r="AH11" s="6">
        <f t="shared" si="0"/>
        <v>60.378101804252438</v>
      </c>
    </row>
    <row r="12" spans="1:34">
      <c r="A12" t="s">
        <v>118</v>
      </c>
      <c r="B12" t="s">
        <v>119</v>
      </c>
      <c r="C12" s="1">
        <v>46007</v>
      </c>
      <c r="D12" s="1">
        <v>46008</v>
      </c>
      <c r="E12" s="1">
        <v>46023</v>
      </c>
      <c r="F12" t="s">
        <v>120</v>
      </c>
      <c r="G12" t="s">
        <v>75</v>
      </c>
      <c r="H12" t="s">
        <v>121</v>
      </c>
      <c r="I12" t="s">
        <v>40</v>
      </c>
      <c r="J12" t="s">
        <v>122</v>
      </c>
      <c r="K12" t="s">
        <v>123</v>
      </c>
      <c r="L12" t="s">
        <v>124</v>
      </c>
      <c r="M12" t="s">
        <v>43</v>
      </c>
      <c r="N12">
        <v>4</v>
      </c>
      <c r="O12" t="s">
        <v>44</v>
      </c>
      <c r="P12" s="48">
        <v>173542.87</v>
      </c>
      <c r="Q12" s="48">
        <v>44903.18</v>
      </c>
      <c r="R12" s="48">
        <v>11137.31</v>
      </c>
      <c r="S12" s="48">
        <v>3136.88</v>
      </c>
      <c r="T12" s="48">
        <v>1735.43</v>
      </c>
      <c r="U12" s="48">
        <v>143.81</v>
      </c>
      <c r="V12" s="48">
        <v>1843.5</v>
      </c>
      <c r="W12" s="48">
        <v>110642.76</v>
      </c>
      <c r="X12">
        <v>12</v>
      </c>
      <c r="Y12" t="s">
        <v>90</v>
      </c>
      <c r="Z12">
        <v>374.19</v>
      </c>
      <c r="AA12" t="s">
        <v>91</v>
      </c>
      <c r="AB12" t="s">
        <v>92</v>
      </c>
      <c r="AC12" t="s">
        <v>60</v>
      </c>
      <c r="AD12" t="s">
        <v>61</v>
      </c>
      <c r="AE12" t="s">
        <v>71</v>
      </c>
      <c r="AF12" s="5">
        <f>DATE(YEAR(C12),MONTH(C12),1)</f>
        <v>45992</v>
      </c>
      <c r="AG12">
        <f>E12-D12</f>
        <v>15</v>
      </c>
      <c r="AH12" s="6">
        <f t="shared" si="0"/>
        <v>63.755289975324246</v>
      </c>
    </row>
    <row r="13" spans="1:34">
      <c r="A13" t="s">
        <v>125</v>
      </c>
      <c r="B13" t="s">
        <v>126</v>
      </c>
      <c r="C13" s="1">
        <v>45940</v>
      </c>
      <c r="D13" s="1">
        <v>45942</v>
      </c>
      <c r="E13" s="1">
        <v>45962</v>
      </c>
      <c r="F13" t="s">
        <v>96</v>
      </c>
      <c r="G13" t="s">
        <v>97</v>
      </c>
      <c r="H13" t="s">
        <v>76</v>
      </c>
      <c r="I13" t="s">
        <v>86</v>
      </c>
      <c r="J13" t="s">
        <v>87</v>
      </c>
      <c r="K13" t="s">
        <v>88</v>
      </c>
      <c r="L13" t="s">
        <v>127</v>
      </c>
      <c r="M13" t="s">
        <v>68</v>
      </c>
      <c r="N13">
        <v>4</v>
      </c>
      <c r="O13" t="s">
        <v>80</v>
      </c>
      <c r="P13" s="48">
        <v>171665.71</v>
      </c>
      <c r="Q13" s="48">
        <v>44594.17</v>
      </c>
      <c r="R13" s="48">
        <v>11630.82</v>
      </c>
      <c r="S13" s="48">
        <v>1763.17</v>
      </c>
      <c r="T13" s="48">
        <v>1716.66</v>
      </c>
      <c r="U13" s="48">
        <v>110.92</v>
      </c>
      <c r="V13" s="48">
        <v>1295.73</v>
      </c>
      <c r="W13" s="48">
        <v>110554.24000000001</v>
      </c>
      <c r="X13">
        <v>12</v>
      </c>
      <c r="Y13" t="s">
        <v>112</v>
      </c>
      <c r="Z13">
        <v>371.62</v>
      </c>
      <c r="AA13" t="s">
        <v>91</v>
      </c>
      <c r="AB13" t="s">
        <v>92</v>
      </c>
      <c r="AC13" t="s">
        <v>48</v>
      </c>
      <c r="AD13" t="s">
        <v>61</v>
      </c>
      <c r="AE13" t="s">
        <v>71</v>
      </c>
      <c r="AF13" s="5">
        <f>DATE(YEAR(C13),MONTH(C13),1)</f>
        <v>45931</v>
      </c>
      <c r="AG13">
        <f>E13-D13</f>
        <v>20</v>
      </c>
      <c r="AH13" s="6">
        <f t="shared" si="0"/>
        <v>64.400887049603568</v>
      </c>
    </row>
    <row r="14" spans="1:34">
      <c r="A14" t="s">
        <v>128</v>
      </c>
      <c r="B14" t="s">
        <v>129</v>
      </c>
      <c r="C14" s="1">
        <v>45915</v>
      </c>
      <c r="D14" s="1">
        <v>45919</v>
      </c>
      <c r="E14" s="1">
        <v>45947</v>
      </c>
      <c r="F14" t="s">
        <v>96</v>
      </c>
      <c r="G14" t="s">
        <v>97</v>
      </c>
      <c r="H14" t="s">
        <v>76</v>
      </c>
      <c r="I14" t="s">
        <v>39</v>
      </c>
      <c r="J14" t="s">
        <v>122</v>
      </c>
      <c r="K14" t="s">
        <v>41</v>
      </c>
      <c r="L14" t="s">
        <v>42</v>
      </c>
      <c r="M14" t="s">
        <v>79</v>
      </c>
      <c r="N14">
        <v>4</v>
      </c>
      <c r="O14" t="s">
        <v>111</v>
      </c>
      <c r="P14" s="48">
        <v>155863.24</v>
      </c>
      <c r="Q14" s="48">
        <v>44539.98</v>
      </c>
      <c r="R14" s="48">
        <v>6472.89</v>
      </c>
      <c r="S14" s="48">
        <v>2724.9</v>
      </c>
      <c r="T14" s="48">
        <v>1558.63</v>
      </c>
      <c r="U14" s="48">
        <v>686.29</v>
      </c>
      <c r="V14" s="48">
        <v>840.78</v>
      </c>
      <c r="W14" s="48">
        <v>99039.77</v>
      </c>
      <c r="X14">
        <v>0</v>
      </c>
      <c r="Y14" t="s">
        <v>45</v>
      </c>
      <c r="Z14">
        <v>371.17</v>
      </c>
      <c r="AA14" t="s">
        <v>46</v>
      </c>
      <c r="AB14" t="s">
        <v>47</v>
      </c>
      <c r="AC14" t="s">
        <v>48</v>
      </c>
      <c r="AD14" t="s">
        <v>130</v>
      </c>
      <c r="AE14" t="s">
        <v>62</v>
      </c>
      <c r="AF14" s="5">
        <f>DATE(YEAR(C14),MONTH(C14),1)</f>
        <v>45901</v>
      </c>
      <c r="AG14">
        <f>E14-D14</f>
        <v>28</v>
      </c>
      <c r="AH14" s="6">
        <f t="shared" si="0"/>
        <v>63.542737851465183</v>
      </c>
    </row>
    <row r="15" spans="1:34">
      <c r="A15" t="s">
        <v>131</v>
      </c>
      <c r="B15" t="s">
        <v>132</v>
      </c>
      <c r="C15" s="1">
        <v>45912</v>
      </c>
      <c r="D15" s="1">
        <v>45915</v>
      </c>
      <c r="E15" s="1">
        <v>45931</v>
      </c>
      <c r="F15" t="s">
        <v>120</v>
      </c>
      <c r="G15" t="s">
        <v>75</v>
      </c>
      <c r="H15" t="s">
        <v>121</v>
      </c>
      <c r="I15" t="s">
        <v>39</v>
      </c>
      <c r="J15" t="s">
        <v>39</v>
      </c>
      <c r="K15" t="s">
        <v>41</v>
      </c>
      <c r="L15" t="s">
        <v>116</v>
      </c>
      <c r="M15" t="s">
        <v>108</v>
      </c>
      <c r="N15">
        <v>4</v>
      </c>
      <c r="O15" t="s">
        <v>44</v>
      </c>
      <c r="P15" s="48">
        <v>170906.14</v>
      </c>
      <c r="Q15" s="48">
        <v>44479.67</v>
      </c>
      <c r="R15" s="48">
        <v>11010.12</v>
      </c>
      <c r="S15" s="48">
        <v>2179.21</v>
      </c>
      <c r="T15" s="48">
        <v>1709.06</v>
      </c>
      <c r="U15" s="48">
        <v>390.39</v>
      </c>
      <c r="V15" s="48">
        <v>867.38</v>
      </c>
      <c r="W15" s="48">
        <v>110270.31</v>
      </c>
      <c r="X15">
        <v>36</v>
      </c>
      <c r="Y15" t="s">
        <v>90</v>
      </c>
      <c r="Z15">
        <v>370.66</v>
      </c>
      <c r="AA15" t="s">
        <v>91</v>
      </c>
      <c r="AB15" t="s">
        <v>47</v>
      </c>
      <c r="AC15" t="s">
        <v>60</v>
      </c>
      <c r="AD15" t="s">
        <v>93</v>
      </c>
      <c r="AE15" t="s">
        <v>102</v>
      </c>
      <c r="AF15" s="5">
        <f>DATE(YEAR(C15),MONTH(C15),1)</f>
        <v>45901</v>
      </c>
      <c r="AG15">
        <f>E15-D15</f>
        <v>16</v>
      </c>
      <c r="AH15" s="6">
        <f t="shared" si="0"/>
        <v>64.520976250472913</v>
      </c>
    </row>
    <row r="16" spans="1:34">
      <c r="A16" t="s">
        <v>133</v>
      </c>
      <c r="B16" t="s">
        <v>134</v>
      </c>
      <c r="C16" s="1">
        <v>45928</v>
      </c>
      <c r="D16" s="1">
        <v>45929</v>
      </c>
      <c r="E16" s="1">
        <v>45957</v>
      </c>
      <c r="F16" t="s">
        <v>96</v>
      </c>
      <c r="G16" t="s">
        <v>97</v>
      </c>
      <c r="H16" t="s">
        <v>76</v>
      </c>
      <c r="I16" t="s">
        <v>86</v>
      </c>
      <c r="J16" t="s">
        <v>87</v>
      </c>
      <c r="K16" t="s">
        <v>88</v>
      </c>
      <c r="L16" t="s">
        <v>78</v>
      </c>
      <c r="M16" t="s">
        <v>108</v>
      </c>
      <c r="N16">
        <v>4</v>
      </c>
      <c r="O16" t="s">
        <v>54</v>
      </c>
      <c r="P16" s="48">
        <v>153940.6</v>
      </c>
      <c r="Q16" s="48">
        <v>43251.7</v>
      </c>
      <c r="R16" s="48">
        <v>11603.46</v>
      </c>
      <c r="S16" s="48">
        <v>1941.62</v>
      </c>
      <c r="T16" s="48">
        <v>1539.41</v>
      </c>
      <c r="U16" s="48">
        <v>186.3</v>
      </c>
      <c r="V16" s="48">
        <v>1718.54</v>
      </c>
      <c r="W16" s="48">
        <v>93699.57</v>
      </c>
      <c r="X16">
        <v>48</v>
      </c>
      <c r="Y16" t="s">
        <v>135</v>
      </c>
      <c r="Z16">
        <v>360.43</v>
      </c>
      <c r="AA16" t="s">
        <v>91</v>
      </c>
      <c r="AB16" t="s">
        <v>47</v>
      </c>
      <c r="AC16" t="s">
        <v>70</v>
      </c>
      <c r="AD16" t="s">
        <v>61</v>
      </c>
      <c r="AE16" t="s">
        <v>50</v>
      </c>
      <c r="AF16" s="5">
        <f>DATE(YEAR(C16),MONTH(C16),1)</f>
        <v>45901</v>
      </c>
      <c r="AG16">
        <f>E16-D16</f>
        <v>28</v>
      </c>
      <c r="AH16" s="6">
        <f t="shared" si="0"/>
        <v>60.867354031360158</v>
      </c>
    </row>
    <row r="17" spans="1:34">
      <c r="A17" t="s">
        <v>136</v>
      </c>
      <c r="B17" t="s">
        <v>137</v>
      </c>
      <c r="C17" s="1">
        <v>45857</v>
      </c>
      <c r="D17" s="1">
        <v>45860</v>
      </c>
      <c r="E17" s="1">
        <v>45875</v>
      </c>
      <c r="F17" t="s">
        <v>138</v>
      </c>
      <c r="G17" t="s">
        <v>139</v>
      </c>
      <c r="H17" t="s">
        <v>76</v>
      </c>
      <c r="I17" t="s">
        <v>86</v>
      </c>
      <c r="J17" t="s">
        <v>87</v>
      </c>
      <c r="K17" t="s">
        <v>88</v>
      </c>
      <c r="L17" t="s">
        <v>42</v>
      </c>
      <c r="M17" t="s">
        <v>43</v>
      </c>
      <c r="N17">
        <v>4</v>
      </c>
      <c r="O17" t="s">
        <v>54</v>
      </c>
      <c r="P17" s="48">
        <v>149798.43</v>
      </c>
      <c r="Q17" s="48">
        <v>42816.28</v>
      </c>
      <c r="R17" s="48">
        <v>8251.43</v>
      </c>
      <c r="S17" s="48">
        <v>3580.32</v>
      </c>
      <c r="T17" s="48">
        <v>1497.98</v>
      </c>
      <c r="U17" s="48">
        <v>350.03</v>
      </c>
      <c r="V17" s="48">
        <v>1344.45</v>
      </c>
      <c r="W17" s="48">
        <v>91957.94</v>
      </c>
      <c r="X17">
        <v>4</v>
      </c>
      <c r="Y17" t="s">
        <v>101</v>
      </c>
      <c r="Z17">
        <v>356.8</v>
      </c>
      <c r="AA17" t="s">
        <v>91</v>
      </c>
      <c r="AB17" t="s">
        <v>92</v>
      </c>
      <c r="AC17" t="s">
        <v>60</v>
      </c>
      <c r="AD17" t="s">
        <v>61</v>
      </c>
      <c r="AE17" t="s">
        <v>62</v>
      </c>
      <c r="AF17" s="5">
        <f>DATE(YEAR(C17),MONTH(C17),1)</f>
        <v>45839</v>
      </c>
      <c r="AG17">
        <f>E17-D17</f>
        <v>15</v>
      </c>
      <c r="AH17" s="6">
        <f t="shared" si="0"/>
        <v>61.387786240483301</v>
      </c>
    </row>
    <row r="18" spans="1:34">
      <c r="A18" t="s">
        <v>140</v>
      </c>
      <c r="B18" t="s">
        <v>141</v>
      </c>
      <c r="C18" s="1">
        <v>45799</v>
      </c>
      <c r="D18" s="1">
        <v>45801</v>
      </c>
      <c r="E18" s="1">
        <v>45813</v>
      </c>
      <c r="F18" t="s">
        <v>96</v>
      </c>
      <c r="G18" t="s">
        <v>97</v>
      </c>
      <c r="H18" t="s">
        <v>76</v>
      </c>
      <c r="I18" t="s">
        <v>86</v>
      </c>
      <c r="J18" t="s">
        <v>87</v>
      </c>
      <c r="K18" t="s">
        <v>88</v>
      </c>
      <c r="L18" t="s">
        <v>78</v>
      </c>
      <c r="M18" t="s">
        <v>79</v>
      </c>
      <c r="N18">
        <v>4</v>
      </c>
      <c r="O18" t="s">
        <v>89</v>
      </c>
      <c r="P18" s="48">
        <v>171513.69</v>
      </c>
      <c r="Q18" s="48">
        <v>42523.31</v>
      </c>
      <c r="R18" s="48">
        <v>9497.44</v>
      </c>
      <c r="S18" s="48">
        <v>4254.88</v>
      </c>
      <c r="T18" s="48">
        <v>1715.14</v>
      </c>
      <c r="U18" s="48">
        <v>865.77</v>
      </c>
      <c r="V18" s="48">
        <v>1594.66</v>
      </c>
      <c r="W18" s="48">
        <v>111062.49</v>
      </c>
      <c r="X18">
        <v>8</v>
      </c>
      <c r="Y18" t="s">
        <v>135</v>
      </c>
      <c r="Z18">
        <v>354.36</v>
      </c>
      <c r="AA18" t="s">
        <v>91</v>
      </c>
      <c r="AB18" t="s">
        <v>47</v>
      </c>
      <c r="AC18" t="s">
        <v>70</v>
      </c>
      <c r="AD18" t="s">
        <v>93</v>
      </c>
      <c r="AE18" t="s">
        <v>102</v>
      </c>
      <c r="AF18" s="5">
        <f>DATE(YEAR(C18),MONTH(C18),1)</f>
        <v>45778</v>
      </c>
      <c r="AG18">
        <f>E18-D18</f>
        <v>12</v>
      </c>
      <c r="AH18" s="6">
        <f t="shared" si="0"/>
        <v>64.754300371008284</v>
      </c>
    </row>
    <row r="19" spans="1:34">
      <c r="A19" t="s">
        <v>142</v>
      </c>
      <c r="B19" t="s">
        <v>143</v>
      </c>
      <c r="C19" s="1">
        <v>45944</v>
      </c>
      <c r="D19" s="1">
        <v>45946</v>
      </c>
      <c r="E19" s="1">
        <v>45966</v>
      </c>
      <c r="F19" t="s">
        <v>74</v>
      </c>
      <c r="G19" t="s">
        <v>75</v>
      </c>
      <c r="H19" t="s">
        <v>76</v>
      </c>
      <c r="I19" t="s">
        <v>57</v>
      </c>
      <c r="J19" t="s">
        <v>98</v>
      </c>
      <c r="K19" t="s">
        <v>99</v>
      </c>
      <c r="L19" t="s">
        <v>116</v>
      </c>
      <c r="M19" t="s">
        <v>43</v>
      </c>
      <c r="N19">
        <v>4</v>
      </c>
      <c r="O19" t="s">
        <v>80</v>
      </c>
      <c r="P19" s="48">
        <v>173885.88</v>
      </c>
      <c r="Q19" s="48">
        <v>42437.77</v>
      </c>
      <c r="R19" s="48">
        <v>9167.1</v>
      </c>
      <c r="S19" s="48">
        <v>2673.79</v>
      </c>
      <c r="T19" s="48">
        <v>1738.86</v>
      </c>
      <c r="U19" s="48">
        <v>163.44</v>
      </c>
      <c r="V19" s="48">
        <v>677.25</v>
      </c>
      <c r="W19" s="48">
        <v>117027.67</v>
      </c>
      <c r="X19">
        <v>0</v>
      </c>
      <c r="Y19" t="s">
        <v>45</v>
      </c>
      <c r="Z19">
        <v>353.65</v>
      </c>
      <c r="AA19" t="s">
        <v>46</v>
      </c>
      <c r="AB19" t="s">
        <v>47</v>
      </c>
      <c r="AC19" t="s">
        <v>60</v>
      </c>
      <c r="AD19" t="s">
        <v>144</v>
      </c>
      <c r="AE19" t="s">
        <v>62</v>
      </c>
      <c r="AF19" s="5">
        <f>DATE(YEAR(C19),MONTH(C19),1)</f>
        <v>45931</v>
      </c>
      <c r="AG19">
        <f>E19-D19</f>
        <v>20</v>
      </c>
      <c r="AH19" s="6">
        <f t="shared" si="0"/>
        <v>67.301422059111403</v>
      </c>
    </row>
    <row r="20" spans="1:34">
      <c r="A20" t="s">
        <v>145</v>
      </c>
      <c r="B20" t="s">
        <v>146</v>
      </c>
      <c r="C20" s="1">
        <v>45735</v>
      </c>
      <c r="D20" s="1">
        <v>45736</v>
      </c>
      <c r="E20" s="1">
        <v>45753</v>
      </c>
      <c r="F20" t="s">
        <v>120</v>
      </c>
      <c r="G20" t="s">
        <v>75</v>
      </c>
      <c r="H20" t="s">
        <v>121</v>
      </c>
      <c r="I20" t="s">
        <v>98</v>
      </c>
      <c r="J20" t="s">
        <v>86</v>
      </c>
      <c r="K20" t="s">
        <v>41</v>
      </c>
      <c r="L20" t="s">
        <v>78</v>
      </c>
      <c r="M20" t="s">
        <v>108</v>
      </c>
      <c r="N20">
        <v>4</v>
      </c>
      <c r="O20" t="s">
        <v>111</v>
      </c>
      <c r="P20" s="48">
        <v>152811.39000000001</v>
      </c>
      <c r="Q20" s="48">
        <v>42315.839999999997</v>
      </c>
      <c r="R20" s="48">
        <v>7104.37</v>
      </c>
      <c r="S20" s="48">
        <v>3778.52</v>
      </c>
      <c r="T20" s="48">
        <v>1528.11</v>
      </c>
      <c r="U20" s="48">
        <v>458.53</v>
      </c>
      <c r="V20" s="48">
        <v>1195.75</v>
      </c>
      <c r="W20" s="48">
        <v>96430.27</v>
      </c>
      <c r="X20">
        <v>24</v>
      </c>
      <c r="Y20" t="s">
        <v>135</v>
      </c>
      <c r="Z20">
        <v>352.63</v>
      </c>
      <c r="AA20" t="s">
        <v>91</v>
      </c>
      <c r="AB20" t="s">
        <v>92</v>
      </c>
      <c r="AC20" t="s">
        <v>48</v>
      </c>
      <c r="AD20" t="s">
        <v>93</v>
      </c>
      <c r="AE20" t="s">
        <v>62</v>
      </c>
      <c r="AF20" s="5">
        <f>DATE(YEAR(C20),MONTH(C20),1)</f>
        <v>45717</v>
      </c>
      <c r="AG20">
        <f>E20-D20</f>
        <v>17</v>
      </c>
      <c r="AH20" s="6">
        <f t="shared" si="0"/>
        <v>63.104111545611872</v>
      </c>
    </row>
    <row r="21" spans="1:34">
      <c r="A21" t="s">
        <v>147</v>
      </c>
      <c r="B21" t="s">
        <v>148</v>
      </c>
      <c r="C21" s="1">
        <v>45736</v>
      </c>
      <c r="D21" s="1">
        <v>45738</v>
      </c>
      <c r="E21" s="1">
        <v>45766</v>
      </c>
      <c r="F21" t="s">
        <v>149</v>
      </c>
      <c r="G21" t="s">
        <v>111</v>
      </c>
      <c r="H21" t="s">
        <v>150</v>
      </c>
      <c r="I21" t="s">
        <v>57</v>
      </c>
      <c r="J21" t="s">
        <v>98</v>
      </c>
      <c r="K21" t="s">
        <v>99</v>
      </c>
      <c r="L21" t="s">
        <v>59</v>
      </c>
      <c r="M21" t="s">
        <v>43</v>
      </c>
      <c r="N21">
        <v>4</v>
      </c>
      <c r="O21" t="s">
        <v>44</v>
      </c>
      <c r="P21" s="48">
        <v>155290.01</v>
      </c>
      <c r="Q21" s="48">
        <v>42137.65</v>
      </c>
      <c r="R21" s="48">
        <v>10334.59</v>
      </c>
      <c r="S21" s="48">
        <v>3456.8</v>
      </c>
      <c r="T21" s="48">
        <v>1552.9</v>
      </c>
      <c r="U21" s="48">
        <v>215.59</v>
      </c>
      <c r="V21" s="48">
        <v>365.11</v>
      </c>
      <c r="W21" s="48">
        <v>97227.37</v>
      </c>
      <c r="X21">
        <v>12</v>
      </c>
      <c r="Y21" t="s">
        <v>101</v>
      </c>
      <c r="Z21">
        <v>351.15</v>
      </c>
      <c r="AA21" t="s">
        <v>91</v>
      </c>
      <c r="AB21" t="s">
        <v>92</v>
      </c>
      <c r="AC21" t="s">
        <v>60</v>
      </c>
      <c r="AD21" t="s">
        <v>130</v>
      </c>
      <c r="AE21" t="s">
        <v>102</v>
      </c>
      <c r="AF21" s="5">
        <f>DATE(YEAR(C21),MONTH(C21),1)</f>
        <v>45717</v>
      </c>
      <c r="AG21">
        <f>E21-D21</f>
        <v>28</v>
      </c>
      <c r="AH21" s="6">
        <f t="shared" si="0"/>
        <v>62.610189799073353</v>
      </c>
    </row>
    <row r="22" spans="1:34">
      <c r="A22" t="s">
        <v>151</v>
      </c>
      <c r="B22" t="s">
        <v>152</v>
      </c>
      <c r="C22" s="1">
        <v>45925</v>
      </c>
      <c r="D22" s="1">
        <v>45928</v>
      </c>
      <c r="E22" s="1">
        <v>45957</v>
      </c>
      <c r="F22" t="s">
        <v>153</v>
      </c>
      <c r="G22" t="s">
        <v>75</v>
      </c>
      <c r="H22" t="s">
        <v>154</v>
      </c>
      <c r="I22" t="s">
        <v>86</v>
      </c>
      <c r="J22" t="s">
        <v>87</v>
      </c>
      <c r="K22" t="s">
        <v>88</v>
      </c>
      <c r="L22" t="s">
        <v>155</v>
      </c>
      <c r="M22" t="s">
        <v>43</v>
      </c>
      <c r="N22">
        <v>4</v>
      </c>
      <c r="O22" t="s">
        <v>44</v>
      </c>
      <c r="P22" s="48">
        <v>164628.16</v>
      </c>
      <c r="Q22" s="48">
        <v>41835.53</v>
      </c>
      <c r="R22" s="48">
        <v>11526.81</v>
      </c>
      <c r="S22" s="48">
        <v>4436.37</v>
      </c>
      <c r="T22" s="48">
        <v>1646.28</v>
      </c>
      <c r="U22" s="48">
        <v>415.15</v>
      </c>
      <c r="V22" s="48">
        <v>1096.43</v>
      </c>
      <c r="W22" s="48">
        <v>103671.59</v>
      </c>
      <c r="X22">
        <v>48</v>
      </c>
      <c r="Y22" t="s">
        <v>112</v>
      </c>
      <c r="Z22">
        <v>348.63</v>
      </c>
      <c r="AA22" t="s">
        <v>91</v>
      </c>
      <c r="AB22" t="s">
        <v>92</v>
      </c>
      <c r="AC22" t="s">
        <v>70</v>
      </c>
      <c r="AD22" t="s">
        <v>130</v>
      </c>
      <c r="AE22" t="s">
        <v>62</v>
      </c>
      <c r="AF22" s="5">
        <f>DATE(YEAR(C22),MONTH(C22),1)</f>
        <v>45901</v>
      </c>
      <c r="AG22">
        <f>E22-D22</f>
        <v>29</v>
      </c>
      <c r="AH22" s="6">
        <f t="shared" si="0"/>
        <v>62.973181501876709</v>
      </c>
    </row>
    <row r="23" spans="1:34">
      <c r="A23" t="s">
        <v>156</v>
      </c>
      <c r="B23" t="s">
        <v>157</v>
      </c>
      <c r="C23" s="1">
        <v>45872</v>
      </c>
      <c r="D23" s="1">
        <v>45874</v>
      </c>
      <c r="E23" s="1">
        <v>45890</v>
      </c>
      <c r="F23" t="s">
        <v>149</v>
      </c>
      <c r="G23" t="s">
        <v>111</v>
      </c>
      <c r="H23" t="s">
        <v>150</v>
      </c>
      <c r="I23" t="s">
        <v>56</v>
      </c>
      <c r="J23" t="s">
        <v>57</v>
      </c>
      <c r="K23" t="s">
        <v>58</v>
      </c>
      <c r="L23" t="s">
        <v>116</v>
      </c>
      <c r="M23" t="s">
        <v>79</v>
      </c>
      <c r="N23">
        <v>4</v>
      </c>
      <c r="O23" t="s">
        <v>89</v>
      </c>
      <c r="P23" s="48">
        <v>158698.66</v>
      </c>
      <c r="Q23" s="48">
        <v>40898.370000000003</v>
      </c>
      <c r="R23" s="48">
        <v>8471.7800000000007</v>
      </c>
      <c r="S23" s="48">
        <v>1939.74</v>
      </c>
      <c r="T23" s="48">
        <v>1586.99</v>
      </c>
      <c r="U23" s="48">
        <v>511.41</v>
      </c>
      <c r="V23" s="48">
        <v>2449.79</v>
      </c>
      <c r="W23" s="48">
        <v>102840.58</v>
      </c>
      <c r="X23">
        <v>12</v>
      </c>
      <c r="Y23" t="s">
        <v>112</v>
      </c>
      <c r="Z23">
        <v>340.82</v>
      </c>
      <c r="AA23" t="s">
        <v>91</v>
      </c>
      <c r="AB23" t="s">
        <v>92</v>
      </c>
      <c r="AC23" t="s">
        <v>48</v>
      </c>
      <c r="AD23" t="s">
        <v>61</v>
      </c>
      <c r="AE23" t="s">
        <v>71</v>
      </c>
      <c r="AF23" s="5">
        <f>DATE(YEAR(C23),MONTH(C23),1)</f>
        <v>45870</v>
      </c>
      <c r="AG23">
        <f>E23-D23</f>
        <v>16</v>
      </c>
      <c r="AH23" s="6">
        <f t="shared" si="0"/>
        <v>64.802424922806537</v>
      </c>
    </row>
    <row r="24" spans="1:34">
      <c r="A24" t="s">
        <v>158</v>
      </c>
      <c r="B24" t="s">
        <v>159</v>
      </c>
      <c r="C24" s="1">
        <v>45782</v>
      </c>
      <c r="D24" s="1">
        <v>45783</v>
      </c>
      <c r="E24" s="1">
        <v>45799</v>
      </c>
      <c r="F24" t="s">
        <v>96</v>
      </c>
      <c r="G24" t="s">
        <v>97</v>
      </c>
      <c r="H24" t="s">
        <v>76</v>
      </c>
      <c r="I24" t="s">
        <v>57</v>
      </c>
      <c r="J24" t="s">
        <v>86</v>
      </c>
      <c r="K24" t="s">
        <v>41</v>
      </c>
      <c r="L24" t="s">
        <v>127</v>
      </c>
      <c r="M24" t="s">
        <v>68</v>
      </c>
      <c r="N24">
        <v>4</v>
      </c>
      <c r="O24" t="s">
        <v>54</v>
      </c>
      <c r="P24" s="48">
        <v>153734.75</v>
      </c>
      <c r="Q24" s="48">
        <v>40887.54</v>
      </c>
      <c r="R24" s="48">
        <v>8347.27</v>
      </c>
      <c r="S24" s="48">
        <v>4457.7</v>
      </c>
      <c r="T24" s="48">
        <v>1537.35</v>
      </c>
      <c r="U24" s="48">
        <v>198.63</v>
      </c>
      <c r="V24" s="48">
        <v>2158.9499999999998</v>
      </c>
      <c r="W24" s="48">
        <v>96147.31</v>
      </c>
      <c r="X24">
        <v>0</v>
      </c>
      <c r="Y24" t="s">
        <v>45</v>
      </c>
      <c r="Z24">
        <v>340.73</v>
      </c>
      <c r="AA24" t="s">
        <v>46</v>
      </c>
      <c r="AB24" t="s">
        <v>47</v>
      </c>
      <c r="AC24" t="s">
        <v>48</v>
      </c>
      <c r="AD24" t="s">
        <v>93</v>
      </c>
      <c r="AE24" t="s">
        <v>102</v>
      </c>
      <c r="AF24" s="5">
        <f>DATE(YEAR(C24),MONTH(C24),1)</f>
        <v>45778</v>
      </c>
      <c r="AG24">
        <f>E24-D24</f>
        <v>16</v>
      </c>
      <c r="AH24" s="6">
        <f t="shared" si="0"/>
        <v>62.541039029887514</v>
      </c>
    </row>
    <row r="25" spans="1:34">
      <c r="A25" t="s">
        <v>160</v>
      </c>
      <c r="B25" t="s">
        <v>161</v>
      </c>
      <c r="C25" s="1">
        <v>45747</v>
      </c>
      <c r="D25" s="1">
        <v>45749</v>
      </c>
      <c r="E25" s="1">
        <v>45765</v>
      </c>
      <c r="F25" t="s">
        <v>74</v>
      </c>
      <c r="G25" t="s">
        <v>75</v>
      </c>
      <c r="H25" t="s">
        <v>76</v>
      </c>
      <c r="I25" t="s">
        <v>115</v>
      </c>
      <c r="J25" t="s">
        <v>98</v>
      </c>
      <c r="K25" t="s">
        <v>99</v>
      </c>
      <c r="L25" t="s">
        <v>127</v>
      </c>
      <c r="M25" t="s">
        <v>43</v>
      </c>
      <c r="N25">
        <v>4</v>
      </c>
      <c r="O25" t="s">
        <v>69</v>
      </c>
      <c r="P25" s="48">
        <v>172340.72</v>
      </c>
      <c r="Q25" s="48">
        <v>40500.21</v>
      </c>
      <c r="R25" s="48">
        <v>8284.33</v>
      </c>
      <c r="S25" s="48">
        <v>2572.6799999999998</v>
      </c>
      <c r="T25" s="48">
        <v>1723.41</v>
      </c>
      <c r="U25" s="48">
        <v>803.43</v>
      </c>
      <c r="V25" s="48">
        <v>1937.15</v>
      </c>
      <c r="W25" s="48">
        <v>116519.51</v>
      </c>
      <c r="X25">
        <v>48</v>
      </c>
      <c r="Y25" t="s">
        <v>112</v>
      </c>
      <c r="Z25">
        <v>337.5</v>
      </c>
      <c r="AA25" t="s">
        <v>91</v>
      </c>
      <c r="AB25" t="s">
        <v>47</v>
      </c>
      <c r="AC25" t="s">
        <v>60</v>
      </c>
      <c r="AD25" t="s">
        <v>144</v>
      </c>
      <c r="AE25" t="s">
        <v>50</v>
      </c>
      <c r="AF25" s="5">
        <f>DATE(YEAR(C25),MONTH(C25),1)</f>
        <v>45717</v>
      </c>
      <c r="AG25">
        <f>E25-D25</f>
        <v>16</v>
      </c>
      <c r="AH25" s="6">
        <f t="shared" si="0"/>
        <v>67.60997052814912</v>
      </c>
    </row>
    <row r="26" spans="1:34">
      <c r="A26" t="s">
        <v>162</v>
      </c>
      <c r="B26" t="s">
        <v>163</v>
      </c>
      <c r="C26" s="1">
        <v>45882</v>
      </c>
      <c r="D26" s="1">
        <v>45885</v>
      </c>
      <c r="E26" s="1">
        <v>45900</v>
      </c>
      <c r="F26" t="s">
        <v>120</v>
      </c>
      <c r="G26" t="s">
        <v>75</v>
      </c>
      <c r="H26" t="s">
        <v>121</v>
      </c>
      <c r="I26" t="s">
        <v>115</v>
      </c>
      <c r="J26" t="s">
        <v>98</v>
      </c>
      <c r="K26" t="s">
        <v>99</v>
      </c>
      <c r="L26" t="s">
        <v>124</v>
      </c>
      <c r="M26" t="s">
        <v>79</v>
      </c>
      <c r="N26">
        <v>4</v>
      </c>
      <c r="O26" t="s">
        <v>80</v>
      </c>
      <c r="P26" s="48">
        <v>156736.46</v>
      </c>
      <c r="Q26" s="48">
        <v>40196.82</v>
      </c>
      <c r="R26" s="48">
        <v>10802.93</v>
      </c>
      <c r="S26" s="48">
        <v>1906.71</v>
      </c>
      <c r="T26" s="48">
        <v>1567.36</v>
      </c>
      <c r="U26" s="48">
        <v>797.22</v>
      </c>
      <c r="V26" s="48">
        <v>2375.64</v>
      </c>
      <c r="W26" s="48">
        <v>99089.78</v>
      </c>
      <c r="X26">
        <v>24</v>
      </c>
      <c r="Y26" t="s">
        <v>112</v>
      </c>
      <c r="Z26">
        <v>334.97</v>
      </c>
      <c r="AA26" t="s">
        <v>91</v>
      </c>
      <c r="AB26" t="s">
        <v>47</v>
      </c>
      <c r="AC26" t="s">
        <v>60</v>
      </c>
      <c r="AD26" t="s">
        <v>93</v>
      </c>
      <c r="AE26" t="s">
        <v>102</v>
      </c>
      <c r="AF26" s="5">
        <f>DATE(YEAR(C26),MONTH(C26),1)</f>
        <v>45870</v>
      </c>
      <c r="AG26">
        <f>E26-D26</f>
        <v>15</v>
      </c>
      <c r="AH26" s="6">
        <f t="shared" si="0"/>
        <v>63.220631625851439</v>
      </c>
    </row>
    <row r="27" spans="1:34">
      <c r="A27" t="s">
        <v>164</v>
      </c>
      <c r="B27" t="s">
        <v>165</v>
      </c>
      <c r="C27" s="1">
        <v>45913</v>
      </c>
      <c r="D27" s="1">
        <v>45915</v>
      </c>
      <c r="E27" s="1">
        <v>45930</v>
      </c>
      <c r="F27" t="s">
        <v>96</v>
      </c>
      <c r="G27" t="s">
        <v>97</v>
      </c>
      <c r="H27" t="s">
        <v>76</v>
      </c>
      <c r="I27" t="s">
        <v>56</v>
      </c>
      <c r="J27" t="s">
        <v>57</v>
      </c>
      <c r="K27" t="s">
        <v>58</v>
      </c>
      <c r="L27" t="s">
        <v>100</v>
      </c>
      <c r="M27" t="s">
        <v>108</v>
      </c>
      <c r="N27">
        <v>4</v>
      </c>
      <c r="O27" t="s">
        <v>80</v>
      </c>
      <c r="P27" s="48">
        <v>140813.38</v>
      </c>
      <c r="Q27" s="48">
        <v>39900.300000000003</v>
      </c>
      <c r="R27" s="48">
        <v>9315.2800000000007</v>
      </c>
      <c r="S27" s="48">
        <v>2093</v>
      </c>
      <c r="T27" s="48">
        <v>1408.13</v>
      </c>
      <c r="U27" s="48">
        <v>723.43</v>
      </c>
      <c r="V27" s="48">
        <v>1630.76</v>
      </c>
      <c r="W27" s="48">
        <v>85742.48</v>
      </c>
      <c r="X27">
        <v>12</v>
      </c>
      <c r="Y27" t="s">
        <v>112</v>
      </c>
      <c r="Z27">
        <v>332.5</v>
      </c>
      <c r="AA27" t="s">
        <v>91</v>
      </c>
      <c r="AB27" t="s">
        <v>47</v>
      </c>
      <c r="AC27" t="s">
        <v>60</v>
      </c>
      <c r="AD27" t="s">
        <v>49</v>
      </c>
      <c r="AE27" t="s">
        <v>71</v>
      </c>
      <c r="AF27" s="5">
        <f>DATE(YEAR(C27),MONTH(C27),1)</f>
        <v>45901</v>
      </c>
      <c r="AG27">
        <f>E27-D27</f>
        <v>15</v>
      </c>
      <c r="AH27" s="6">
        <f t="shared" si="0"/>
        <v>60.890861365588975</v>
      </c>
    </row>
    <row r="28" spans="1:34">
      <c r="A28" t="s">
        <v>166</v>
      </c>
      <c r="B28" t="s">
        <v>167</v>
      </c>
      <c r="C28" s="1">
        <v>45987</v>
      </c>
      <c r="D28" s="1">
        <v>45988</v>
      </c>
      <c r="E28" s="1">
        <v>46012</v>
      </c>
      <c r="F28" t="s">
        <v>153</v>
      </c>
      <c r="G28" t="s">
        <v>75</v>
      </c>
      <c r="H28" t="s">
        <v>154</v>
      </c>
      <c r="I28" t="s">
        <v>57</v>
      </c>
      <c r="J28" t="s">
        <v>98</v>
      </c>
      <c r="K28" t="s">
        <v>41</v>
      </c>
      <c r="L28" t="s">
        <v>155</v>
      </c>
      <c r="M28" t="s">
        <v>68</v>
      </c>
      <c r="N28">
        <v>4</v>
      </c>
      <c r="O28" t="s">
        <v>54</v>
      </c>
      <c r="P28" s="48">
        <v>158724.6</v>
      </c>
      <c r="Q28" s="48">
        <v>39752.31</v>
      </c>
      <c r="R28" s="48">
        <v>9471.9</v>
      </c>
      <c r="S28" s="48">
        <v>4679.17</v>
      </c>
      <c r="T28" s="48">
        <v>1587.25</v>
      </c>
      <c r="U28" s="48">
        <v>204.01</v>
      </c>
      <c r="V28" s="48">
        <v>1186.0899999999999</v>
      </c>
      <c r="W28" s="48">
        <v>101843.87</v>
      </c>
      <c r="X28">
        <v>36</v>
      </c>
      <c r="Y28" t="s">
        <v>101</v>
      </c>
      <c r="Z28">
        <v>331.27</v>
      </c>
      <c r="AA28" t="s">
        <v>91</v>
      </c>
      <c r="AB28" t="s">
        <v>47</v>
      </c>
      <c r="AC28" t="s">
        <v>60</v>
      </c>
      <c r="AD28" t="s">
        <v>49</v>
      </c>
      <c r="AE28" t="s">
        <v>50</v>
      </c>
      <c r="AF28" s="5">
        <f>DATE(YEAR(C28),MONTH(C28),1)</f>
        <v>45962</v>
      </c>
      <c r="AG28">
        <f>E28-D28</f>
        <v>24</v>
      </c>
      <c r="AH28" s="6">
        <f t="shared" si="0"/>
        <v>64.163885119256875</v>
      </c>
    </row>
    <row r="29" spans="1:34">
      <c r="A29" t="s">
        <v>168</v>
      </c>
      <c r="B29" t="s">
        <v>169</v>
      </c>
      <c r="C29" s="1">
        <v>45839</v>
      </c>
      <c r="D29" s="1">
        <v>45841</v>
      </c>
      <c r="E29" s="1">
        <v>45855</v>
      </c>
      <c r="F29" t="s">
        <v>153</v>
      </c>
      <c r="G29" t="s">
        <v>75</v>
      </c>
      <c r="H29" t="s">
        <v>154</v>
      </c>
      <c r="I29" t="s">
        <v>57</v>
      </c>
      <c r="J29" t="s">
        <v>98</v>
      </c>
      <c r="K29" t="s">
        <v>99</v>
      </c>
      <c r="L29" t="s">
        <v>124</v>
      </c>
      <c r="M29" t="s">
        <v>108</v>
      </c>
      <c r="N29">
        <v>4</v>
      </c>
      <c r="O29" t="s">
        <v>44</v>
      </c>
      <c r="P29" s="48">
        <v>132104.28</v>
      </c>
      <c r="Q29" s="48">
        <v>39349.449999999997</v>
      </c>
      <c r="R29" s="48">
        <v>7188.1</v>
      </c>
      <c r="S29" s="48">
        <v>3389.73</v>
      </c>
      <c r="T29" s="48">
        <v>1321.04</v>
      </c>
      <c r="U29" s="48">
        <v>201.69</v>
      </c>
      <c r="V29" s="48">
        <v>1080.69</v>
      </c>
      <c r="W29" s="48">
        <v>79573.58</v>
      </c>
      <c r="X29">
        <v>0</v>
      </c>
      <c r="Y29" t="s">
        <v>45</v>
      </c>
      <c r="Z29">
        <v>327.91</v>
      </c>
      <c r="AA29" t="s">
        <v>46</v>
      </c>
      <c r="AB29" t="s">
        <v>92</v>
      </c>
      <c r="AC29" t="s">
        <v>70</v>
      </c>
      <c r="AD29" t="s">
        <v>130</v>
      </c>
      <c r="AE29" t="s">
        <v>50</v>
      </c>
      <c r="AF29" s="5">
        <f>DATE(YEAR(C29),MONTH(C29),1)</f>
        <v>45839</v>
      </c>
      <c r="AG29">
        <f>E29-D29</f>
        <v>14</v>
      </c>
      <c r="AH29" s="6">
        <f t="shared" si="0"/>
        <v>60.235429162476791</v>
      </c>
    </row>
    <row r="30" spans="1:34">
      <c r="A30" t="s">
        <v>170</v>
      </c>
      <c r="B30" t="s">
        <v>171</v>
      </c>
      <c r="C30" s="1">
        <v>45836</v>
      </c>
      <c r="D30" s="1">
        <v>45839</v>
      </c>
      <c r="E30" s="1">
        <v>45861</v>
      </c>
      <c r="F30" t="s">
        <v>65</v>
      </c>
      <c r="G30" t="s">
        <v>66</v>
      </c>
      <c r="H30" t="s">
        <v>67</v>
      </c>
      <c r="I30" t="s">
        <v>56</v>
      </c>
      <c r="J30" t="s">
        <v>57</v>
      </c>
      <c r="K30" t="s">
        <v>58</v>
      </c>
      <c r="L30" t="s">
        <v>155</v>
      </c>
      <c r="M30" t="s">
        <v>108</v>
      </c>
      <c r="N30">
        <v>4</v>
      </c>
      <c r="O30" t="s">
        <v>89</v>
      </c>
      <c r="P30" s="48">
        <v>136104.17000000001</v>
      </c>
      <c r="Q30" s="48">
        <v>39083.82</v>
      </c>
      <c r="R30" s="48">
        <v>9060.27</v>
      </c>
      <c r="S30" s="48">
        <v>1536.3</v>
      </c>
      <c r="T30" s="48">
        <v>1361.04</v>
      </c>
      <c r="U30" s="48">
        <v>204.32</v>
      </c>
      <c r="V30" s="48">
        <v>1173.82</v>
      </c>
      <c r="W30" s="48">
        <v>83684.600000000006</v>
      </c>
      <c r="X30">
        <v>4</v>
      </c>
      <c r="Y30" t="s">
        <v>101</v>
      </c>
      <c r="Z30">
        <v>325.7</v>
      </c>
      <c r="AA30" t="s">
        <v>91</v>
      </c>
      <c r="AB30" t="s">
        <v>92</v>
      </c>
      <c r="AC30" t="s">
        <v>60</v>
      </c>
      <c r="AD30" t="s">
        <v>130</v>
      </c>
      <c r="AE30" t="s">
        <v>71</v>
      </c>
      <c r="AF30" s="5">
        <f>DATE(YEAR(C30),MONTH(C30),1)</f>
        <v>45809</v>
      </c>
      <c r="AG30">
        <f>E30-D30</f>
        <v>22</v>
      </c>
      <c r="AH30" s="6">
        <f t="shared" si="0"/>
        <v>61.485698784982127</v>
      </c>
    </row>
    <row r="31" spans="1:34">
      <c r="A31" t="s">
        <v>172</v>
      </c>
      <c r="B31" t="s">
        <v>173</v>
      </c>
      <c r="C31" s="1">
        <v>45913</v>
      </c>
      <c r="D31" s="1">
        <v>45917</v>
      </c>
      <c r="E31" s="1">
        <v>45946</v>
      </c>
      <c r="F31" t="s">
        <v>74</v>
      </c>
      <c r="G31" t="s">
        <v>75</v>
      </c>
      <c r="H31" t="s">
        <v>76</v>
      </c>
      <c r="I31" t="s">
        <v>56</v>
      </c>
      <c r="J31" t="s">
        <v>57</v>
      </c>
      <c r="K31" t="s">
        <v>58</v>
      </c>
      <c r="L31" t="s">
        <v>124</v>
      </c>
      <c r="M31" t="s">
        <v>108</v>
      </c>
      <c r="N31">
        <v>4</v>
      </c>
      <c r="O31" t="s">
        <v>111</v>
      </c>
      <c r="P31" s="48">
        <v>131518.82999999999</v>
      </c>
      <c r="Q31" s="48">
        <v>39039.760000000002</v>
      </c>
      <c r="R31" s="48">
        <v>7082.47</v>
      </c>
      <c r="S31" s="48">
        <v>1591.36</v>
      </c>
      <c r="T31" s="48">
        <v>1315.19</v>
      </c>
      <c r="U31" s="48">
        <v>820.79</v>
      </c>
      <c r="V31" s="48">
        <v>2332.63</v>
      </c>
      <c r="W31" s="48">
        <v>79336.63</v>
      </c>
      <c r="X31">
        <v>48</v>
      </c>
      <c r="Y31" t="s">
        <v>117</v>
      </c>
      <c r="Z31">
        <v>325.33</v>
      </c>
      <c r="AA31" t="s">
        <v>91</v>
      </c>
      <c r="AB31" t="s">
        <v>92</v>
      </c>
      <c r="AC31" t="s">
        <v>70</v>
      </c>
      <c r="AD31" t="s">
        <v>93</v>
      </c>
      <c r="AE31" t="s">
        <v>102</v>
      </c>
      <c r="AF31" s="5">
        <f>DATE(YEAR(C31),MONTH(C31),1)</f>
        <v>45901</v>
      </c>
      <c r="AG31">
        <f>E31-D31</f>
        <v>29</v>
      </c>
      <c r="AH31" s="6">
        <f t="shared" si="0"/>
        <v>60.323400078908861</v>
      </c>
    </row>
    <row r="32" spans="1:34">
      <c r="A32" t="s">
        <v>174</v>
      </c>
      <c r="B32" t="s">
        <v>175</v>
      </c>
      <c r="C32" s="1">
        <v>45829</v>
      </c>
      <c r="D32" s="1">
        <v>45832</v>
      </c>
      <c r="E32" s="1">
        <v>45846</v>
      </c>
      <c r="F32" t="s">
        <v>138</v>
      </c>
      <c r="G32" t="s">
        <v>139</v>
      </c>
      <c r="H32" t="s">
        <v>76</v>
      </c>
      <c r="I32" t="s">
        <v>122</v>
      </c>
      <c r="J32" t="s">
        <v>122</v>
      </c>
      <c r="K32" t="s">
        <v>41</v>
      </c>
      <c r="L32" t="s">
        <v>127</v>
      </c>
      <c r="M32" t="s">
        <v>68</v>
      </c>
      <c r="N32">
        <v>4</v>
      </c>
      <c r="O32" t="s">
        <v>105</v>
      </c>
      <c r="P32" s="48">
        <v>167817.04</v>
      </c>
      <c r="Q32" s="48">
        <v>38977.589999999997</v>
      </c>
      <c r="R32" s="48">
        <v>12813.21</v>
      </c>
      <c r="S32" s="48">
        <v>2086.0700000000002</v>
      </c>
      <c r="T32" s="48">
        <v>1678.17</v>
      </c>
      <c r="U32" s="48">
        <v>817.9</v>
      </c>
      <c r="V32" s="48">
        <v>2246.08</v>
      </c>
      <c r="W32" s="48">
        <v>109198.02</v>
      </c>
      <c r="X32">
        <v>8</v>
      </c>
      <c r="Y32" t="s">
        <v>135</v>
      </c>
      <c r="Z32">
        <v>324.81</v>
      </c>
      <c r="AA32" t="s">
        <v>91</v>
      </c>
      <c r="AB32" t="s">
        <v>92</v>
      </c>
      <c r="AC32" t="s">
        <v>70</v>
      </c>
      <c r="AD32" t="s">
        <v>93</v>
      </c>
      <c r="AE32" t="s">
        <v>62</v>
      </c>
      <c r="AF32" s="5">
        <f>DATE(YEAR(C32),MONTH(C32),1)</f>
        <v>45809</v>
      </c>
      <c r="AG32">
        <f>E32-D32</f>
        <v>14</v>
      </c>
      <c r="AH32" s="6">
        <f t="shared" si="0"/>
        <v>65.069685414544324</v>
      </c>
    </row>
    <row r="33" spans="1:34">
      <c r="A33" t="s">
        <v>176</v>
      </c>
      <c r="B33" t="s">
        <v>177</v>
      </c>
      <c r="C33" s="1">
        <v>45912</v>
      </c>
      <c r="D33" s="1">
        <v>45914</v>
      </c>
      <c r="E33" s="1">
        <v>45931</v>
      </c>
      <c r="F33" t="s">
        <v>65</v>
      </c>
      <c r="G33" t="s">
        <v>66</v>
      </c>
      <c r="H33" t="s">
        <v>67</v>
      </c>
      <c r="I33" t="s">
        <v>86</v>
      </c>
      <c r="J33" t="s">
        <v>87</v>
      </c>
      <c r="K33" t="s">
        <v>41</v>
      </c>
      <c r="L33" t="s">
        <v>59</v>
      </c>
      <c r="M33" t="s">
        <v>43</v>
      </c>
      <c r="N33">
        <v>4</v>
      </c>
      <c r="O33" t="s">
        <v>44</v>
      </c>
      <c r="P33" s="48">
        <v>137707.20000000001</v>
      </c>
      <c r="Q33" s="48">
        <v>38668.44</v>
      </c>
      <c r="R33" s="48">
        <v>10022.07</v>
      </c>
      <c r="S33" s="48">
        <v>2512.39</v>
      </c>
      <c r="T33" s="48">
        <v>1377.07</v>
      </c>
      <c r="U33" s="48">
        <v>406.17</v>
      </c>
      <c r="V33" s="48">
        <v>402.75</v>
      </c>
      <c r="W33" s="48">
        <v>84318.31</v>
      </c>
      <c r="X33">
        <v>4</v>
      </c>
      <c r="Y33" t="s">
        <v>117</v>
      </c>
      <c r="Z33">
        <v>322.24</v>
      </c>
      <c r="AA33" t="s">
        <v>91</v>
      </c>
      <c r="AB33" t="s">
        <v>47</v>
      </c>
      <c r="AC33" t="s">
        <v>70</v>
      </c>
      <c r="AD33" t="s">
        <v>130</v>
      </c>
      <c r="AE33" t="s">
        <v>50</v>
      </c>
      <c r="AF33" s="5">
        <f>DATE(YEAR(C33),MONTH(C33),1)</f>
        <v>45901</v>
      </c>
      <c r="AG33">
        <f>E33-D33</f>
        <v>17</v>
      </c>
      <c r="AH33" s="6">
        <f t="shared" si="0"/>
        <v>61.230139019601005</v>
      </c>
    </row>
    <row r="34" spans="1:34">
      <c r="A34" t="s">
        <v>178</v>
      </c>
      <c r="B34" t="s">
        <v>179</v>
      </c>
      <c r="C34" s="1">
        <v>45913</v>
      </c>
      <c r="D34" s="1">
        <v>45915</v>
      </c>
      <c r="E34" s="1">
        <v>45930</v>
      </c>
      <c r="F34" t="s">
        <v>180</v>
      </c>
      <c r="G34" t="s">
        <v>181</v>
      </c>
      <c r="H34" t="s">
        <v>38</v>
      </c>
      <c r="I34" t="s">
        <v>115</v>
      </c>
      <c r="J34" t="s">
        <v>98</v>
      </c>
      <c r="K34" t="s">
        <v>99</v>
      </c>
      <c r="L34" t="s">
        <v>42</v>
      </c>
      <c r="M34" t="s">
        <v>108</v>
      </c>
      <c r="N34">
        <v>4</v>
      </c>
      <c r="O34" t="s">
        <v>105</v>
      </c>
      <c r="P34" s="48">
        <v>136203.5</v>
      </c>
      <c r="Q34" s="48">
        <v>38296.14</v>
      </c>
      <c r="R34" s="48">
        <v>7806.76</v>
      </c>
      <c r="S34" s="48">
        <v>2256.3200000000002</v>
      </c>
      <c r="T34" s="48">
        <v>1362.04</v>
      </c>
      <c r="U34" s="48">
        <v>240.51</v>
      </c>
      <c r="V34" s="48">
        <v>442.97</v>
      </c>
      <c r="W34" s="48">
        <v>85798.76</v>
      </c>
      <c r="X34">
        <v>0</v>
      </c>
      <c r="Y34" t="s">
        <v>45</v>
      </c>
      <c r="Z34">
        <v>319.13</v>
      </c>
      <c r="AA34" t="s">
        <v>46</v>
      </c>
      <c r="AB34" t="s">
        <v>47</v>
      </c>
      <c r="AC34" t="s">
        <v>48</v>
      </c>
      <c r="AD34" t="s">
        <v>130</v>
      </c>
      <c r="AE34" t="s">
        <v>71</v>
      </c>
      <c r="AF34" s="5">
        <f>DATE(YEAR(C34),MONTH(C34),1)</f>
        <v>45901</v>
      </c>
      <c r="AG34">
        <f>E34-D34</f>
        <v>15</v>
      </c>
      <c r="AH34" s="6">
        <f t="shared" si="0"/>
        <v>62.993065523279498</v>
      </c>
    </row>
    <row r="35" spans="1:34">
      <c r="A35" t="s">
        <v>182</v>
      </c>
      <c r="B35" t="s">
        <v>183</v>
      </c>
      <c r="C35" s="1">
        <v>45920</v>
      </c>
      <c r="D35" s="1">
        <v>45922</v>
      </c>
      <c r="E35" s="1">
        <v>45935</v>
      </c>
      <c r="F35" t="s">
        <v>149</v>
      </c>
      <c r="G35" t="s">
        <v>111</v>
      </c>
      <c r="H35" t="s">
        <v>150</v>
      </c>
      <c r="I35" t="s">
        <v>56</v>
      </c>
      <c r="J35" t="s">
        <v>57</v>
      </c>
      <c r="K35" t="s">
        <v>58</v>
      </c>
      <c r="L35" t="s">
        <v>42</v>
      </c>
      <c r="M35" t="s">
        <v>43</v>
      </c>
      <c r="N35">
        <v>4</v>
      </c>
      <c r="O35" t="s">
        <v>44</v>
      </c>
      <c r="P35" s="48">
        <v>126985.45</v>
      </c>
      <c r="Q35" s="48">
        <v>37995.65</v>
      </c>
      <c r="R35" s="48">
        <v>6877.43</v>
      </c>
      <c r="S35" s="48">
        <v>2909.26</v>
      </c>
      <c r="T35" s="48">
        <v>1269.8499999999999</v>
      </c>
      <c r="U35" s="48">
        <v>589.91</v>
      </c>
      <c r="V35" s="48">
        <v>332.65</v>
      </c>
      <c r="W35" s="48">
        <v>77010.7</v>
      </c>
      <c r="X35">
        <v>0</v>
      </c>
      <c r="Y35" t="s">
        <v>45</v>
      </c>
      <c r="Z35">
        <v>316.63</v>
      </c>
      <c r="AA35" t="s">
        <v>46</v>
      </c>
      <c r="AB35" t="s">
        <v>92</v>
      </c>
      <c r="AC35" t="s">
        <v>70</v>
      </c>
      <c r="AD35" t="s">
        <v>130</v>
      </c>
      <c r="AE35" t="s">
        <v>62</v>
      </c>
      <c r="AF35" s="5">
        <f>DATE(YEAR(C35),MONTH(C35),1)</f>
        <v>45901</v>
      </c>
      <c r="AG35">
        <f>E35-D35</f>
        <v>13</v>
      </c>
      <c r="AH35" s="6">
        <f t="shared" si="0"/>
        <v>60.645294401838946</v>
      </c>
    </row>
    <row r="36" spans="1:34">
      <c r="A36" t="s">
        <v>184</v>
      </c>
      <c r="B36" t="s">
        <v>185</v>
      </c>
      <c r="C36" s="1">
        <v>45811</v>
      </c>
      <c r="D36" s="1">
        <v>45815</v>
      </c>
      <c r="E36" s="1">
        <v>45833</v>
      </c>
      <c r="F36" t="s">
        <v>36</v>
      </c>
      <c r="G36" t="s">
        <v>37</v>
      </c>
      <c r="H36" t="s">
        <v>38</v>
      </c>
      <c r="I36" t="s">
        <v>56</v>
      </c>
      <c r="J36" t="s">
        <v>115</v>
      </c>
      <c r="K36" t="s">
        <v>41</v>
      </c>
      <c r="L36" t="s">
        <v>78</v>
      </c>
      <c r="M36" t="s">
        <v>108</v>
      </c>
      <c r="N36">
        <v>4</v>
      </c>
      <c r="O36" t="s">
        <v>44</v>
      </c>
      <c r="P36" s="48">
        <v>154540.21</v>
      </c>
      <c r="Q36" s="48">
        <v>37576.400000000001</v>
      </c>
      <c r="R36" s="48">
        <v>10241.77</v>
      </c>
      <c r="S36" s="48">
        <v>2445.34</v>
      </c>
      <c r="T36" s="48">
        <v>1545.4</v>
      </c>
      <c r="U36" s="48">
        <v>756.05</v>
      </c>
      <c r="V36" s="48">
        <v>492.56</v>
      </c>
      <c r="W36" s="48">
        <v>101482.69</v>
      </c>
      <c r="X36">
        <v>36</v>
      </c>
      <c r="Y36" t="s">
        <v>135</v>
      </c>
      <c r="Z36">
        <v>313.14</v>
      </c>
      <c r="AA36" t="s">
        <v>91</v>
      </c>
      <c r="AB36" t="s">
        <v>92</v>
      </c>
      <c r="AC36" t="s">
        <v>70</v>
      </c>
      <c r="AD36" t="s">
        <v>61</v>
      </c>
      <c r="AE36" t="s">
        <v>62</v>
      </c>
      <c r="AF36" s="5">
        <f>DATE(YEAR(C36),MONTH(C36),1)</f>
        <v>45809</v>
      </c>
      <c r="AG36">
        <f>E36-D36</f>
        <v>18</v>
      </c>
      <c r="AH36" s="6">
        <f t="shared" si="0"/>
        <v>65.667498445873747</v>
      </c>
    </row>
    <row r="37" spans="1:34">
      <c r="A37" t="s">
        <v>186</v>
      </c>
      <c r="B37" t="s">
        <v>187</v>
      </c>
      <c r="C37" s="1">
        <v>45880</v>
      </c>
      <c r="D37" s="1">
        <v>45881</v>
      </c>
      <c r="E37" s="1">
        <v>45892</v>
      </c>
      <c r="F37" t="s">
        <v>36</v>
      </c>
      <c r="G37" t="s">
        <v>37</v>
      </c>
      <c r="H37" t="s">
        <v>38</v>
      </c>
      <c r="I37" t="s">
        <v>56</v>
      </c>
      <c r="J37" t="s">
        <v>57</v>
      </c>
      <c r="K37" t="s">
        <v>58</v>
      </c>
      <c r="L37" t="s">
        <v>116</v>
      </c>
      <c r="M37" t="s">
        <v>43</v>
      </c>
      <c r="N37">
        <v>4</v>
      </c>
      <c r="O37" t="s">
        <v>111</v>
      </c>
      <c r="P37" s="48">
        <v>165395.25</v>
      </c>
      <c r="Q37" s="48">
        <v>36892.06</v>
      </c>
      <c r="R37" s="48">
        <v>8234.19</v>
      </c>
      <c r="S37" s="48">
        <v>3737.85</v>
      </c>
      <c r="T37" s="48">
        <v>1653.95</v>
      </c>
      <c r="U37" s="48">
        <v>682.98</v>
      </c>
      <c r="V37" s="48">
        <v>606.73</v>
      </c>
      <c r="W37" s="48">
        <v>113587.49</v>
      </c>
      <c r="X37">
        <v>4</v>
      </c>
      <c r="Y37" t="s">
        <v>117</v>
      </c>
      <c r="Z37">
        <v>307.43</v>
      </c>
      <c r="AA37" t="s">
        <v>91</v>
      </c>
      <c r="AB37" t="s">
        <v>47</v>
      </c>
      <c r="AC37" t="s">
        <v>60</v>
      </c>
      <c r="AD37" t="s">
        <v>144</v>
      </c>
      <c r="AE37" t="s">
        <v>50</v>
      </c>
      <c r="AF37" s="5">
        <f>DATE(YEAR(C37),MONTH(C37),1)</f>
        <v>45870</v>
      </c>
      <c r="AG37">
        <f>E37-D37</f>
        <v>11</v>
      </c>
      <c r="AH37" s="6">
        <f t="shared" si="0"/>
        <v>68.676391855267909</v>
      </c>
    </row>
    <row r="38" spans="1:34">
      <c r="A38" t="s">
        <v>188</v>
      </c>
      <c r="B38" t="s">
        <v>189</v>
      </c>
      <c r="C38" s="1">
        <v>45828</v>
      </c>
      <c r="D38" s="1">
        <v>45832</v>
      </c>
      <c r="E38" s="1">
        <v>45844</v>
      </c>
      <c r="F38" t="s">
        <v>83</v>
      </c>
      <c r="G38" t="s">
        <v>84</v>
      </c>
      <c r="H38" t="s">
        <v>85</v>
      </c>
      <c r="I38" t="s">
        <v>115</v>
      </c>
      <c r="J38" t="s">
        <v>98</v>
      </c>
      <c r="K38" t="s">
        <v>99</v>
      </c>
      <c r="L38" t="s">
        <v>42</v>
      </c>
      <c r="M38" t="s">
        <v>79</v>
      </c>
      <c r="N38">
        <v>4</v>
      </c>
      <c r="O38" t="s">
        <v>54</v>
      </c>
      <c r="P38" s="48">
        <v>132552.51999999999</v>
      </c>
      <c r="Q38" s="48">
        <v>36370.82</v>
      </c>
      <c r="R38" s="48">
        <v>9792.27</v>
      </c>
      <c r="S38" s="48">
        <v>2529.41</v>
      </c>
      <c r="T38" s="48">
        <v>1325.53</v>
      </c>
      <c r="U38" s="48">
        <v>860.96</v>
      </c>
      <c r="V38" s="48">
        <v>2493</v>
      </c>
      <c r="W38" s="48">
        <v>79180.53</v>
      </c>
      <c r="X38">
        <v>0</v>
      </c>
      <c r="Y38" t="s">
        <v>45</v>
      </c>
      <c r="Z38">
        <v>303.08999999999997</v>
      </c>
      <c r="AA38" t="s">
        <v>46</v>
      </c>
      <c r="AB38" t="s">
        <v>47</v>
      </c>
      <c r="AC38" t="s">
        <v>70</v>
      </c>
      <c r="AD38" t="s">
        <v>93</v>
      </c>
      <c r="AE38" t="s">
        <v>71</v>
      </c>
      <c r="AF38" s="5">
        <f>DATE(YEAR(C38),MONTH(C38),1)</f>
        <v>45809</v>
      </c>
      <c r="AG38">
        <f>E38-D38</f>
        <v>12</v>
      </c>
      <c r="AH38" s="6">
        <f t="shared" si="0"/>
        <v>59.735212880147436</v>
      </c>
    </row>
    <row r="39" spans="1:34">
      <c r="A39" t="s">
        <v>190</v>
      </c>
      <c r="B39" t="s">
        <v>191</v>
      </c>
      <c r="C39" s="1">
        <v>45742</v>
      </c>
      <c r="D39" s="1">
        <v>45746</v>
      </c>
      <c r="E39" s="1">
        <v>45772</v>
      </c>
      <c r="F39" t="s">
        <v>53</v>
      </c>
      <c r="G39" t="s">
        <v>54</v>
      </c>
      <c r="H39" t="s">
        <v>55</v>
      </c>
      <c r="I39" t="s">
        <v>57</v>
      </c>
      <c r="J39" t="s">
        <v>98</v>
      </c>
      <c r="K39" t="s">
        <v>99</v>
      </c>
      <c r="L39" t="s">
        <v>155</v>
      </c>
      <c r="M39" t="s">
        <v>68</v>
      </c>
      <c r="N39">
        <v>4</v>
      </c>
      <c r="O39" t="s">
        <v>54</v>
      </c>
      <c r="P39" s="48">
        <v>155931.93</v>
      </c>
      <c r="Q39" s="48">
        <v>36185.230000000003</v>
      </c>
      <c r="R39" s="48">
        <v>9385.89</v>
      </c>
      <c r="S39" s="48">
        <v>2472.96</v>
      </c>
      <c r="T39" s="48">
        <v>1559.32</v>
      </c>
      <c r="U39" s="48">
        <v>120</v>
      </c>
      <c r="V39" s="48">
        <v>767.88</v>
      </c>
      <c r="W39" s="48">
        <v>105440.65</v>
      </c>
      <c r="X39">
        <v>0</v>
      </c>
      <c r="Y39" t="s">
        <v>45</v>
      </c>
      <c r="Z39">
        <v>301.54000000000002</v>
      </c>
      <c r="AA39" t="s">
        <v>46</v>
      </c>
      <c r="AB39" t="s">
        <v>47</v>
      </c>
      <c r="AC39" t="s">
        <v>48</v>
      </c>
      <c r="AD39" t="s">
        <v>144</v>
      </c>
      <c r="AE39" t="s">
        <v>71</v>
      </c>
      <c r="AF39" s="5">
        <f>DATE(YEAR(C39),MONTH(C39),1)</f>
        <v>45717</v>
      </c>
      <c r="AG39">
        <f>E39-D39</f>
        <v>26</v>
      </c>
      <c r="AH39" s="6">
        <f t="shared" si="0"/>
        <v>67.619665837522831</v>
      </c>
    </row>
    <row r="40" spans="1:34">
      <c r="A40" t="s">
        <v>192</v>
      </c>
      <c r="B40" t="s">
        <v>193</v>
      </c>
      <c r="C40" s="1">
        <v>45757</v>
      </c>
      <c r="D40" s="1">
        <v>45759</v>
      </c>
      <c r="E40" s="1">
        <v>45769</v>
      </c>
      <c r="F40" t="s">
        <v>36</v>
      </c>
      <c r="G40" t="s">
        <v>37</v>
      </c>
      <c r="H40" t="s">
        <v>38</v>
      </c>
      <c r="I40" t="s">
        <v>86</v>
      </c>
      <c r="J40" t="s">
        <v>87</v>
      </c>
      <c r="K40" t="s">
        <v>88</v>
      </c>
      <c r="L40" t="s">
        <v>59</v>
      </c>
      <c r="M40" t="s">
        <v>108</v>
      </c>
      <c r="N40">
        <v>4</v>
      </c>
      <c r="O40" t="s">
        <v>111</v>
      </c>
      <c r="P40" s="48">
        <v>132497.35</v>
      </c>
      <c r="Q40" s="48">
        <v>36151.370000000003</v>
      </c>
      <c r="R40" s="48">
        <v>8863.48</v>
      </c>
      <c r="S40" s="48">
        <v>1353.68</v>
      </c>
      <c r="T40" s="48">
        <v>1324.97</v>
      </c>
      <c r="U40" s="48">
        <v>466.6</v>
      </c>
      <c r="V40" s="48">
        <v>2481.7600000000002</v>
      </c>
      <c r="W40" s="48">
        <v>81855.490000000005</v>
      </c>
      <c r="X40">
        <v>12</v>
      </c>
      <c r="Y40" t="s">
        <v>135</v>
      </c>
      <c r="Z40">
        <v>301.26</v>
      </c>
      <c r="AA40" t="s">
        <v>91</v>
      </c>
      <c r="AB40" t="s">
        <v>92</v>
      </c>
      <c r="AC40" t="s">
        <v>70</v>
      </c>
      <c r="AD40" t="s">
        <v>61</v>
      </c>
      <c r="AE40" t="s">
        <v>50</v>
      </c>
      <c r="AF40" s="5">
        <f>DATE(YEAR(C40),MONTH(C40),1)</f>
        <v>45748</v>
      </c>
      <c r="AG40">
        <f>E40-D40</f>
        <v>10</v>
      </c>
      <c r="AH40" s="6">
        <f t="shared" si="0"/>
        <v>61.778963881164415</v>
      </c>
    </row>
    <row r="41" spans="1:34">
      <c r="A41" t="s">
        <v>194</v>
      </c>
      <c r="B41" t="s">
        <v>195</v>
      </c>
      <c r="C41" s="1">
        <v>45942</v>
      </c>
      <c r="D41" s="1">
        <v>45946</v>
      </c>
      <c r="E41" s="1">
        <v>45972</v>
      </c>
      <c r="F41" t="s">
        <v>53</v>
      </c>
      <c r="G41" t="s">
        <v>54</v>
      </c>
      <c r="H41" t="s">
        <v>55</v>
      </c>
      <c r="I41" t="s">
        <v>40</v>
      </c>
      <c r="J41" t="s">
        <v>122</v>
      </c>
      <c r="K41" t="s">
        <v>123</v>
      </c>
      <c r="L41" t="s">
        <v>127</v>
      </c>
      <c r="M41" t="s">
        <v>108</v>
      </c>
      <c r="N41">
        <v>4</v>
      </c>
      <c r="O41" t="s">
        <v>89</v>
      </c>
      <c r="P41" s="48">
        <v>141256.07999999999</v>
      </c>
      <c r="Q41" s="48">
        <v>36097.599999999999</v>
      </c>
      <c r="R41" s="48">
        <v>10972.54</v>
      </c>
      <c r="S41" s="48">
        <v>3374.81</v>
      </c>
      <c r="T41" s="48">
        <v>1412.56</v>
      </c>
      <c r="U41" s="48">
        <v>599.86</v>
      </c>
      <c r="V41" s="48">
        <v>1573.72</v>
      </c>
      <c r="W41" s="48">
        <v>87224.99</v>
      </c>
      <c r="X41">
        <v>8</v>
      </c>
      <c r="Y41" t="s">
        <v>90</v>
      </c>
      <c r="Z41">
        <v>300.81</v>
      </c>
      <c r="AA41" t="s">
        <v>91</v>
      </c>
      <c r="AB41" t="s">
        <v>47</v>
      </c>
      <c r="AC41" t="s">
        <v>60</v>
      </c>
      <c r="AD41" t="s">
        <v>130</v>
      </c>
      <c r="AE41" t="s">
        <v>102</v>
      </c>
      <c r="AF41" s="5">
        <f>DATE(YEAR(C41),MONTH(C41),1)</f>
        <v>45931</v>
      </c>
      <c r="AG41">
        <f>E41-D41</f>
        <v>26</v>
      </c>
      <c r="AH41" s="6">
        <f t="shared" si="0"/>
        <v>61.749547346917744</v>
      </c>
    </row>
    <row r="42" spans="1:34">
      <c r="A42" t="s">
        <v>196</v>
      </c>
      <c r="B42" t="s">
        <v>197</v>
      </c>
      <c r="C42" s="1">
        <v>45732</v>
      </c>
      <c r="D42" s="1">
        <v>45735</v>
      </c>
      <c r="E42" s="1">
        <v>45762</v>
      </c>
      <c r="F42" t="s">
        <v>83</v>
      </c>
      <c r="G42" t="s">
        <v>84</v>
      </c>
      <c r="H42" t="s">
        <v>85</v>
      </c>
      <c r="I42" t="s">
        <v>40</v>
      </c>
      <c r="J42" t="s">
        <v>122</v>
      </c>
      <c r="K42" t="s">
        <v>123</v>
      </c>
      <c r="L42" t="s">
        <v>116</v>
      </c>
      <c r="M42" t="s">
        <v>68</v>
      </c>
      <c r="N42">
        <v>4</v>
      </c>
      <c r="O42" t="s">
        <v>69</v>
      </c>
      <c r="P42" s="48">
        <v>172860.73</v>
      </c>
      <c r="Q42" s="48">
        <v>35993.18</v>
      </c>
      <c r="R42" s="48">
        <v>12811.89</v>
      </c>
      <c r="S42" s="48">
        <v>4151.33</v>
      </c>
      <c r="T42" s="48">
        <v>1728.61</v>
      </c>
      <c r="U42" s="48">
        <v>812.65</v>
      </c>
      <c r="V42" s="48">
        <v>1525.5</v>
      </c>
      <c r="W42" s="48">
        <v>115837.57</v>
      </c>
      <c r="X42">
        <v>24</v>
      </c>
      <c r="Y42" t="s">
        <v>112</v>
      </c>
      <c r="Z42">
        <v>299.94</v>
      </c>
      <c r="AA42" t="s">
        <v>91</v>
      </c>
      <c r="AB42" t="s">
        <v>47</v>
      </c>
      <c r="AC42" t="s">
        <v>70</v>
      </c>
      <c r="AD42" t="s">
        <v>130</v>
      </c>
      <c r="AE42" t="s">
        <v>102</v>
      </c>
      <c r="AF42" s="5">
        <f>DATE(YEAR(C42),MONTH(C42),1)</f>
        <v>45717</v>
      </c>
      <c r="AG42">
        <f>E42-D42</f>
        <v>27</v>
      </c>
      <c r="AH42" s="6">
        <f t="shared" si="0"/>
        <v>67.012079608827293</v>
      </c>
    </row>
    <row r="43" spans="1:34">
      <c r="A43" t="s">
        <v>198</v>
      </c>
      <c r="B43" t="s">
        <v>199</v>
      </c>
      <c r="C43" s="1">
        <v>45875</v>
      </c>
      <c r="D43" s="1">
        <v>45877</v>
      </c>
      <c r="E43" s="1">
        <v>45906</v>
      </c>
      <c r="F43" t="s">
        <v>96</v>
      </c>
      <c r="G43" t="s">
        <v>97</v>
      </c>
      <c r="H43" t="s">
        <v>76</v>
      </c>
      <c r="I43" t="s">
        <v>86</v>
      </c>
      <c r="J43" t="s">
        <v>87</v>
      </c>
      <c r="K43" t="s">
        <v>88</v>
      </c>
      <c r="L43" t="s">
        <v>59</v>
      </c>
      <c r="M43" t="s">
        <v>43</v>
      </c>
      <c r="N43">
        <v>4</v>
      </c>
      <c r="O43" t="s">
        <v>105</v>
      </c>
      <c r="P43" s="48">
        <v>125102.5</v>
      </c>
      <c r="Q43" s="48">
        <v>35570.53</v>
      </c>
      <c r="R43" s="48">
        <v>9592.48</v>
      </c>
      <c r="S43" s="48">
        <v>1781.83</v>
      </c>
      <c r="T43" s="48">
        <v>1251.03</v>
      </c>
      <c r="U43" s="48">
        <v>473.72</v>
      </c>
      <c r="V43" s="48">
        <v>547.03</v>
      </c>
      <c r="W43" s="48">
        <v>75885.88</v>
      </c>
      <c r="X43">
        <v>48</v>
      </c>
      <c r="Y43" t="s">
        <v>101</v>
      </c>
      <c r="Z43">
        <v>296.42</v>
      </c>
      <c r="AA43" t="s">
        <v>91</v>
      </c>
      <c r="AB43" t="s">
        <v>47</v>
      </c>
      <c r="AC43" t="s">
        <v>48</v>
      </c>
      <c r="AD43" t="s">
        <v>61</v>
      </c>
      <c r="AE43" t="s">
        <v>50</v>
      </c>
      <c r="AF43" s="5">
        <f>DATE(YEAR(C43),MONTH(C43),1)</f>
        <v>45870</v>
      </c>
      <c r="AG43">
        <f>E43-D43</f>
        <v>29</v>
      </c>
      <c r="AH43" s="6">
        <f t="shared" si="0"/>
        <v>60.658963649807163</v>
      </c>
    </row>
    <row r="44" spans="1:34">
      <c r="A44" t="s">
        <v>200</v>
      </c>
      <c r="B44" t="s">
        <v>201</v>
      </c>
      <c r="C44" s="1">
        <v>45982</v>
      </c>
      <c r="D44" s="1">
        <v>45983</v>
      </c>
      <c r="E44" s="1">
        <v>45997</v>
      </c>
      <c r="F44" t="s">
        <v>36</v>
      </c>
      <c r="G44" t="s">
        <v>37</v>
      </c>
      <c r="H44" t="s">
        <v>38</v>
      </c>
      <c r="I44" t="s">
        <v>115</v>
      </c>
      <c r="J44" t="s">
        <v>98</v>
      </c>
      <c r="K44" t="s">
        <v>99</v>
      </c>
      <c r="L44" t="s">
        <v>78</v>
      </c>
      <c r="M44" t="s">
        <v>108</v>
      </c>
      <c r="N44">
        <v>4</v>
      </c>
      <c r="O44" t="s">
        <v>105</v>
      </c>
      <c r="P44" s="48">
        <v>133873.76</v>
      </c>
      <c r="Q44" s="48">
        <v>35511.58</v>
      </c>
      <c r="R44" s="48">
        <v>8150.09</v>
      </c>
      <c r="S44" s="48">
        <v>3413.74</v>
      </c>
      <c r="T44" s="48">
        <v>1338.74</v>
      </c>
      <c r="U44" s="48">
        <v>635.30999999999995</v>
      </c>
      <c r="V44" s="48">
        <v>1562.2</v>
      </c>
      <c r="W44" s="48">
        <v>83262.100000000006</v>
      </c>
      <c r="X44">
        <v>36</v>
      </c>
      <c r="Y44" t="s">
        <v>90</v>
      </c>
      <c r="Z44">
        <v>295.93</v>
      </c>
      <c r="AA44" t="s">
        <v>91</v>
      </c>
      <c r="AB44" t="s">
        <v>92</v>
      </c>
      <c r="AC44" t="s">
        <v>48</v>
      </c>
      <c r="AD44" t="s">
        <v>130</v>
      </c>
      <c r="AE44" t="s">
        <v>50</v>
      </c>
      <c r="AF44" s="5">
        <f>DATE(YEAR(C44),MONTH(C44),1)</f>
        <v>45962</v>
      </c>
      <c r="AG44">
        <f>E44-D44</f>
        <v>14</v>
      </c>
      <c r="AH44" s="6">
        <f t="shared" si="0"/>
        <v>62.194488300022357</v>
      </c>
    </row>
    <row r="45" spans="1:34">
      <c r="A45" t="s">
        <v>202</v>
      </c>
      <c r="B45" t="s">
        <v>203</v>
      </c>
      <c r="C45" s="1">
        <v>45830</v>
      </c>
      <c r="D45" s="1">
        <v>45831</v>
      </c>
      <c r="E45" s="1">
        <v>45846</v>
      </c>
      <c r="F45" t="s">
        <v>149</v>
      </c>
      <c r="G45" t="s">
        <v>111</v>
      </c>
      <c r="H45" t="s">
        <v>150</v>
      </c>
      <c r="I45" t="s">
        <v>86</v>
      </c>
      <c r="J45" t="s">
        <v>87</v>
      </c>
      <c r="K45" t="s">
        <v>88</v>
      </c>
      <c r="L45" t="s">
        <v>100</v>
      </c>
      <c r="M45" t="s">
        <v>43</v>
      </c>
      <c r="N45">
        <v>4</v>
      </c>
      <c r="O45" t="s">
        <v>105</v>
      </c>
      <c r="P45" s="48">
        <v>139093.65</v>
      </c>
      <c r="Q45" s="48">
        <v>35495.620000000003</v>
      </c>
      <c r="R45" s="48">
        <v>9634.61</v>
      </c>
      <c r="S45" s="48">
        <v>1623.34</v>
      </c>
      <c r="T45" s="48">
        <v>1390.94</v>
      </c>
      <c r="U45" s="48">
        <v>267.06</v>
      </c>
      <c r="V45" s="48">
        <v>1153.8599999999999</v>
      </c>
      <c r="W45" s="48">
        <v>89528.22</v>
      </c>
      <c r="X45">
        <v>36</v>
      </c>
      <c r="Y45" t="s">
        <v>101</v>
      </c>
      <c r="Z45">
        <v>295.8</v>
      </c>
      <c r="AA45" t="s">
        <v>91</v>
      </c>
      <c r="AB45" t="s">
        <v>47</v>
      </c>
      <c r="AC45" t="s">
        <v>48</v>
      </c>
      <c r="AD45" t="s">
        <v>49</v>
      </c>
      <c r="AE45" t="s">
        <v>102</v>
      </c>
      <c r="AF45" s="5">
        <f>DATE(YEAR(C45),MONTH(C45),1)</f>
        <v>45809</v>
      </c>
      <c r="AG45">
        <f>E45-D45</f>
        <v>15</v>
      </c>
      <c r="AH45" s="6">
        <f t="shared" si="0"/>
        <v>64.365425740139827</v>
      </c>
    </row>
    <row r="46" spans="1:34">
      <c r="A46" t="s">
        <v>204</v>
      </c>
      <c r="B46" t="s">
        <v>205</v>
      </c>
      <c r="C46" s="1">
        <v>45832</v>
      </c>
      <c r="D46" s="1">
        <v>45834</v>
      </c>
      <c r="E46" s="1">
        <v>45864</v>
      </c>
      <c r="F46" t="s">
        <v>153</v>
      </c>
      <c r="G46" t="s">
        <v>75</v>
      </c>
      <c r="H46" t="s">
        <v>154</v>
      </c>
      <c r="I46" t="s">
        <v>57</v>
      </c>
      <c r="J46" t="s">
        <v>98</v>
      </c>
      <c r="K46" t="s">
        <v>99</v>
      </c>
      <c r="L46" t="s">
        <v>127</v>
      </c>
      <c r="M46" t="s">
        <v>68</v>
      </c>
      <c r="N46">
        <v>4</v>
      </c>
      <c r="O46" t="s">
        <v>105</v>
      </c>
      <c r="P46" s="48">
        <v>131599.01</v>
      </c>
      <c r="Q46" s="48">
        <v>35203.89</v>
      </c>
      <c r="R46" s="48">
        <v>8391.2800000000007</v>
      </c>
      <c r="S46" s="48">
        <v>2203.37</v>
      </c>
      <c r="T46" s="48">
        <v>1315.99</v>
      </c>
      <c r="U46" s="48">
        <v>165.66</v>
      </c>
      <c r="V46" s="48">
        <v>2203.17</v>
      </c>
      <c r="W46" s="48">
        <v>82115.649999999994</v>
      </c>
      <c r="X46">
        <v>48</v>
      </c>
      <c r="Y46" t="s">
        <v>117</v>
      </c>
      <c r="Z46">
        <v>293.37</v>
      </c>
      <c r="AA46" t="s">
        <v>91</v>
      </c>
      <c r="AB46" t="s">
        <v>92</v>
      </c>
      <c r="AC46" t="s">
        <v>60</v>
      </c>
      <c r="AD46" t="s">
        <v>61</v>
      </c>
      <c r="AE46" t="s">
        <v>50</v>
      </c>
      <c r="AF46" s="5">
        <f>DATE(YEAR(C46),MONTH(C46),1)</f>
        <v>45809</v>
      </c>
      <c r="AG46">
        <f>E46-D46</f>
        <v>30</v>
      </c>
      <c r="AH46" s="6">
        <f t="shared" si="0"/>
        <v>62.398379744650043</v>
      </c>
    </row>
    <row r="47" spans="1:34">
      <c r="A47" t="s">
        <v>206</v>
      </c>
      <c r="B47" t="s">
        <v>207</v>
      </c>
      <c r="C47" s="1">
        <v>45661</v>
      </c>
      <c r="D47" s="1">
        <v>45662</v>
      </c>
      <c r="E47" s="1">
        <v>45678</v>
      </c>
      <c r="F47" t="s">
        <v>53</v>
      </c>
      <c r="G47" t="s">
        <v>54</v>
      </c>
      <c r="H47" t="s">
        <v>55</v>
      </c>
      <c r="I47" t="s">
        <v>115</v>
      </c>
      <c r="J47" t="s">
        <v>57</v>
      </c>
      <c r="K47" t="s">
        <v>41</v>
      </c>
      <c r="L47" t="s">
        <v>100</v>
      </c>
      <c r="M47" t="s">
        <v>68</v>
      </c>
      <c r="N47">
        <v>4</v>
      </c>
      <c r="O47" t="s">
        <v>105</v>
      </c>
      <c r="P47" s="48">
        <v>172817.64</v>
      </c>
      <c r="Q47" s="48">
        <v>34728.97</v>
      </c>
      <c r="R47" s="48">
        <v>9125.7000000000007</v>
      </c>
      <c r="S47" s="48">
        <v>2243.7800000000002</v>
      </c>
      <c r="T47" s="48">
        <v>1728.18</v>
      </c>
      <c r="U47" s="48">
        <v>446.22</v>
      </c>
      <c r="V47" s="48">
        <v>797.74</v>
      </c>
      <c r="W47" s="48">
        <v>123747.05</v>
      </c>
      <c r="X47">
        <v>12</v>
      </c>
      <c r="Y47" t="s">
        <v>90</v>
      </c>
      <c r="Z47">
        <v>289.41000000000003</v>
      </c>
      <c r="AA47" t="s">
        <v>91</v>
      </c>
      <c r="AB47" t="s">
        <v>47</v>
      </c>
      <c r="AC47" t="s">
        <v>70</v>
      </c>
      <c r="AD47" t="s">
        <v>130</v>
      </c>
      <c r="AE47" t="s">
        <v>102</v>
      </c>
      <c r="AF47" s="5">
        <f>DATE(YEAR(C47),MONTH(C47),1)</f>
        <v>45658</v>
      </c>
      <c r="AG47">
        <f>E47-D47</f>
        <v>16</v>
      </c>
      <c r="AH47" s="6">
        <f t="shared" si="0"/>
        <v>71.605566422501781</v>
      </c>
    </row>
    <row r="48" spans="1:34">
      <c r="A48" t="s">
        <v>208</v>
      </c>
      <c r="B48" t="s">
        <v>209</v>
      </c>
      <c r="C48" s="1">
        <v>45741</v>
      </c>
      <c r="D48" s="1">
        <v>45745</v>
      </c>
      <c r="E48" s="1">
        <v>45770</v>
      </c>
      <c r="F48" t="s">
        <v>96</v>
      </c>
      <c r="G48" t="s">
        <v>97</v>
      </c>
      <c r="H48" t="s">
        <v>76</v>
      </c>
      <c r="I48" t="s">
        <v>122</v>
      </c>
      <c r="J48" t="s">
        <v>122</v>
      </c>
      <c r="K48" t="s">
        <v>41</v>
      </c>
      <c r="L48" t="s">
        <v>100</v>
      </c>
      <c r="M48" t="s">
        <v>43</v>
      </c>
      <c r="N48">
        <v>4</v>
      </c>
      <c r="O48" t="s">
        <v>69</v>
      </c>
      <c r="P48" s="48">
        <v>114825.85</v>
      </c>
      <c r="Q48" s="48">
        <v>34160.49</v>
      </c>
      <c r="R48" s="48">
        <v>7477.02</v>
      </c>
      <c r="S48" s="48">
        <v>3113.35</v>
      </c>
      <c r="T48" s="48">
        <v>1148.26</v>
      </c>
      <c r="U48" s="48">
        <v>245.1</v>
      </c>
      <c r="V48" s="48">
        <v>2130.9499999999998</v>
      </c>
      <c r="W48" s="48">
        <v>66550.679999999993</v>
      </c>
      <c r="X48">
        <v>4</v>
      </c>
      <c r="Y48" t="s">
        <v>112</v>
      </c>
      <c r="Z48">
        <v>284.67</v>
      </c>
      <c r="AA48" t="s">
        <v>91</v>
      </c>
      <c r="AB48" t="s">
        <v>92</v>
      </c>
      <c r="AC48" t="s">
        <v>60</v>
      </c>
      <c r="AD48" t="s">
        <v>130</v>
      </c>
      <c r="AE48" t="s">
        <v>71</v>
      </c>
      <c r="AF48" s="5">
        <f>DATE(YEAR(C48),MONTH(C48),1)</f>
        <v>45717</v>
      </c>
      <c r="AG48">
        <f>E48-D48</f>
        <v>25</v>
      </c>
      <c r="AH48" s="6">
        <f t="shared" si="0"/>
        <v>57.957924979436235</v>
      </c>
    </row>
    <row r="49" spans="1:34">
      <c r="A49" t="s">
        <v>210</v>
      </c>
      <c r="B49" t="s">
        <v>211</v>
      </c>
      <c r="C49" s="1">
        <v>45955</v>
      </c>
      <c r="D49" s="1">
        <v>45958</v>
      </c>
      <c r="E49" s="1">
        <v>45986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58</v>
      </c>
      <c r="L49" t="s">
        <v>42</v>
      </c>
      <c r="M49" t="s">
        <v>108</v>
      </c>
      <c r="N49">
        <v>4</v>
      </c>
      <c r="O49" t="s">
        <v>44</v>
      </c>
      <c r="P49" s="48">
        <v>137729.25</v>
      </c>
      <c r="Q49" s="48">
        <v>34113.919999999998</v>
      </c>
      <c r="R49" s="48">
        <v>7254.46</v>
      </c>
      <c r="S49" s="48">
        <v>4124.47</v>
      </c>
      <c r="T49" s="48">
        <v>1377.29</v>
      </c>
      <c r="U49" s="48">
        <v>637.78</v>
      </c>
      <c r="V49" s="48">
        <v>389.62</v>
      </c>
      <c r="W49" s="48">
        <v>89831.71</v>
      </c>
      <c r="X49">
        <v>8</v>
      </c>
      <c r="Y49" t="s">
        <v>90</v>
      </c>
      <c r="Z49">
        <v>284.27999999999997</v>
      </c>
      <c r="AA49" t="s">
        <v>91</v>
      </c>
      <c r="AB49" t="s">
        <v>47</v>
      </c>
      <c r="AC49" t="s">
        <v>60</v>
      </c>
      <c r="AD49" t="s">
        <v>130</v>
      </c>
      <c r="AE49" t="s">
        <v>62</v>
      </c>
      <c r="AF49" s="5">
        <f>DATE(YEAR(C49),MONTH(C49),1)</f>
        <v>45931</v>
      </c>
      <c r="AG49">
        <f>E49-D49</f>
        <v>28</v>
      </c>
      <c r="AH49" s="6">
        <f t="shared" si="0"/>
        <v>65.223407518736948</v>
      </c>
    </row>
    <row r="50" spans="1:34">
      <c r="A50" t="s">
        <v>212</v>
      </c>
      <c r="B50" t="s">
        <v>213</v>
      </c>
      <c r="C50" s="1">
        <v>45713</v>
      </c>
      <c r="D50" s="1">
        <v>45715</v>
      </c>
      <c r="E50" s="1">
        <v>45736</v>
      </c>
      <c r="F50" t="s">
        <v>53</v>
      </c>
      <c r="G50" t="s">
        <v>54</v>
      </c>
      <c r="H50" t="s">
        <v>55</v>
      </c>
      <c r="I50" t="s">
        <v>87</v>
      </c>
      <c r="J50" t="s">
        <v>40</v>
      </c>
      <c r="K50" t="s">
        <v>41</v>
      </c>
      <c r="L50" t="s">
        <v>124</v>
      </c>
      <c r="M50" t="s">
        <v>108</v>
      </c>
      <c r="N50">
        <v>4</v>
      </c>
      <c r="O50" t="s">
        <v>105</v>
      </c>
      <c r="P50" s="48">
        <v>144414.64000000001</v>
      </c>
      <c r="Q50" s="48">
        <v>33954.26</v>
      </c>
      <c r="R50" s="48">
        <v>10902.21</v>
      </c>
      <c r="S50" s="48">
        <v>2386.81</v>
      </c>
      <c r="T50" s="48">
        <v>1444.15</v>
      </c>
      <c r="U50" s="48">
        <v>277.66000000000003</v>
      </c>
      <c r="V50" s="48">
        <v>1884.53</v>
      </c>
      <c r="W50" s="48">
        <v>93565.02</v>
      </c>
      <c r="X50">
        <v>0</v>
      </c>
      <c r="Y50" t="s">
        <v>45</v>
      </c>
      <c r="Z50">
        <v>282.95</v>
      </c>
      <c r="AA50" t="s">
        <v>46</v>
      </c>
      <c r="AB50" t="s">
        <v>47</v>
      </c>
      <c r="AC50" t="s">
        <v>48</v>
      </c>
      <c r="AD50" t="s">
        <v>61</v>
      </c>
      <c r="AE50" t="s">
        <v>102</v>
      </c>
      <c r="AF50" s="5">
        <f>DATE(YEAR(C50),MONTH(C50),1)</f>
        <v>45689</v>
      </c>
      <c r="AG50">
        <f>E50-D50</f>
        <v>21</v>
      </c>
      <c r="AH50" s="6">
        <f t="shared" si="0"/>
        <v>64.789151570782565</v>
      </c>
    </row>
    <row r="51" spans="1:34">
      <c r="A51" t="s">
        <v>214</v>
      </c>
      <c r="B51" t="s">
        <v>215</v>
      </c>
      <c r="C51" s="1">
        <v>45802</v>
      </c>
      <c r="D51" s="1">
        <v>45805</v>
      </c>
      <c r="E51" s="1">
        <v>45820</v>
      </c>
      <c r="F51" t="s">
        <v>36</v>
      </c>
      <c r="G51" t="s">
        <v>37</v>
      </c>
      <c r="H51" t="s">
        <v>38</v>
      </c>
      <c r="I51" t="s">
        <v>115</v>
      </c>
      <c r="J51" t="s">
        <v>98</v>
      </c>
      <c r="K51" t="s">
        <v>99</v>
      </c>
      <c r="L51" t="s">
        <v>127</v>
      </c>
      <c r="M51" t="s">
        <v>108</v>
      </c>
      <c r="N51">
        <v>4</v>
      </c>
      <c r="O51" t="s">
        <v>111</v>
      </c>
      <c r="P51" s="48">
        <v>143155.96</v>
      </c>
      <c r="Q51" s="48">
        <v>33948.49</v>
      </c>
      <c r="R51" s="48">
        <v>10473.030000000001</v>
      </c>
      <c r="S51" s="48">
        <v>3069.59</v>
      </c>
      <c r="T51" s="48">
        <v>1431.56</v>
      </c>
      <c r="U51" s="48">
        <v>847.87</v>
      </c>
      <c r="V51" s="48">
        <v>1734.94</v>
      </c>
      <c r="W51" s="48">
        <v>91650.48</v>
      </c>
      <c r="X51">
        <v>48</v>
      </c>
      <c r="Y51" t="s">
        <v>135</v>
      </c>
      <c r="Z51">
        <v>282.89999999999998</v>
      </c>
      <c r="AA51" t="s">
        <v>91</v>
      </c>
      <c r="AB51" t="s">
        <v>92</v>
      </c>
      <c r="AC51" t="s">
        <v>70</v>
      </c>
      <c r="AD51" t="s">
        <v>144</v>
      </c>
      <c r="AE51" t="s">
        <v>71</v>
      </c>
      <c r="AF51" s="5">
        <f>DATE(YEAR(C51),MONTH(C51),1)</f>
        <v>45778</v>
      </c>
      <c r="AG51">
        <f>E51-D51</f>
        <v>15</v>
      </c>
      <c r="AH51" s="6">
        <f t="shared" si="0"/>
        <v>64.021421113029447</v>
      </c>
    </row>
    <row r="52" spans="1:34">
      <c r="A52" t="s">
        <v>216</v>
      </c>
      <c r="B52" t="s">
        <v>217</v>
      </c>
      <c r="C52" s="1">
        <v>45780</v>
      </c>
      <c r="D52" s="1">
        <v>45784</v>
      </c>
      <c r="E52" s="1">
        <v>45795</v>
      </c>
      <c r="F52" t="s">
        <v>120</v>
      </c>
      <c r="G52" t="s">
        <v>75</v>
      </c>
      <c r="H52" t="s">
        <v>121</v>
      </c>
      <c r="I52" t="s">
        <v>40</v>
      </c>
      <c r="J52" t="s">
        <v>122</v>
      </c>
      <c r="K52" t="s">
        <v>123</v>
      </c>
      <c r="L52" t="s">
        <v>124</v>
      </c>
      <c r="M52" t="s">
        <v>108</v>
      </c>
      <c r="N52">
        <v>4</v>
      </c>
      <c r="O52" t="s">
        <v>80</v>
      </c>
      <c r="P52" s="48">
        <v>139286.81</v>
      </c>
      <c r="Q52" s="48">
        <v>33522.589999999997</v>
      </c>
      <c r="R52" s="48">
        <v>10258.620000000001</v>
      </c>
      <c r="S52" s="48">
        <v>1555.8</v>
      </c>
      <c r="T52" s="48">
        <v>1392.87</v>
      </c>
      <c r="U52" s="48">
        <v>880.03</v>
      </c>
      <c r="V52" s="48">
        <v>2016.39</v>
      </c>
      <c r="W52" s="48">
        <v>89660.51</v>
      </c>
      <c r="X52">
        <v>0</v>
      </c>
      <c r="Y52" t="s">
        <v>45</v>
      </c>
      <c r="Z52">
        <v>279.35000000000002</v>
      </c>
      <c r="AA52" t="s">
        <v>46</v>
      </c>
      <c r="AB52" t="s">
        <v>92</v>
      </c>
      <c r="AC52" t="s">
        <v>70</v>
      </c>
      <c r="AD52" t="s">
        <v>144</v>
      </c>
      <c r="AE52" t="s">
        <v>50</v>
      </c>
      <c r="AF52" s="5">
        <f>DATE(YEAR(C52),MONTH(C52),1)</f>
        <v>45778</v>
      </c>
      <c r="AG52">
        <f>E52-D52</f>
        <v>11</v>
      </c>
      <c r="AH52" s="6">
        <f t="shared" si="0"/>
        <v>64.371141818812561</v>
      </c>
    </row>
    <row r="53" spans="1:34">
      <c r="A53" t="s">
        <v>218</v>
      </c>
      <c r="B53" t="s">
        <v>219</v>
      </c>
      <c r="C53" s="1">
        <v>45991</v>
      </c>
      <c r="D53" s="1">
        <v>45992</v>
      </c>
      <c r="E53" s="1">
        <v>46015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 t="s">
        <v>41</v>
      </c>
      <c r="L53" t="s">
        <v>155</v>
      </c>
      <c r="M53" t="s">
        <v>43</v>
      </c>
      <c r="N53">
        <v>4</v>
      </c>
      <c r="O53" t="s">
        <v>89</v>
      </c>
      <c r="P53" s="48">
        <v>145862.13</v>
      </c>
      <c r="Q53" s="48">
        <v>33512.5</v>
      </c>
      <c r="R53" s="48">
        <v>6229.17</v>
      </c>
      <c r="S53" s="48">
        <v>1628.74</v>
      </c>
      <c r="T53" s="48">
        <v>1458.62</v>
      </c>
      <c r="U53" s="48">
        <v>496.39</v>
      </c>
      <c r="V53" s="48">
        <v>385.94</v>
      </c>
      <c r="W53" s="48">
        <v>102150.77</v>
      </c>
      <c r="X53">
        <v>12</v>
      </c>
      <c r="Y53" t="s">
        <v>112</v>
      </c>
      <c r="Z53">
        <v>279.27</v>
      </c>
      <c r="AA53" t="s">
        <v>91</v>
      </c>
      <c r="AB53" t="s">
        <v>92</v>
      </c>
      <c r="AC53" t="s">
        <v>70</v>
      </c>
      <c r="AD53" t="s">
        <v>144</v>
      </c>
      <c r="AE53" t="s">
        <v>71</v>
      </c>
      <c r="AF53" s="5">
        <f>DATE(YEAR(C53),MONTH(C53),1)</f>
        <v>45962</v>
      </c>
      <c r="AG53">
        <f>E53-D53</f>
        <v>23</v>
      </c>
      <c r="AH53" s="6">
        <f t="shared" si="0"/>
        <v>70.032413485254878</v>
      </c>
    </row>
    <row r="54" spans="1:34">
      <c r="A54" t="s">
        <v>220</v>
      </c>
      <c r="B54" t="s">
        <v>221</v>
      </c>
      <c r="C54" s="1">
        <v>45804</v>
      </c>
      <c r="D54" s="1">
        <v>45807</v>
      </c>
      <c r="E54" s="1">
        <v>45825</v>
      </c>
      <c r="F54" t="s">
        <v>153</v>
      </c>
      <c r="G54" t="s">
        <v>75</v>
      </c>
      <c r="H54" t="s">
        <v>154</v>
      </c>
      <c r="I54" t="s">
        <v>115</v>
      </c>
      <c r="J54" t="s">
        <v>98</v>
      </c>
      <c r="K54" t="s">
        <v>99</v>
      </c>
      <c r="L54" t="s">
        <v>127</v>
      </c>
      <c r="M54" t="s">
        <v>108</v>
      </c>
      <c r="N54">
        <v>4</v>
      </c>
      <c r="O54" t="s">
        <v>54</v>
      </c>
      <c r="P54" s="48">
        <v>164255.12</v>
      </c>
      <c r="Q54" s="48">
        <v>33440.879999999997</v>
      </c>
      <c r="R54" s="48">
        <v>8411.15</v>
      </c>
      <c r="S54" s="48">
        <v>3246.52</v>
      </c>
      <c r="T54" s="48">
        <v>1642.55</v>
      </c>
      <c r="U54" s="48">
        <v>882.46</v>
      </c>
      <c r="V54" s="48">
        <v>1953.29</v>
      </c>
      <c r="W54" s="48">
        <v>114678.27</v>
      </c>
      <c r="X54">
        <v>8</v>
      </c>
      <c r="Y54" t="s">
        <v>101</v>
      </c>
      <c r="Z54">
        <v>278.67</v>
      </c>
      <c r="AA54" t="s">
        <v>91</v>
      </c>
      <c r="AB54" t="s">
        <v>92</v>
      </c>
      <c r="AC54" t="s">
        <v>60</v>
      </c>
      <c r="AD54" t="s">
        <v>93</v>
      </c>
      <c r="AE54" t="s">
        <v>50</v>
      </c>
      <c r="AF54" s="5">
        <f>DATE(YEAR(C54),MONTH(C54),1)</f>
        <v>45778</v>
      </c>
      <c r="AG54">
        <f>E54-D54</f>
        <v>18</v>
      </c>
      <c r="AH54" s="6">
        <f t="shared" si="0"/>
        <v>69.817166125476021</v>
      </c>
    </row>
    <row r="55" spans="1:34">
      <c r="A55" t="s">
        <v>222</v>
      </c>
      <c r="B55" t="s">
        <v>223</v>
      </c>
      <c r="C55" s="1">
        <v>45963</v>
      </c>
      <c r="D55" s="1">
        <v>45965</v>
      </c>
      <c r="E55" s="1">
        <v>45976</v>
      </c>
      <c r="F55" t="s">
        <v>138</v>
      </c>
      <c r="G55" t="s">
        <v>139</v>
      </c>
      <c r="H55" t="s">
        <v>76</v>
      </c>
      <c r="I55" t="s">
        <v>115</v>
      </c>
      <c r="J55" t="s">
        <v>98</v>
      </c>
      <c r="K55" t="s">
        <v>99</v>
      </c>
      <c r="L55" t="s">
        <v>127</v>
      </c>
      <c r="M55" t="s">
        <v>43</v>
      </c>
      <c r="N55">
        <v>4</v>
      </c>
      <c r="O55" t="s">
        <v>44</v>
      </c>
      <c r="P55" s="48">
        <v>119600.62</v>
      </c>
      <c r="Q55" s="48">
        <v>33341.269999999997</v>
      </c>
      <c r="R55" s="48">
        <v>9142.11</v>
      </c>
      <c r="S55" s="48">
        <v>1976.59</v>
      </c>
      <c r="T55" s="48">
        <v>1196.01</v>
      </c>
      <c r="U55" s="48">
        <v>271.95</v>
      </c>
      <c r="V55" s="48">
        <v>1843.91</v>
      </c>
      <c r="W55" s="48">
        <v>71828.78</v>
      </c>
      <c r="X55">
        <v>36</v>
      </c>
      <c r="Y55" t="s">
        <v>101</v>
      </c>
      <c r="Z55">
        <v>277.83999999999997</v>
      </c>
      <c r="AA55" t="s">
        <v>91</v>
      </c>
      <c r="AB55" t="s">
        <v>92</v>
      </c>
      <c r="AC55" t="s">
        <v>60</v>
      </c>
      <c r="AD55" t="s">
        <v>130</v>
      </c>
      <c r="AE55" t="s">
        <v>102</v>
      </c>
      <c r="AF55" s="5">
        <f>DATE(YEAR(C55),MONTH(C55),1)</f>
        <v>45962</v>
      </c>
      <c r="AG55">
        <f>E55-D55</f>
        <v>11</v>
      </c>
      <c r="AH55" s="6">
        <f t="shared" si="0"/>
        <v>60.05719702790838</v>
      </c>
    </row>
    <row r="56" spans="1:34">
      <c r="A56" t="s">
        <v>224</v>
      </c>
      <c r="B56" t="s">
        <v>225</v>
      </c>
      <c r="C56" s="1">
        <v>46017</v>
      </c>
      <c r="D56" s="1">
        <v>46018</v>
      </c>
      <c r="E56" s="1">
        <v>46045</v>
      </c>
      <c r="F56" t="s">
        <v>36</v>
      </c>
      <c r="G56" t="s">
        <v>37</v>
      </c>
      <c r="H56" t="s">
        <v>38</v>
      </c>
      <c r="I56" t="s">
        <v>115</v>
      </c>
      <c r="J56" t="s">
        <v>98</v>
      </c>
      <c r="K56" t="s">
        <v>99</v>
      </c>
      <c r="L56" t="s">
        <v>155</v>
      </c>
      <c r="M56" t="s">
        <v>43</v>
      </c>
      <c r="N56">
        <v>4</v>
      </c>
      <c r="O56" t="s">
        <v>89</v>
      </c>
      <c r="P56" s="48">
        <v>126472.71</v>
      </c>
      <c r="Q56" s="48">
        <v>33300.370000000003</v>
      </c>
      <c r="R56" s="48">
        <v>6893.1</v>
      </c>
      <c r="S56" s="48">
        <v>1962.43</v>
      </c>
      <c r="T56" s="48">
        <v>1264.73</v>
      </c>
      <c r="U56" s="48">
        <v>695</v>
      </c>
      <c r="V56" s="48">
        <v>606.44000000000005</v>
      </c>
      <c r="W56" s="48">
        <v>81750.64</v>
      </c>
      <c r="X56">
        <v>12</v>
      </c>
      <c r="Y56" t="s">
        <v>117</v>
      </c>
      <c r="Z56">
        <v>277.5</v>
      </c>
      <c r="AA56" t="s">
        <v>91</v>
      </c>
      <c r="AB56" t="s">
        <v>92</v>
      </c>
      <c r="AC56" t="s">
        <v>48</v>
      </c>
      <c r="AD56" t="s">
        <v>49</v>
      </c>
      <c r="AE56" t="s">
        <v>102</v>
      </c>
      <c r="AF56" s="5">
        <f>DATE(YEAR(C56),MONTH(C56),1)</f>
        <v>45992</v>
      </c>
      <c r="AG56">
        <f>E56-D56</f>
        <v>27</v>
      </c>
      <c r="AH56" s="6">
        <f t="shared" si="0"/>
        <v>64.638956498994915</v>
      </c>
    </row>
    <row r="57" spans="1:34">
      <c r="A57" t="s">
        <v>226</v>
      </c>
      <c r="B57" t="s">
        <v>227</v>
      </c>
      <c r="C57" s="1">
        <v>45746</v>
      </c>
      <c r="D57" s="1">
        <v>45749</v>
      </c>
      <c r="E57" s="1">
        <v>45767</v>
      </c>
      <c r="F57" t="s">
        <v>149</v>
      </c>
      <c r="G57" t="s">
        <v>111</v>
      </c>
      <c r="H57" t="s">
        <v>150</v>
      </c>
      <c r="I57" t="s">
        <v>77</v>
      </c>
      <c r="J57" t="s">
        <v>39</v>
      </c>
      <c r="K57" t="s">
        <v>41</v>
      </c>
      <c r="L57" t="s">
        <v>127</v>
      </c>
      <c r="M57" t="s">
        <v>79</v>
      </c>
      <c r="N57">
        <v>4</v>
      </c>
      <c r="O57" t="s">
        <v>80</v>
      </c>
      <c r="P57" s="48">
        <v>111998.55</v>
      </c>
      <c r="Q57" s="48">
        <v>33270.339999999997</v>
      </c>
      <c r="R57" s="48">
        <v>8210.32</v>
      </c>
      <c r="S57" s="48">
        <v>2314.3200000000002</v>
      </c>
      <c r="T57" s="48">
        <v>1119.99</v>
      </c>
      <c r="U57" s="48">
        <v>801.44</v>
      </c>
      <c r="V57" s="48">
        <v>1292.54</v>
      </c>
      <c r="W57" s="48">
        <v>64989.599999999999</v>
      </c>
      <c r="X57">
        <v>0</v>
      </c>
      <c r="Y57" t="s">
        <v>45</v>
      </c>
      <c r="Z57">
        <v>277.25</v>
      </c>
      <c r="AA57" t="s">
        <v>46</v>
      </c>
      <c r="AB57" t="s">
        <v>92</v>
      </c>
      <c r="AC57" t="s">
        <v>48</v>
      </c>
      <c r="AD57" t="s">
        <v>93</v>
      </c>
      <c r="AE57" t="s">
        <v>71</v>
      </c>
      <c r="AF57" s="5">
        <f>DATE(YEAR(C57),MONTH(C57),1)</f>
        <v>45717</v>
      </c>
      <c r="AG57">
        <f>E57-D57</f>
        <v>18</v>
      </c>
      <c r="AH57" s="6">
        <f t="shared" si="0"/>
        <v>58.027179816167262</v>
      </c>
    </row>
    <row r="58" spans="1:34">
      <c r="A58" t="s">
        <v>228</v>
      </c>
      <c r="B58" t="s">
        <v>229</v>
      </c>
      <c r="C58" s="1">
        <v>45813</v>
      </c>
      <c r="D58" s="1">
        <v>45816</v>
      </c>
      <c r="E58" s="1">
        <v>45832</v>
      </c>
      <c r="F58" t="s">
        <v>65</v>
      </c>
      <c r="G58" t="s">
        <v>66</v>
      </c>
      <c r="H58" t="s">
        <v>67</v>
      </c>
      <c r="I58" t="s">
        <v>40</v>
      </c>
      <c r="J58" t="s">
        <v>122</v>
      </c>
      <c r="K58" t="s">
        <v>123</v>
      </c>
      <c r="L58" t="s">
        <v>116</v>
      </c>
      <c r="M58" t="s">
        <v>108</v>
      </c>
      <c r="N58">
        <v>4</v>
      </c>
      <c r="O58" t="s">
        <v>89</v>
      </c>
      <c r="P58" s="48">
        <v>168440.11</v>
      </c>
      <c r="Q58" s="48">
        <v>33196.870000000003</v>
      </c>
      <c r="R58" s="48">
        <v>8849.42</v>
      </c>
      <c r="S58" s="48">
        <v>1824.88</v>
      </c>
      <c r="T58" s="48">
        <v>1684.4</v>
      </c>
      <c r="U58" s="48">
        <v>488.53</v>
      </c>
      <c r="V58" s="48">
        <v>1627.48</v>
      </c>
      <c r="W58" s="48">
        <v>120768.53</v>
      </c>
      <c r="X58">
        <v>12</v>
      </c>
      <c r="Y58" t="s">
        <v>90</v>
      </c>
      <c r="Z58">
        <v>276.64</v>
      </c>
      <c r="AA58" t="s">
        <v>91</v>
      </c>
      <c r="AB58" t="s">
        <v>92</v>
      </c>
      <c r="AC58" t="s">
        <v>70</v>
      </c>
      <c r="AD58" t="s">
        <v>144</v>
      </c>
      <c r="AE58" t="s">
        <v>50</v>
      </c>
      <c r="AF58" s="5">
        <f>DATE(YEAR(C58),MONTH(C58),1)</f>
        <v>45809</v>
      </c>
      <c r="AG58">
        <f>E58-D58</f>
        <v>16</v>
      </c>
      <c r="AH58" s="6">
        <f t="shared" si="0"/>
        <v>71.698201811908106</v>
      </c>
    </row>
    <row r="59" spans="1:34">
      <c r="A59" t="s">
        <v>230</v>
      </c>
      <c r="B59" t="s">
        <v>231</v>
      </c>
      <c r="C59" s="1">
        <v>45907</v>
      </c>
      <c r="D59" s="1">
        <v>45910</v>
      </c>
      <c r="E59" s="1">
        <v>45921</v>
      </c>
      <c r="F59" t="s">
        <v>83</v>
      </c>
      <c r="G59" t="s">
        <v>84</v>
      </c>
      <c r="H59" t="s">
        <v>85</v>
      </c>
      <c r="I59" t="s">
        <v>40</v>
      </c>
      <c r="J59" t="s">
        <v>122</v>
      </c>
      <c r="K59" t="s">
        <v>123</v>
      </c>
      <c r="L59" t="s">
        <v>116</v>
      </c>
      <c r="M59" t="s">
        <v>108</v>
      </c>
      <c r="N59">
        <v>4</v>
      </c>
      <c r="O59" t="s">
        <v>44</v>
      </c>
      <c r="P59" s="48">
        <v>178225.09</v>
      </c>
      <c r="Q59" s="48">
        <v>32908.769999999997</v>
      </c>
      <c r="R59" s="48">
        <v>13627.97</v>
      </c>
      <c r="S59" s="48">
        <v>1871.51</v>
      </c>
      <c r="T59" s="48">
        <v>1782.25</v>
      </c>
      <c r="U59" s="48">
        <v>166.32</v>
      </c>
      <c r="V59" s="48">
        <v>972.16</v>
      </c>
      <c r="W59" s="48">
        <v>126896.11</v>
      </c>
      <c r="X59">
        <v>0</v>
      </c>
      <c r="Y59" t="s">
        <v>45</v>
      </c>
      <c r="Z59">
        <v>274.24</v>
      </c>
      <c r="AA59" t="s">
        <v>46</v>
      </c>
      <c r="AB59" t="s">
        <v>47</v>
      </c>
      <c r="AC59" t="s">
        <v>60</v>
      </c>
      <c r="AD59" t="s">
        <v>61</v>
      </c>
      <c r="AE59" t="s">
        <v>71</v>
      </c>
      <c r="AF59" s="5">
        <f>DATE(YEAR(C59),MONTH(C59),1)</f>
        <v>45901</v>
      </c>
      <c r="AG59">
        <f>E59-D59</f>
        <v>11</v>
      </c>
      <c r="AH59" s="6">
        <f t="shared" si="0"/>
        <v>71.199913547525767</v>
      </c>
    </row>
    <row r="60" spans="1:34">
      <c r="A60" t="s">
        <v>232</v>
      </c>
      <c r="B60" t="s">
        <v>233</v>
      </c>
      <c r="C60" s="1">
        <v>45752</v>
      </c>
      <c r="D60" s="1">
        <v>45754</v>
      </c>
      <c r="E60" s="1">
        <v>45780</v>
      </c>
      <c r="F60" t="s">
        <v>234</v>
      </c>
      <c r="G60" t="s">
        <v>111</v>
      </c>
      <c r="H60" t="s">
        <v>150</v>
      </c>
      <c r="I60" t="s">
        <v>86</v>
      </c>
      <c r="J60" t="s">
        <v>87</v>
      </c>
      <c r="K60" t="s">
        <v>88</v>
      </c>
      <c r="L60" t="s">
        <v>116</v>
      </c>
      <c r="M60" t="s">
        <v>79</v>
      </c>
      <c r="N60">
        <v>4</v>
      </c>
      <c r="O60" t="s">
        <v>80</v>
      </c>
      <c r="P60" s="48">
        <v>134562.76</v>
      </c>
      <c r="Q60" s="48">
        <v>32798.730000000003</v>
      </c>
      <c r="R60" s="48">
        <v>7585.9</v>
      </c>
      <c r="S60" s="48">
        <v>2424.13</v>
      </c>
      <c r="T60" s="48">
        <v>1345.63</v>
      </c>
      <c r="U60" s="48">
        <v>781.79</v>
      </c>
      <c r="V60" s="48">
        <v>359.86</v>
      </c>
      <c r="W60" s="48">
        <v>89266.72</v>
      </c>
      <c r="X60">
        <v>4</v>
      </c>
      <c r="Y60" t="s">
        <v>90</v>
      </c>
      <c r="Z60">
        <v>273.32</v>
      </c>
      <c r="AA60" t="s">
        <v>91</v>
      </c>
      <c r="AB60" t="s">
        <v>92</v>
      </c>
      <c r="AC60" t="s">
        <v>48</v>
      </c>
      <c r="AD60" t="s">
        <v>49</v>
      </c>
      <c r="AE60" t="s">
        <v>102</v>
      </c>
      <c r="AF60" s="5">
        <f>DATE(YEAR(C60),MONTH(C60),1)</f>
        <v>45748</v>
      </c>
      <c r="AG60">
        <f>E60-D60</f>
        <v>26</v>
      </c>
      <c r="AH60" s="6">
        <f t="shared" si="0"/>
        <v>66.33835393982703</v>
      </c>
    </row>
    <row r="61" spans="1:34">
      <c r="A61" t="s">
        <v>235</v>
      </c>
      <c r="B61" t="s">
        <v>236</v>
      </c>
      <c r="C61" s="1">
        <v>46002</v>
      </c>
      <c r="D61" s="1">
        <v>46004</v>
      </c>
      <c r="E61" s="1">
        <v>46020</v>
      </c>
      <c r="F61" t="s">
        <v>180</v>
      </c>
      <c r="G61" t="s">
        <v>181</v>
      </c>
      <c r="H61" t="s">
        <v>38</v>
      </c>
      <c r="I61" t="s">
        <v>56</v>
      </c>
      <c r="J61" t="s">
        <v>57</v>
      </c>
      <c r="K61" t="s">
        <v>58</v>
      </c>
      <c r="L61" t="s">
        <v>155</v>
      </c>
      <c r="M61" t="s">
        <v>108</v>
      </c>
      <c r="N61">
        <v>4</v>
      </c>
      <c r="O61" t="s">
        <v>69</v>
      </c>
      <c r="P61" s="48">
        <v>168624.75</v>
      </c>
      <c r="Q61" s="48">
        <v>32783.129999999997</v>
      </c>
      <c r="R61" s="48">
        <v>8027.06</v>
      </c>
      <c r="S61" s="48">
        <v>2354.21</v>
      </c>
      <c r="T61" s="48">
        <v>1686.25</v>
      </c>
      <c r="U61" s="48">
        <v>115.79</v>
      </c>
      <c r="V61" s="48">
        <v>1619.17</v>
      </c>
      <c r="W61" s="48">
        <v>122039.14</v>
      </c>
      <c r="X61">
        <v>0</v>
      </c>
      <c r="Y61" t="s">
        <v>45</v>
      </c>
      <c r="Z61">
        <v>273.19</v>
      </c>
      <c r="AA61" t="s">
        <v>46</v>
      </c>
      <c r="AB61" t="s">
        <v>92</v>
      </c>
      <c r="AC61" t="s">
        <v>48</v>
      </c>
      <c r="AD61" t="s">
        <v>49</v>
      </c>
      <c r="AE61" t="s">
        <v>102</v>
      </c>
      <c r="AF61" s="5">
        <f>DATE(YEAR(C61),MONTH(C61),1)</f>
        <v>45992</v>
      </c>
      <c r="AG61">
        <f>E61-D61</f>
        <v>16</v>
      </c>
      <c r="AH61" s="6">
        <f t="shared" si="0"/>
        <v>72.373207373176243</v>
      </c>
    </row>
    <row r="62" spans="1:34">
      <c r="A62" t="s">
        <v>237</v>
      </c>
      <c r="B62" t="s">
        <v>238</v>
      </c>
      <c r="C62" s="1">
        <v>45719</v>
      </c>
      <c r="D62" s="1">
        <v>45722</v>
      </c>
      <c r="E62" s="1">
        <v>45750</v>
      </c>
      <c r="F62" t="s">
        <v>74</v>
      </c>
      <c r="G62" t="s">
        <v>75</v>
      </c>
      <c r="H62" t="s">
        <v>76</v>
      </c>
      <c r="I62" t="s">
        <v>57</v>
      </c>
      <c r="J62" t="s">
        <v>98</v>
      </c>
      <c r="K62" t="s">
        <v>99</v>
      </c>
      <c r="L62" t="s">
        <v>42</v>
      </c>
      <c r="M62" t="s">
        <v>108</v>
      </c>
      <c r="N62">
        <v>4</v>
      </c>
      <c r="O62" t="s">
        <v>111</v>
      </c>
      <c r="P62" s="48">
        <v>149936.16</v>
      </c>
      <c r="Q62" s="48">
        <v>32687.62</v>
      </c>
      <c r="R62" s="48">
        <v>9054.77</v>
      </c>
      <c r="S62" s="48">
        <v>4003.93</v>
      </c>
      <c r="T62" s="48">
        <v>1499.36</v>
      </c>
      <c r="U62" s="48">
        <v>746.51</v>
      </c>
      <c r="V62" s="48">
        <v>2256.83</v>
      </c>
      <c r="W62" s="48">
        <v>99687.14</v>
      </c>
      <c r="X62">
        <v>0</v>
      </c>
      <c r="Y62" t="s">
        <v>45</v>
      </c>
      <c r="Z62">
        <v>272.39999999999998</v>
      </c>
      <c r="AA62" t="s">
        <v>46</v>
      </c>
      <c r="AB62" t="s">
        <v>47</v>
      </c>
      <c r="AC62" t="s">
        <v>70</v>
      </c>
      <c r="AD62" t="s">
        <v>49</v>
      </c>
      <c r="AE62" t="s">
        <v>50</v>
      </c>
      <c r="AF62" s="5">
        <f>DATE(YEAR(C62),MONTH(C62),1)</f>
        <v>45717</v>
      </c>
      <c r="AG62">
        <f>E62-D62</f>
        <v>28</v>
      </c>
      <c r="AH62" s="6">
        <f t="shared" si="0"/>
        <v>66.486389940892181</v>
      </c>
    </row>
    <row r="63" spans="1:34">
      <c r="A63" t="s">
        <v>239</v>
      </c>
      <c r="B63" t="s">
        <v>240</v>
      </c>
      <c r="C63" s="1">
        <v>45948</v>
      </c>
      <c r="D63" s="1">
        <v>45950</v>
      </c>
      <c r="E63" s="1">
        <v>45975</v>
      </c>
      <c r="F63" t="s">
        <v>96</v>
      </c>
      <c r="G63" t="s">
        <v>97</v>
      </c>
      <c r="H63" t="s">
        <v>76</v>
      </c>
      <c r="I63" t="s">
        <v>39</v>
      </c>
      <c r="J63" t="s">
        <v>57</v>
      </c>
      <c r="K63" t="s">
        <v>41</v>
      </c>
      <c r="L63" t="s">
        <v>78</v>
      </c>
      <c r="M63" t="s">
        <v>68</v>
      </c>
      <c r="N63">
        <v>4</v>
      </c>
      <c r="O63" t="s">
        <v>89</v>
      </c>
      <c r="P63" s="48">
        <v>129574.56</v>
      </c>
      <c r="Q63" s="48">
        <v>31923.19</v>
      </c>
      <c r="R63" s="48">
        <v>5480.87</v>
      </c>
      <c r="S63" s="48">
        <v>2551.4299999999998</v>
      </c>
      <c r="T63" s="48">
        <v>1295.75</v>
      </c>
      <c r="U63" s="48">
        <v>111.99</v>
      </c>
      <c r="V63" s="48">
        <v>2227.2199999999998</v>
      </c>
      <c r="W63" s="48">
        <v>85984.11</v>
      </c>
      <c r="X63">
        <v>8</v>
      </c>
      <c r="Y63" t="s">
        <v>101</v>
      </c>
      <c r="Z63">
        <v>266.02999999999997</v>
      </c>
      <c r="AA63" t="s">
        <v>91</v>
      </c>
      <c r="AB63" t="s">
        <v>92</v>
      </c>
      <c r="AC63" t="s">
        <v>70</v>
      </c>
      <c r="AD63" t="s">
        <v>130</v>
      </c>
      <c r="AE63" t="s">
        <v>102</v>
      </c>
      <c r="AF63" s="5">
        <f>DATE(YEAR(C63),MONTH(C63),1)</f>
        <v>45931</v>
      </c>
      <c r="AG63">
        <f>E63-D63</f>
        <v>25</v>
      </c>
      <c r="AH63" s="6">
        <f t="shared" si="0"/>
        <v>66.358789873567787</v>
      </c>
    </row>
    <row r="64" spans="1:34">
      <c r="A64" t="s">
        <v>241</v>
      </c>
      <c r="B64" t="s">
        <v>242</v>
      </c>
      <c r="C64" s="1">
        <v>45917</v>
      </c>
      <c r="D64" s="1">
        <v>45920</v>
      </c>
      <c r="E64" s="1">
        <v>45935</v>
      </c>
      <c r="F64" t="s">
        <v>96</v>
      </c>
      <c r="G64" t="s">
        <v>97</v>
      </c>
      <c r="H64" t="s">
        <v>76</v>
      </c>
      <c r="I64" t="s">
        <v>115</v>
      </c>
      <c r="J64" t="s">
        <v>98</v>
      </c>
      <c r="K64" t="s">
        <v>99</v>
      </c>
      <c r="L64" t="s">
        <v>116</v>
      </c>
      <c r="M64" t="s">
        <v>43</v>
      </c>
      <c r="N64">
        <v>4</v>
      </c>
      <c r="O64" t="s">
        <v>105</v>
      </c>
      <c r="P64" s="48">
        <v>168348.07</v>
      </c>
      <c r="Q64" s="48">
        <v>31828.2</v>
      </c>
      <c r="R64" s="48">
        <v>7444.01</v>
      </c>
      <c r="S64" s="48">
        <v>3222.31</v>
      </c>
      <c r="T64" s="48">
        <v>1683.48</v>
      </c>
      <c r="U64" s="48">
        <v>554.72</v>
      </c>
      <c r="V64" s="48">
        <v>1199.94</v>
      </c>
      <c r="W64" s="48">
        <v>122415.41</v>
      </c>
      <c r="X64">
        <v>0</v>
      </c>
      <c r="Y64" t="s">
        <v>45</v>
      </c>
      <c r="Z64">
        <v>265.24</v>
      </c>
      <c r="AA64" t="s">
        <v>46</v>
      </c>
      <c r="AB64" t="s">
        <v>92</v>
      </c>
      <c r="AC64" t="s">
        <v>70</v>
      </c>
      <c r="AD64" t="s">
        <v>144</v>
      </c>
      <c r="AE64" t="s">
        <v>62</v>
      </c>
      <c r="AF64" s="5">
        <f>DATE(YEAR(C64),MONTH(C64),1)</f>
        <v>45901</v>
      </c>
      <c r="AG64">
        <f>E64-D64</f>
        <v>15</v>
      </c>
      <c r="AH64" s="6">
        <f t="shared" si="0"/>
        <v>72.715659882527902</v>
      </c>
    </row>
    <row r="65" spans="1:34">
      <c r="A65" t="s">
        <v>243</v>
      </c>
      <c r="B65" t="s">
        <v>244</v>
      </c>
      <c r="C65" s="1">
        <v>45948</v>
      </c>
      <c r="D65" s="1">
        <v>45949</v>
      </c>
      <c r="E65" s="1">
        <v>45972</v>
      </c>
      <c r="F65" t="s">
        <v>153</v>
      </c>
      <c r="G65" t="s">
        <v>75</v>
      </c>
      <c r="H65" t="s">
        <v>154</v>
      </c>
      <c r="I65" t="s">
        <v>86</v>
      </c>
      <c r="J65" t="s">
        <v>87</v>
      </c>
      <c r="K65" t="s">
        <v>88</v>
      </c>
      <c r="L65" t="s">
        <v>127</v>
      </c>
      <c r="M65" t="s">
        <v>79</v>
      </c>
      <c r="N65">
        <v>4</v>
      </c>
      <c r="O65" t="s">
        <v>54</v>
      </c>
      <c r="P65" s="48">
        <v>152808.59</v>
      </c>
      <c r="Q65" s="48">
        <v>31790.34</v>
      </c>
      <c r="R65" s="48">
        <v>8460.76</v>
      </c>
      <c r="S65" s="48">
        <v>2288.75</v>
      </c>
      <c r="T65" s="48">
        <v>1528.09</v>
      </c>
      <c r="U65" s="48">
        <v>268.70999999999998</v>
      </c>
      <c r="V65" s="48">
        <v>1041.06</v>
      </c>
      <c r="W65" s="48">
        <v>107430.88</v>
      </c>
      <c r="X65">
        <v>8</v>
      </c>
      <c r="Y65" t="s">
        <v>101</v>
      </c>
      <c r="Z65">
        <v>264.92</v>
      </c>
      <c r="AA65" t="s">
        <v>91</v>
      </c>
      <c r="AB65" t="s">
        <v>47</v>
      </c>
      <c r="AC65" t="s">
        <v>70</v>
      </c>
      <c r="AD65" t="s">
        <v>49</v>
      </c>
      <c r="AE65" t="s">
        <v>71</v>
      </c>
      <c r="AF65" s="5">
        <f>DATE(YEAR(C65),MONTH(C65),1)</f>
        <v>45931</v>
      </c>
      <c r="AG65">
        <f>E65-D65</f>
        <v>23</v>
      </c>
      <c r="AH65" s="6">
        <f t="shared" si="0"/>
        <v>70.304215227691074</v>
      </c>
    </row>
    <row r="66" spans="1:34">
      <c r="A66" t="s">
        <v>245</v>
      </c>
      <c r="B66" t="s">
        <v>246</v>
      </c>
      <c r="C66" s="1">
        <v>45863</v>
      </c>
      <c r="D66" s="1">
        <v>45865</v>
      </c>
      <c r="E66" s="1">
        <v>45891</v>
      </c>
      <c r="F66" t="s">
        <v>138</v>
      </c>
      <c r="G66" t="s">
        <v>139</v>
      </c>
      <c r="H66" t="s">
        <v>76</v>
      </c>
      <c r="I66" t="s">
        <v>57</v>
      </c>
      <c r="J66" t="s">
        <v>98</v>
      </c>
      <c r="K66" t="s">
        <v>99</v>
      </c>
      <c r="L66" t="s">
        <v>116</v>
      </c>
      <c r="M66" t="s">
        <v>108</v>
      </c>
      <c r="N66">
        <v>4</v>
      </c>
      <c r="O66" t="s">
        <v>89</v>
      </c>
      <c r="P66" s="48">
        <v>160706.25</v>
      </c>
      <c r="Q66" s="48">
        <v>31670.46</v>
      </c>
      <c r="R66" s="48">
        <v>10279.629999999999</v>
      </c>
      <c r="S66" s="48">
        <v>4376.04</v>
      </c>
      <c r="T66" s="48">
        <v>1607.06</v>
      </c>
      <c r="U66" s="48">
        <v>821.74</v>
      </c>
      <c r="V66" s="48">
        <v>949.66</v>
      </c>
      <c r="W66" s="48">
        <v>111001.66</v>
      </c>
      <c r="X66">
        <v>48</v>
      </c>
      <c r="Y66" t="s">
        <v>112</v>
      </c>
      <c r="Z66">
        <v>263.92</v>
      </c>
      <c r="AA66" t="s">
        <v>91</v>
      </c>
      <c r="AB66" t="s">
        <v>92</v>
      </c>
      <c r="AC66" t="s">
        <v>70</v>
      </c>
      <c r="AD66" t="s">
        <v>49</v>
      </c>
      <c r="AE66" t="s">
        <v>62</v>
      </c>
      <c r="AF66" s="5">
        <f>DATE(YEAR(C66),MONTH(C66),1)</f>
        <v>45839</v>
      </c>
      <c r="AG66">
        <f>E66-D66</f>
        <v>26</v>
      </c>
      <c r="AH66" s="6">
        <f t="shared" si="0"/>
        <v>69.07115311321121</v>
      </c>
    </row>
    <row r="67" spans="1:34">
      <c r="A67" t="s">
        <v>247</v>
      </c>
      <c r="B67" t="s">
        <v>248</v>
      </c>
      <c r="C67" s="1">
        <v>45885</v>
      </c>
      <c r="D67" s="1">
        <v>45888</v>
      </c>
      <c r="E67" s="1">
        <v>45899</v>
      </c>
      <c r="F67" t="s">
        <v>120</v>
      </c>
      <c r="G67" t="s">
        <v>75</v>
      </c>
      <c r="H67" t="s">
        <v>121</v>
      </c>
      <c r="I67" t="s">
        <v>56</v>
      </c>
      <c r="J67" t="s">
        <v>57</v>
      </c>
      <c r="K67" t="s">
        <v>58</v>
      </c>
      <c r="L67" t="s">
        <v>124</v>
      </c>
      <c r="M67" t="s">
        <v>108</v>
      </c>
      <c r="N67">
        <v>4</v>
      </c>
      <c r="O67" t="s">
        <v>54</v>
      </c>
      <c r="P67" s="48">
        <v>115448.29</v>
      </c>
      <c r="Q67" s="48">
        <v>31610.99</v>
      </c>
      <c r="R67" s="48">
        <v>5786.18</v>
      </c>
      <c r="S67" s="48">
        <v>2993.9</v>
      </c>
      <c r="T67" s="48">
        <v>1154.48</v>
      </c>
      <c r="U67" s="48">
        <v>522.13</v>
      </c>
      <c r="V67" s="48">
        <v>1217.0899999999999</v>
      </c>
      <c r="W67" s="48">
        <v>72163.520000000004</v>
      </c>
      <c r="X67">
        <v>0</v>
      </c>
      <c r="Y67" t="s">
        <v>45</v>
      </c>
      <c r="Z67">
        <v>263.42</v>
      </c>
      <c r="AA67" t="s">
        <v>46</v>
      </c>
      <c r="AB67" t="s">
        <v>92</v>
      </c>
      <c r="AC67" t="s">
        <v>70</v>
      </c>
      <c r="AD67" t="s">
        <v>49</v>
      </c>
      <c r="AE67" t="s">
        <v>102</v>
      </c>
      <c r="AF67" s="5">
        <f>DATE(YEAR(C67),MONTH(C67),1)</f>
        <v>45870</v>
      </c>
      <c r="AG67">
        <f>E67-D67</f>
        <v>11</v>
      </c>
      <c r="AH67" s="6">
        <f t="shared" ref="AH67:AH130" si="1">W67/P67*100</f>
        <v>62.507222930716431</v>
      </c>
    </row>
    <row r="68" spans="1:34">
      <c r="A68" t="s">
        <v>249</v>
      </c>
      <c r="B68" t="s">
        <v>250</v>
      </c>
      <c r="C68" s="1">
        <v>45760</v>
      </c>
      <c r="D68" s="1">
        <v>45764</v>
      </c>
      <c r="E68" s="1">
        <v>45789</v>
      </c>
      <c r="F68" t="s">
        <v>234</v>
      </c>
      <c r="G68" t="s">
        <v>111</v>
      </c>
      <c r="H68" t="s">
        <v>150</v>
      </c>
      <c r="I68" t="s">
        <v>86</v>
      </c>
      <c r="J68" t="s">
        <v>87</v>
      </c>
      <c r="K68" t="s">
        <v>88</v>
      </c>
      <c r="L68" t="s">
        <v>127</v>
      </c>
      <c r="M68" t="s">
        <v>43</v>
      </c>
      <c r="N68">
        <v>4</v>
      </c>
      <c r="O68" t="s">
        <v>105</v>
      </c>
      <c r="P68" s="48">
        <v>129009.55</v>
      </c>
      <c r="Q68" s="48">
        <v>30918.37</v>
      </c>
      <c r="R68" s="48">
        <v>8288.0400000000009</v>
      </c>
      <c r="S68" s="48">
        <v>1925.46</v>
      </c>
      <c r="T68" s="48">
        <v>1290.0999999999999</v>
      </c>
      <c r="U68" s="48">
        <v>272.33</v>
      </c>
      <c r="V68" s="48">
        <v>311.58</v>
      </c>
      <c r="W68" s="48">
        <v>86003.67</v>
      </c>
      <c r="X68">
        <v>48</v>
      </c>
      <c r="Y68" t="s">
        <v>112</v>
      </c>
      <c r="Z68">
        <v>257.64999999999998</v>
      </c>
      <c r="AA68" t="s">
        <v>91</v>
      </c>
      <c r="AB68" t="s">
        <v>47</v>
      </c>
      <c r="AC68" t="s">
        <v>60</v>
      </c>
      <c r="AD68" t="s">
        <v>49</v>
      </c>
      <c r="AE68" t="s">
        <v>50</v>
      </c>
      <c r="AF68" s="5">
        <f>DATE(YEAR(C68),MONTH(C68),1)</f>
        <v>45748</v>
      </c>
      <c r="AG68">
        <f>E68-D68</f>
        <v>25</v>
      </c>
      <c r="AH68" s="6">
        <f t="shared" si="1"/>
        <v>66.664576382136048</v>
      </c>
    </row>
    <row r="69" spans="1:34">
      <c r="A69" t="s">
        <v>251</v>
      </c>
      <c r="B69" t="s">
        <v>252</v>
      </c>
      <c r="C69" s="1">
        <v>45663</v>
      </c>
      <c r="D69" s="1">
        <v>45665</v>
      </c>
      <c r="E69" s="1">
        <v>45690</v>
      </c>
      <c r="F69" t="s">
        <v>96</v>
      </c>
      <c r="G69" t="s">
        <v>97</v>
      </c>
      <c r="H69" t="s">
        <v>76</v>
      </c>
      <c r="I69" t="s">
        <v>57</v>
      </c>
      <c r="J69" t="s">
        <v>98</v>
      </c>
      <c r="K69" t="s">
        <v>99</v>
      </c>
      <c r="L69" t="s">
        <v>116</v>
      </c>
      <c r="M69" t="s">
        <v>43</v>
      </c>
      <c r="N69">
        <v>4</v>
      </c>
      <c r="O69" t="s">
        <v>105</v>
      </c>
      <c r="P69" s="48">
        <v>157135.89000000001</v>
      </c>
      <c r="Q69" s="48">
        <v>30719.41</v>
      </c>
      <c r="R69" s="48">
        <v>8426.2900000000009</v>
      </c>
      <c r="S69" s="48">
        <v>3885.69</v>
      </c>
      <c r="T69" s="48">
        <v>1571.36</v>
      </c>
      <c r="U69" s="48">
        <v>152.68</v>
      </c>
      <c r="V69" s="48">
        <v>974.1</v>
      </c>
      <c r="W69" s="48">
        <v>111406.36</v>
      </c>
      <c r="X69">
        <v>0</v>
      </c>
      <c r="Y69" t="s">
        <v>45</v>
      </c>
      <c r="Z69">
        <v>256</v>
      </c>
      <c r="AA69" t="s">
        <v>46</v>
      </c>
      <c r="AB69" t="s">
        <v>47</v>
      </c>
      <c r="AC69" t="s">
        <v>48</v>
      </c>
      <c r="AD69" t="s">
        <v>49</v>
      </c>
      <c r="AE69" t="s">
        <v>102</v>
      </c>
      <c r="AF69" s="5">
        <f>DATE(YEAR(C69),MONTH(C69),1)</f>
        <v>45658</v>
      </c>
      <c r="AG69">
        <f>E69-D69</f>
        <v>25</v>
      </c>
      <c r="AH69" s="6">
        <f t="shared" si="1"/>
        <v>70.898099727567015</v>
      </c>
    </row>
    <row r="70" spans="1:34">
      <c r="A70" t="s">
        <v>253</v>
      </c>
      <c r="B70" t="s">
        <v>254</v>
      </c>
      <c r="C70" s="1">
        <v>45921</v>
      </c>
      <c r="D70" s="1">
        <v>45922</v>
      </c>
      <c r="E70" s="1">
        <v>45941</v>
      </c>
      <c r="F70" t="s">
        <v>83</v>
      </c>
      <c r="G70" t="s">
        <v>84</v>
      </c>
      <c r="H70" t="s">
        <v>85</v>
      </c>
      <c r="I70" t="s">
        <v>122</v>
      </c>
      <c r="J70" t="s">
        <v>98</v>
      </c>
      <c r="K70" t="s">
        <v>41</v>
      </c>
      <c r="L70" t="s">
        <v>127</v>
      </c>
      <c r="M70" t="s">
        <v>68</v>
      </c>
      <c r="N70">
        <v>4</v>
      </c>
      <c r="O70" t="s">
        <v>69</v>
      </c>
      <c r="P70" s="48">
        <v>154292.03</v>
      </c>
      <c r="Q70" s="48">
        <v>30700.74</v>
      </c>
      <c r="R70" s="48">
        <v>11026.98</v>
      </c>
      <c r="S70" s="48">
        <v>2468.2600000000002</v>
      </c>
      <c r="T70" s="48">
        <v>1542.92</v>
      </c>
      <c r="U70" s="48">
        <v>476.23</v>
      </c>
      <c r="V70" s="48">
        <v>361.17</v>
      </c>
      <c r="W70" s="48">
        <v>107715.73</v>
      </c>
      <c r="X70">
        <v>48</v>
      </c>
      <c r="Y70" t="s">
        <v>112</v>
      </c>
      <c r="Z70">
        <v>255.84</v>
      </c>
      <c r="AA70" t="s">
        <v>91</v>
      </c>
      <c r="AB70" t="s">
        <v>92</v>
      </c>
      <c r="AC70" t="s">
        <v>70</v>
      </c>
      <c r="AD70" t="s">
        <v>130</v>
      </c>
      <c r="AE70" t="s">
        <v>71</v>
      </c>
      <c r="AF70" s="5">
        <f>DATE(YEAR(C70),MONTH(C70),1)</f>
        <v>45901</v>
      </c>
      <c r="AG70">
        <f>E70-D70</f>
        <v>19</v>
      </c>
      <c r="AH70" s="6">
        <f t="shared" si="1"/>
        <v>69.812893122217659</v>
      </c>
    </row>
    <row r="71" spans="1:34">
      <c r="A71" t="s">
        <v>255</v>
      </c>
      <c r="B71" t="s">
        <v>256</v>
      </c>
      <c r="C71" s="1">
        <v>45936</v>
      </c>
      <c r="D71" s="1">
        <v>45939</v>
      </c>
      <c r="E71" s="1">
        <v>45959</v>
      </c>
      <c r="F71" t="s">
        <v>36</v>
      </c>
      <c r="G71" t="s">
        <v>37</v>
      </c>
      <c r="H71" t="s">
        <v>38</v>
      </c>
      <c r="I71" t="s">
        <v>57</v>
      </c>
      <c r="J71" t="s">
        <v>98</v>
      </c>
      <c r="K71" t="s">
        <v>99</v>
      </c>
      <c r="L71" t="s">
        <v>116</v>
      </c>
      <c r="M71" t="s">
        <v>79</v>
      </c>
      <c r="N71">
        <v>4</v>
      </c>
      <c r="O71" t="s">
        <v>89</v>
      </c>
      <c r="P71" s="48">
        <v>163216.49</v>
      </c>
      <c r="Q71" s="48">
        <v>30689.14</v>
      </c>
      <c r="R71" s="48">
        <v>11660.53</v>
      </c>
      <c r="S71" s="48">
        <v>3227.77</v>
      </c>
      <c r="T71" s="48">
        <v>1632.16</v>
      </c>
      <c r="U71" s="48">
        <v>166.41</v>
      </c>
      <c r="V71" s="48">
        <v>979.14</v>
      </c>
      <c r="W71" s="48">
        <v>114861.34</v>
      </c>
      <c r="X71">
        <v>4</v>
      </c>
      <c r="Y71" t="s">
        <v>117</v>
      </c>
      <c r="Z71">
        <v>255.74</v>
      </c>
      <c r="AA71" t="s">
        <v>91</v>
      </c>
      <c r="AB71" t="s">
        <v>92</v>
      </c>
      <c r="AC71" t="s">
        <v>70</v>
      </c>
      <c r="AD71" t="s">
        <v>93</v>
      </c>
      <c r="AE71" t="s">
        <v>102</v>
      </c>
      <c r="AF71" s="5">
        <f>DATE(YEAR(C71),MONTH(C71),1)</f>
        <v>45931</v>
      </c>
      <c r="AG71">
        <f>E71-D71</f>
        <v>20</v>
      </c>
      <c r="AH71" s="6">
        <f t="shared" si="1"/>
        <v>70.373612372132257</v>
      </c>
    </row>
    <row r="72" spans="1:34">
      <c r="A72" t="s">
        <v>257</v>
      </c>
      <c r="B72" t="s">
        <v>258</v>
      </c>
      <c r="C72" s="1">
        <v>45877</v>
      </c>
      <c r="D72" s="1">
        <v>45881</v>
      </c>
      <c r="E72" s="1">
        <v>45894</v>
      </c>
      <c r="F72" t="s">
        <v>180</v>
      </c>
      <c r="G72" t="s">
        <v>181</v>
      </c>
      <c r="H72" t="s">
        <v>38</v>
      </c>
      <c r="I72" t="s">
        <v>56</v>
      </c>
      <c r="J72" t="s">
        <v>57</v>
      </c>
      <c r="K72" t="s">
        <v>58</v>
      </c>
      <c r="L72" t="s">
        <v>59</v>
      </c>
      <c r="M72" t="s">
        <v>79</v>
      </c>
      <c r="N72">
        <v>4</v>
      </c>
      <c r="O72" t="s">
        <v>80</v>
      </c>
      <c r="P72" s="48">
        <v>119517.65</v>
      </c>
      <c r="Q72" s="48">
        <v>30654.74</v>
      </c>
      <c r="R72" s="48">
        <v>9128.15</v>
      </c>
      <c r="S72" s="48">
        <v>1711.51</v>
      </c>
      <c r="T72" s="48">
        <v>1195.18</v>
      </c>
      <c r="U72" s="48">
        <v>213.58</v>
      </c>
      <c r="V72" s="48">
        <v>1766.18</v>
      </c>
      <c r="W72" s="48">
        <v>74848.31</v>
      </c>
      <c r="X72">
        <v>0</v>
      </c>
      <c r="Y72" t="s">
        <v>45</v>
      </c>
      <c r="Z72">
        <v>255.46</v>
      </c>
      <c r="AA72" t="s">
        <v>46</v>
      </c>
      <c r="AB72" t="s">
        <v>92</v>
      </c>
      <c r="AC72" t="s">
        <v>48</v>
      </c>
      <c r="AD72" t="s">
        <v>93</v>
      </c>
      <c r="AE72" t="s">
        <v>71</v>
      </c>
      <c r="AF72" s="5">
        <f>DATE(YEAR(C72),MONTH(C72),1)</f>
        <v>45870</v>
      </c>
      <c r="AG72">
        <f>E72-D72</f>
        <v>13</v>
      </c>
      <c r="AH72" s="6">
        <f t="shared" si="1"/>
        <v>62.625319356597117</v>
      </c>
    </row>
    <row r="73" spans="1:34">
      <c r="A73" t="s">
        <v>259</v>
      </c>
      <c r="B73" t="s">
        <v>260</v>
      </c>
      <c r="C73" s="1">
        <v>45677</v>
      </c>
      <c r="D73" s="1">
        <v>45679</v>
      </c>
      <c r="E73" s="1">
        <v>45693</v>
      </c>
      <c r="F73" t="s">
        <v>234</v>
      </c>
      <c r="G73" t="s">
        <v>111</v>
      </c>
      <c r="H73" t="s">
        <v>150</v>
      </c>
      <c r="I73" t="s">
        <v>40</v>
      </c>
      <c r="J73" t="s">
        <v>122</v>
      </c>
      <c r="K73" t="s">
        <v>123</v>
      </c>
      <c r="L73" t="s">
        <v>155</v>
      </c>
      <c r="M73" t="s">
        <v>108</v>
      </c>
      <c r="N73">
        <v>4</v>
      </c>
      <c r="O73" t="s">
        <v>80</v>
      </c>
      <c r="P73" s="48">
        <v>165009.53</v>
      </c>
      <c r="Q73" s="48">
        <v>30610.11</v>
      </c>
      <c r="R73" s="48">
        <v>6883.92</v>
      </c>
      <c r="S73" s="48">
        <v>3648.77</v>
      </c>
      <c r="T73" s="48">
        <v>1650.1</v>
      </c>
      <c r="U73" s="48">
        <v>192.6</v>
      </c>
      <c r="V73" s="48">
        <v>1485.77</v>
      </c>
      <c r="W73" s="48">
        <v>120538.26</v>
      </c>
      <c r="X73">
        <v>8</v>
      </c>
      <c r="Y73" t="s">
        <v>90</v>
      </c>
      <c r="Z73">
        <v>255.08</v>
      </c>
      <c r="AA73" t="s">
        <v>91</v>
      </c>
      <c r="AB73" t="s">
        <v>92</v>
      </c>
      <c r="AC73" t="s">
        <v>70</v>
      </c>
      <c r="AD73" t="s">
        <v>61</v>
      </c>
      <c r="AE73" t="s">
        <v>62</v>
      </c>
      <c r="AF73" s="5">
        <f>DATE(YEAR(C73),MONTH(C73),1)</f>
        <v>45658</v>
      </c>
      <c r="AG73">
        <f>E73-D73</f>
        <v>14</v>
      </c>
      <c r="AH73" s="6">
        <f t="shared" si="1"/>
        <v>73.049271760243172</v>
      </c>
    </row>
    <row r="74" spans="1:34">
      <c r="A74" t="s">
        <v>261</v>
      </c>
      <c r="B74" t="s">
        <v>262</v>
      </c>
      <c r="C74" s="1">
        <v>46005</v>
      </c>
      <c r="D74" s="1">
        <v>46007</v>
      </c>
      <c r="E74" s="1">
        <v>46033</v>
      </c>
      <c r="F74" t="s">
        <v>96</v>
      </c>
      <c r="G74" t="s">
        <v>97</v>
      </c>
      <c r="H74" t="s">
        <v>76</v>
      </c>
      <c r="I74" t="s">
        <v>86</v>
      </c>
      <c r="J74" t="s">
        <v>40</v>
      </c>
      <c r="K74" t="s">
        <v>41</v>
      </c>
      <c r="L74" t="s">
        <v>59</v>
      </c>
      <c r="M74" t="s">
        <v>108</v>
      </c>
      <c r="N74">
        <v>4</v>
      </c>
      <c r="O74" t="s">
        <v>89</v>
      </c>
      <c r="P74" s="48">
        <v>119181.84</v>
      </c>
      <c r="Q74" s="48">
        <v>30533.19</v>
      </c>
      <c r="R74" s="48">
        <v>4900.05</v>
      </c>
      <c r="S74" s="48">
        <v>1214.24</v>
      </c>
      <c r="T74" s="48">
        <v>1191.82</v>
      </c>
      <c r="U74" s="48">
        <v>586.70000000000005</v>
      </c>
      <c r="V74" s="48">
        <v>633.30999999999995</v>
      </c>
      <c r="W74" s="48">
        <v>80122.53</v>
      </c>
      <c r="X74">
        <v>8</v>
      </c>
      <c r="Y74" t="s">
        <v>117</v>
      </c>
      <c r="Z74">
        <v>254.44</v>
      </c>
      <c r="AA74" t="s">
        <v>91</v>
      </c>
      <c r="AB74" t="s">
        <v>47</v>
      </c>
      <c r="AC74" t="s">
        <v>70</v>
      </c>
      <c r="AD74" t="s">
        <v>93</v>
      </c>
      <c r="AE74" t="s">
        <v>71</v>
      </c>
      <c r="AF74" s="5">
        <f>DATE(YEAR(C74),MONTH(C74),1)</f>
        <v>45992</v>
      </c>
      <c r="AG74">
        <f>E74-D74</f>
        <v>26</v>
      </c>
      <c r="AH74" s="6">
        <f t="shared" si="1"/>
        <v>67.227129569404198</v>
      </c>
    </row>
    <row r="75" spans="1:34">
      <c r="A75" t="s">
        <v>263</v>
      </c>
      <c r="B75" t="s">
        <v>264</v>
      </c>
      <c r="C75" s="1">
        <v>45762</v>
      </c>
      <c r="D75" s="1">
        <v>45765</v>
      </c>
      <c r="E75" s="1">
        <v>45780</v>
      </c>
      <c r="F75" t="s">
        <v>153</v>
      </c>
      <c r="G75" t="s">
        <v>75</v>
      </c>
      <c r="H75" t="s">
        <v>154</v>
      </c>
      <c r="I75" t="s">
        <v>40</v>
      </c>
      <c r="J75" t="s">
        <v>122</v>
      </c>
      <c r="K75" t="s">
        <v>123</v>
      </c>
      <c r="L75" t="s">
        <v>116</v>
      </c>
      <c r="M75" t="s">
        <v>108</v>
      </c>
      <c r="N75">
        <v>4</v>
      </c>
      <c r="O75" t="s">
        <v>54</v>
      </c>
      <c r="P75" s="48">
        <v>142635.6</v>
      </c>
      <c r="Q75" s="48">
        <v>30530.48</v>
      </c>
      <c r="R75" s="48">
        <v>7586.08</v>
      </c>
      <c r="S75" s="48">
        <v>3484.74</v>
      </c>
      <c r="T75" s="48">
        <v>1426.36</v>
      </c>
      <c r="U75" s="48">
        <v>413.45</v>
      </c>
      <c r="V75" s="48">
        <v>1408.63</v>
      </c>
      <c r="W75" s="48">
        <v>97785.86</v>
      </c>
      <c r="X75">
        <v>0</v>
      </c>
      <c r="Y75" t="s">
        <v>45</v>
      </c>
      <c r="Z75">
        <v>254.42</v>
      </c>
      <c r="AA75" t="s">
        <v>46</v>
      </c>
      <c r="AB75" t="s">
        <v>92</v>
      </c>
      <c r="AC75" t="s">
        <v>60</v>
      </c>
      <c r="AD75" t="s">
        <v>130</v>
      </c>
      <c r="AE75" t="s">
        <v>102</v>
      </c>
      <c r="AF75" s="5">
        <f>DATE(YEAR(C75),MONTH(C75),1)</f>
        <v>45748</v>
      </c>
      <c r="AG75">
        <f>E75-D75</f>
        <v>15</v>
      </c>
      <c r="AH75" s="6">
        <f t="shared" si="1"/>
        <v>68.556419295042744</v>
      </c>
    </row>
    <row r="76" spans="1:34">
      <c r="A76" t="s">
        <v>265</v>
      </c>
      <c r="B76" t="s">
        <v>266</v>
      </c>
      <c r="C76" s="1">
        <v>45940</v>
      </c>
      <c r="D76" s="1">
        <v>45941</v>
      </c>
      <c r="E76" s="1">
        <v>45967</v>
      </c>
      <c r="F76" t="s">
        <v>65</v>
      </c>
      <c r="G76" t="s">
        <v>66</v>
      </c>
      <c r="H76" t="s">
        <v>67</v>
      </c>
      <c r="I76" t="s">
        <v>115</v>
      </c>
      <c r="J76" t="s">
        <v>40</v>
      </c>
      <c r="K76" t="s">
        <v>41</v>
      </c>
      <c r="L76" t="s">
        <v>100</v>
      </c>
      <c r="M76" t="s">
        <v>68</v>
      </c>
      <c r="N76">
        <v>4</v>
      </c>
      <c r="O76" t="s">
        <v>89</v>
      </c>
      <c r="P76" s="48">
        <v>153590.19</v>
      </c>
      <c r="Q76" s="48">
        <v>30482.12</v>
      </c>
      <c r="R76" s="48">
        <v>9838.39</v>
      </c>
      <c r="S76" s="48">
        <v>3060.26</v>
      </c>
      <c r="T76" s="48">
        <v>1535.9</v>
      </c>
      <c r="U76" s="48">
        <v>158.5</v>
      </c>
      <c r="V76" s="48">
        <v>881.64</v>
      </c>
      <c r="W76" s="48">
        <v>107633.38</v>
      </c>
      <c r="X76">
        <v>4</v>
      </c>
      <c r="Y76" t="s">
        <v>112</v>
      </c>
      <c r="Z76">
        <v>254.02</v>
      </c>
      <c r="AA76" t="s">
        <v>91</v>
      </c>
      <c r="AB76" t="s">
        <v>92</v>
      </c>
      <c r="AC76" t="s">
        <v>60</v>
      </c>
      <c r="AD76" t="s">
        <v>130</v>
      </c>
      <c r="AE76" t="s">
        <v>102</v>
      </c>
      <c r="AF76" s="5">
        <f>DATE(YEAR(C76),MONTH(C76),1)</f>
        <v>45931</v>
      </c>
      <c r="AG76">
        <f>E76-D76</f>
        <v>26</v>
      </c>
      <c r="AH76" s="6">
        <f t="shared" si="1"/>
        <v>70.078290807505354</v>
      </c>
    </row>
    <row r="77" spans="1:34">
      <c r="A77" t="s">
        <v>267</v>
      </c>
      <c r="B77" t="s">
        <v>268</v>
      </c>
      <c r="C77" s="1">
        <v>45827</v>
      </c>
      <c r="D77" s="1">
        <v>45831</v>
      </c>
      <c r="E77" s="1">
        <v>45859</v>
      </c>
      <c r="F77" t="s">
        <v>180</v>
      </c>
      <c r="G77" t="s">
        <v>181</v>
      </c>
      <c r="H77" t="s">
        <v>38</v>
      </c>
      <c r="I77" t="s">
        <v>56</v>
      </c>
      <c r="J77" t="s">
        <v>57</v>
      </c>
      <c r="K77" t="s">
        <v>58</v>
      </c>
      <c r="L77" t="s">
        <v>100</v>
      </c>
      <c r="M77" t="s">
        <v>68</v>
      </c>
      <c r="N77">
        <v>4</v>
      </c>
      <c r="O77" t="s">
        <v>54</v>
      </c>
      <c r="P77" s="48">
        <v>106978.89</v>
      </c>
      <c r="Q77" s="48">
        <v>30454.83</v>
      </c>
      <c r="R77" s="48">
        <v>8214.92</v>
      </c>
      <c r="S77" s="48">
        <v>1927.74</v>
      </c>
      <c r="T77" s="48">
        <v>1069.79</v>
      </c>
      <c r="U77" s="48">
        <v>592.91999999999996</v>
      </c>
      <c r="V77" s="48">
        <v>2343.71</v>
      </c>
      <c r="W77" s="48">
        <v>62374.98</v>
      </c>
      <c r="X77">
        <v>4</v>
      </c>
      <c r="Y77" t="s">
        <v>101</v>
      </c>
      <c r="Z77">
        <v>253.79</v>
      </c>
      <c r="AA77" t="s">
        <v>91</v>
      </c>
      <c r="AB77" t="s">
        <v>92</v>
      </c>
      <c r="AC77" t="s">
        <v>70</v>
      </c>
      <c r="AD77" t="s">
        <v>49</v>
      </c>
      <c r="AE77" t="s">
        <v>62</v>
      </c>
      <c r="AF77" s="5">
        <f>DATE(YEAR(C77),MONTH(C77),1)</f>
        <v>45809</v>
      </c>
      <c r="AG77">
        <f>E77-D77</f>
        <v>28</v>
      </c>
      <c r="AH77" s="6">
        <f t="shared" si="1"/>
        <v>58.305876981898017</v>
      </c>
    </row>
    <row r="78" spans="1:34">
      <c r="A78" t="s">
        <v>269</v>
      </c>
      <c r="B78" t="s">
        <v>270</v>
      </c>
      <c r="C78" s="1">
        <v>45885</v>
      </c>
      <c r="D78" s="1">
        <v>45888</v>
      </c>
      <c r="E78" s="1">
        <v>45913</v>
      </c>
      <c r="F78" t="s">
        <v>53</v>
      </c>
      <c r="G78" t="s">
        <v>54</v>
      </c>
      <c r="H78" t="s">
        <v>55</v>
      </c>
      <c r="I78" t="s">
        <v>39</v>
      </c>
      <c r="J78" t="s">
        <v>40</v>
      </c>
      <c r="K78" t="s">
        <v>41</v>
      </c>
      <c r="L78" t="s">
        <v>155</v>
      </c>
      <c r="M78" t="s">
        <v>108</v>
      </c>
      <c r="N78">
        <v>4</v>
      </c>
      <c r="O78" t="s">
        <v>80</v>
      </c>
      <c r="P78" s="48">
        <v>110894.71</v>
      </c>
      <c r="Q78" s="48">
        <v>30363.82</v>
      </c>
      <c r="R78" s="48">
        <v>6753.58</v>
      </c>
      <c r="S78" s="48">
        <v>1537.6</v>
      </c>
      <c r="T78" s="48">
        <v>1108.95</v>
      </c>
      <c r="U78" s="48">
        <v>665.94</v>
      </c>
      <c r="V78" s="48">
        <v>1308.7</v>
      </c>
      <c r="W78" s="48">
        <v>69156.12</v>
      </c>
      <c r="X78">
        <v>8</v>
      </c>
      <c r="Y78" t="s">
        <v>135</v>
      </c>
      <c r="Z78">
        <v>253.03</v>
      </c>
      <c r="AA78" t="s">
        <v>91</v>
      </c>
      <c r="AB78" t="s">
        <v>92</v>
      </c>
      <c r="AC78" t="s">
        <v>60</v>
      </c>
      <c r="AD78" t="s">
        <v>49</v>
      </c>
      <c r="AE78" t="s">
        <v>102</v>
      </c>
      <c r="AF78" s="5">
        <f>DATE(YEAR(C78),MONTH(C78),1)</f>
        <v>45870</v>
      </c>
      <c r="AG78">
        <f>E78-D78</f>
        <v>25</v>
      </c>
      <c r="AH78" s="6">
        <f t="shared" si="1"/>
        <v>62.361964786237309</v>
      </c>
    </row>
    <row r="79" spans="1:34">
      <c r="A79" t="s">
        <v>271</v>
      </c>
      <c r="B79" t="s">
        <v>272</v>
      </c>
      <c r="C79" s="1">
        <v>45743</v>
      </c>
      <c r="D79" s="1">
        <v>45744</v>
      </c>
      <c r="E79" s="1">
        <v>45772</v>
      </c>
      <c r="F79" t="s">
        <v>36</v>
      </c>
      <c r="G79" t="s">
        <v>37</v>
      </c>
      <c r="H79" t="s">
        <v>38</v>
      </c>
      <c r="I79" t="s">
        <v>57</v>
      </c>
      <c r="J79" t="s">
        <v>98</v>
      </c>
      <c r="K79" t="s">
        <v>99</v>
      </c>
      <c r="L79" t="s">
        <v>59</v>
      </c>
      <c r="M79" t="s">
        <v>108</v>
      </c>
      <c r="N79">
        <v>4</v>
      </c>
      <c r="O79" t="s">
        <v>69</v>
      </c>
      <c r="P79" s="48">
        <v>175692.18</v>
      </c>
      <c r="Q79" s="48">
        <v>30162.35</v>
      </c>
      <c r="R79" s="48">
        <v>7941.15</v>
      </c>
      <c r="S79" s="48">
        <v>4952.2700000000004</v>
      </c>
      <c r="T79" s="48">
        <v>1756.92</v>
      </c>
      <c r="U79" s="48">
        <v>845.11</v>
      </c>
      <c r="V79" s="48">
        <v>1979.48</v>
      </c>
      <c r="W79" s="48">
        <v>128054.9</v>
      </c>
      <c r="X79">
        <v>48</v>
      </c>
      <c r="Y79" t="s">
        <v>117</v>
      </c>
      <c r="Z79">
        <v>251.35</v>
      </c>
      <c r="AA79" t="s">
        <v>91</v>
      </c>
      <c r="AB79" t="s">
        <v>47</v>
      </c>
      <c r="AC79" t="s">
        <v>60</v>
      </c>
      <c r="AD79" t="s">
        <v>49</v>
      </c>
      <c r="AE79" t="s">
        <v>50</v>
      </c>
      <c r="AF79" s="5">
        <f>DATE(YEAR(C79),MONTH(C79),1)</f>
        <v>45717</v>
      </c>
      <c r="AG79">
        <f>E79-D79</f>
        <v>28</v>
      </c>
      <c r="AH79" s="6">
        <f t="shared" si="1"/>
        <v>72.88594176473876</v>
      </c>
    </row>
    <row r="80" spans="1:34">
      <c r="A80" t="s">
        <v>273</v>
      </c>
      <c r="B80" t="s">
        <v>274</v>
      </c>
      <c r="C80" s="1">
        <v>45786</v>
      </c>
      <c r="D80" s="1">
        <v>45788</v>
      </c>
      <c r="E80" s="1">
        <v>45804</v>
      </c>
      <c r="F80" t="s">
        <v>153</v>
      </c>
      <c r="G80" t="s">
        <v>75</v>
      </c>
      <c r="H80" t="s">
        <v>154</v>
      </c>
      <c r="I80" t="s">
        <v>40</v>
      </c>
      <c r="J80" t="s">
        <v>122</v>
      </c>
      <c r="K80" t="s">
        <v>123</v>
      </c>
      <c r="L80" t="s">
        <v>127</v>
      </c>
      <c r="M80" t="s">
        <v>79</v>
      </c>
      <c r="N80">
        <v>4</v>
      </c>
      <c r="O80" t="s">
        <v>44</v>
      </c>
      <c r="P80" s="48">
        <v>147516.07</v>
      </c>
      <c r="Q80" s="48">
        <v>29728.76</v>
      </c>
      <c r="R80" s="48">
        <v>6238.88</v>
      </c>
      <c r="S80" s="48">
        <v>2375.75</v>
      </c>
      <c r="T80" s="48">
        <v>1475.16</v>
      </c>
      <c r="U80" s="48">
        <v>177.19</v>
      </c>
      <c r="V80" s="48">
        <v>1633.17</v>
      </c>
      <c r="W80" s="48">
        <v>105887.16</v>
      </c>
      <c r="X80">
        <v>0</v>
      </c>
      <c r="Y80" t="s">
        <v>45</v>
      </c>
      <c r="Z80">
        <v>247.74</v>
      </c>
      <c r="AA80" t="s">
        <v>46</v>
      </c>
      <c r="AB80" t="s">
        <v>92</v>
      </c>
      <c r="AC80" t="s">
        <v>60</v>
      </c>
      <c r="AD80" t="s">
        <v>93</v>
      </c>
      <c r="AE80" t="s">
        <v>71</v>
      </c>
      <c r="AF80" s="5">
        <f>DATE(YEAR(C80),MONTH(C80),1)</f>
        <v>45778</v>
      </c>
      <c r="AG80">
        <f>E80-D80</f>
        <v>16</v>
      </c>
      <c r="AH80" s="6">
        <f t="shared" si="1"/>
        <v>71.78008470534769</v>
      </c>
    </row>
    <row r="81" spans="1:34">
      <c r="A81" t="s">
        <v>275</v>
      </c>
      <c r="B81" t="s">
        <v>276</v>
      </c>
      <c r="C81" s="1">
        <v>45769</v>
      </c>
      <c r="D81" s="1">
        <v>45772</v>
      </c>
      <c r="E81" s="1">
        <v>45783</v>
      </c>
      <c r="F81" t="s">
        <v>96</v>
      </c>
      <c r="G81" t="s">
        <v>97</v>
      </c>
      <c r="H81" t="s">
        <v>76</v>
      </c>
      <c r="I81" t="s">
        <v>56</v>
      </c>
      <c r="J81" t="s">
        <v>57</v>
      </c>
      <c r="K81" t="s">
        <v>58</v>
      </c>
      <c r="L81" t="s">
        <v>116</v>
      </c>
      <c r="M81" t="s">
        <v>43</v>
      </c>
      <c r="N81">
        <v>4</v>
      </c>
      <c r="O81" t="s">
        <v>111</v>
      </c>
      <c r="P81" s="48">
        <v>132421.69</v>
      </c>
      <c r="Q81" s="48">
        <v>29621.07</v>
      </c>
      <c r="R81" s="48">
        <v>10401.69</v>
      </c>
      <c r="S81" s="48">
        <v>2411.5100000000002</v>
      </c>
      <c r="T81" s="48">
        <v>1324.22</v>
      </c>
      <c r="U81" s="48">
        <v>686.08</v>
      </c>
      <c r="V81" s="48">
        <v>384.86</v>
      </c>
      <c r="W81" s="48">
        <v>87592.26</v>
      </c>
      <c r="X81">
        <v>0</v>
      </c>
      <c r="Y81" t="s">
        <v>45</v>
      </c>
      <c r="Z81">
        <v>246.84</v>
      </c>
      <c r="AA81" t="s">
        <v>46</v>
      </c>
      <c r="AB81" t="s">
        <v>92</v>
      </c>
      <c r="AC81" t="s">
        <v>48</v>
      </c>
      <c r="AD81" t="s">
        <v>93</v>
      </c>
      <c r="AE81" t="s">
        <v>62</v>
      </c>
      <c r="AF81" s="5">
        <f>DATE(YEAR(C81),MONTH(C81),1)</f>
        <v>45748</v>
      </c>
      <c r="AG81">
        <f>E81-D81</f>
        <v>11</v>
      </c>
      <c r="AH81" s="6">
        <f t="shared" si="1"/>
        <v>66.146459843549792</v>
      </c>
    </row>
    <row r="82" spans="1:34">
      <c r="A82" t="s">
        <v>277</v>
      </c>
      <c r="B82" t="s">
        <v>278</v>
      </c>
      <c r="C82" s="1">
        <v>45894</v>
      </c>
      <c r="D82" s="1">
        <v>45895</v>
      </c>
      <c r="E82" s="1">
        <v>45907</v>
      </c>
      <c r="F82" t="s">
        <v>180</v>
      </c>
      <c r="G82" t="s">
        <v>181</v>
      </c>
      <c r="H82" t="s">
        <v>38</v>
      </c>
      <c r="I82" t="s">
        <v>57</v>
      </c>
      <c r="J82" t="s">
        <v>98</v>
      </c>
      <c r="K82" t="s">
        <v>99</v>
      </c>
      <c r="L82" t="s">
        <v>124</v>
      </c>
      <c r="M82" t="s">
        <v>43</v>
      </c>
      <c r="N82">
        <v>4</v>
      </c>
      <c r="O82" t="s">
        <v>69</v>
      </c>
      <c r="P82" s="48">
        <v>134522.35</v>
      </c>
      <c r="Q82" s="48">
        <v>29533.24</v>
      </c>
      <c r="R82" s="48">
        <v>7656.27</v>
      </c>
      <c r="S82" s="48">
        <v>2518.65</v>
      </c>
      <c r="T82" s="48">
        <v>1345.22</v>
      </c>
      <c r="U82" s="48">
        <v>811.4</v>
      </c>
      <c r="V82" s="48">
        <v>1657.6</v>
      </c>
      <c r="W82" s="48">
        <v>90999.97</v>
      </c>
      <c r="X82">
        <v>8</v>
      </c>
      <c r="Y82" t="s">
        <v>117</v>
      </c>
      <c r="Z82">
        <v>246.11</v>
      </c>
      <c r="AA82" t="s">
        <v>91</v>
      </c>
      <c r="AB82" t="s">
        <v>92</v>
      </c>
      <c r="AC82" t="s">
        <v>60</v>
      </c>
      <c r="AD82" t="s">
        <v>49</v>
      </c>
      <c r="AE82" t="s">
        <v>50</v>
      </c>
      <c r="AF82" s="5">
        <f>DATE(YEAR(C82),MONTH(C82),1)</f>
        <v>45870</v>
      </c>
      <c r="AG82">
        <f>E82-D82</f>
        <v>12</v>
      </c>
      <c r="AH82" s="6">
        <f t="shared" si="1"/>
        <v>67.646729335311193</v>
      </c>
    </row>
    <row r="83" spans="1:34">
      <c r="A83" t="s">
        <v>279</v>
      </c>
      <c r="B83" t="s">
        <v>280</v>
      </c>
      <c r="C83" s="1">
        <v>45758</v>
      </c>
      <c r="D83" s="1">
        <v>45759</v>
      </c>
      <c r="E83" s="1">
        <v>45784</v>
      </c>
      <c r="F83" t="s">
        <v>234</v>
      </c>
      <c r="G83" t="s">
        <v>111</v>
      </c>
      <c r="H83" t="s">
        <v>150</v>
      </c>
      <c r="I83" t="s">
        <v>56</v>
      </c>
      <c r="J83" t="s">
        <v>57</v>
      </c>
      <c r="K83" t="s">
        <v>58</v>
      </c>
      <c r="L83" t="s">
        <v>127</v>
      </c>
      <c r="M83" t="s">
        <v>79</v>
      </c>
      <c r="N83">
        <v>4</v>
      </c>
      <c r="O83" t="s">
        <v>54</v>
      </c>
      <c r="P83" s="48">
        <v>141020.28</v>
      </c>
      <c r="Q83" s="48">
        <v>29204.22</v>
      </c>
      <c r="R83" s="48">
        <v>5696.26</v>
      </c>
      <c r="S83" s="48">
        <v>1545.02</v>
      </c>
      <c r="T83" s="48">
        <v>1410.2</v>
      </c>
      <c r="U83" s="48">
        <v>807.74</v>
      </c>
      <c r="V83" s="48">
        <v>2086.2399999999998</v>
      </c>
      <c r="W83" s="48">
        <v>100270.6</v>
      </c>
      <c r="X83">
        <v>4</v>
      </c>
      <c r="Y83" t="s">
        <v>117</v>
      </c>
      <c r="Z83">
        <v>243.37</v>
      </c>
      <c r="AA83" t="s">
        <v>91</v>
      </c>
      <c r="AB83" t="s">
        <v>92</v>
      </c>
      <c r="AC83" t="s">
        <v>70</v>
      </c>
      <c r="AD83" t="s">
        <v>49</v>
      </c>
      <c r="AE83" t="s">
        <v>71</v>
      </c>
      <c r="AF83" s="5">
        <f>DATE(YEAR(C83),MONTH(C83),1)</f>
        <v>45748</v>
      </c>
      <c r="AG83">
        <f>E83-D83</f>
        <v>25</v>
      </c>
      <c r="AH83" s="6">
        <f t="shared" si="1"/>
        <v>71.10367388293372</v>
      </c>
    </row>
    <row r="84" spans="1:34">
      <c r="A84" t="s">
        <v>281</v>
      </c>
      <c r="B84" t="s">
        <v>282</v>
      </c>
      <c r="C84" s="1">
        <v>45955</v>
      </c>
      <c r="D84" s="1">
        <v>45959</v>
      </c>
      <c r="E84" s="1">
        <v>45984</v>
      </c>
      <c r="F84" t="s">
        <v>74</v>
      </c>
      <c r="G84" t="s">
        <v>75</v>
      </c>
      <c r="H84" t="s">
        <v>76</v>
      </c>
      <c r="I84" t="s">
        <v>115</v>
      </c>
      <c r="J84" t="s">
        <v>98</v>
      </c>
      <c r="K84" t="s">
        <v>99</v>
      </c>
      <c r="L84" t="s">
        <v>42</v>
      </c>
      <c r="M84" t="s">
        <v>68</v>
      </c>
      <c r="N84">
        <v>4</v>
      </c>
      <c r="O84" t="s">
        <v>69</v>
      </c>
      <c r="P84" s="48">
        <v>113157.9</v>
      </c>
      <c r="Q84" s="48">
        <v>29142.35</v>
      </c>
      <c r="R84" s="48">
        <v>5035.18</v>
      </c>
      <c r="S84" s="48">
        <v>3048.41</v>
      </c>
      <c r="T84" s="48">
        <v>1131.58</v>
      </c>
      <c r="U84" s="48">
        <v>451.72</v>
      </c>
      <c r="V84" s="48">
        <v>2115.1999999999998</v>
      </c>
      <c r="W84" s="48">
        <v>72233.460000000006</v>
      </c>
      <c r="X84">
        <v>0</v>
      </c>
      <c r="Y84" t="s">
        <v>45</v>
      </c>
      <c r="Z84">
        <v>242.85</v>
      </c>
      <c r="AA84" t="s">
        <v>46</v>
      </c>
      <c r="AB84" t="s">
        <v>47</v>
      </c>
      <c r="AC84" t="s">
        <v>60</v>
      </c>
      <c r="AD84" t="s">
        <v>93</v>
      </c>
      <c r="AE84" t="s">
        <v>62</v>
      </c>
      <c r="AF84" s="5">
        <f>DATE(YEAR(C84),MONTH(C84),1)</f>
        <v>45931</v>
      </c>
      <c r="AG84">
        <f>E84-D84</f>
        <v>25</v>
      </c>
      <c r="AH84" s="6">
        <f t="shared" si="1"/>
        <v>63.834217496082914</v>
      </c>
    </row>
    <row r="85" spans="1:34">
      <c r="A85" t="s">
        <v>283</v>
      </c>
      <c r="B85" t="s">
        <v>284</v>
      </c>
      <c r="C85" s="1">
        <v>45877</v>
      </c>
      <c r="D85" s="1">
        <v>45878</v>
      </c>
      <c r="E85" s="1">
        <v>45900</v>
      </c>
      <c r="F85" t="s">
        <v>65</v>
      </c>
      <c r="G85" t="s">
        <v>66</v>
      </c>
      <c r="H85" t="s">
        <v>67</v>
      </c>
      <c r="I85" t="s">
        <v>56</v>
      </c>
      <c r="J85" t="s">
        <v>57</v>
      </c>
      <c r="K85" t="s">
        <v>58</v>
      </c>
      <c r="L85" t="s">
        <v>124</v>
      </c>
      <c r="M85" t="s">
        <v>108</v>
      </c>
      <c r="N85">
        <v>4</v>
      </c>
      <c r="O85" t="s">
        <v>80</v>
      </c>
      <c r="P85" s="48">
        <v>160633.66</v>
      </c>
      <c r="Q85" s="48">
        <v>29102.68</v>
      </c>
      <c r="R85" s="48">
        <v>8483.74</v>
      </c>
      <c r="S85" s="48">
        <v>4530.29</v>
      </c>
      <c r="T85" s="48">
        <v>1606.34</v>
      </c>
      <c r="U85" s="48">
        <v>761.71</v>
      </c>
      <c r="V85" s="48">
        <v>1140.1099999999999</v>
      </c>
      <c r="W85" s="48">
        <v>115008.79</v>
      </c>
      <c r="X85">
        <v>36</v>
      </c>
      <c r="Y85" t="s">
        <v>112</v>
      </c>
      <c r="Z85">
        <v>242.52</v>
      </c>
      <c r="AA85" t="s">
        <v>91</v>
      </c>
      <c r="AB85" t="s">
        <v>47</v>
      </c>
      <c r="AC85" t="s">
        <v>48</v>
      </c>
      <c r="AD85" t="s">
        <v>130</v>
      </c>
      <c r="AE85" t="s">
        <v>62</v>
      </c>
      <c r="AF85" s="5">
        <f>DATE(YEAR(C85),MONTH(C85),1)</f>
        <v>45870</v>
      </c>
      <c r="AG85">
        <f>E85-D85</f>
        <v>22</v>
      </c>
      <c r="AH85" s="6">
        <f t="shared" si="1"/>
        <v>71.596943006839282</v>
      </c>
    </row>
    <row r="86" spans="1:34">
      <c r="A86" t="s">
        <v>285</v>
      </c>
      <c r="B86" t="s">
        <v>286</v>
      </c>
      <c r="C86" s="1">
        <v>45703</v>
      </c>
      <c r="D86" s="1">
        <v>45704</v>
      </c>
      <c r="E86" s="1">
        <v>45715</v>
      </c>
      <c r="F86" t="s">
        <v>149</v>
      </c>
      <c r="G86" t="s">
        <v>111</v>
      </c>
      <c r="H86" t="s">
        <v>150</v>
      </c>
      <c r="I86" t="s">
        <v>56</v>
      </c>
      <c r="J86" t="s">
        <v>57</v>
      </c>
      <c r="K86" t="s">
        <v>58</v>
      </c>
      <c r="L86" t="s">
        <v>124</v>
      </c>
      <c r="M86" t="s">
        <v>108</v>
      </c>
      <c r="N86">
        <v>4</v>
      </c>
      <c r="O86" t="s">
        <v>54</v>
      </c>
      <c r="P86" s="48">
        <v>113678.73</v>
      </c>
      <c r="Q86" s="48">
        <v>28681.06</v>
      </c>
      <c r="R86" s="48">
        <v>6771.26</v>
      </c>
      <c r="S86" s="48">
        <v>2026.86</v>
      </c>
      <c r="T86" s="48">
        <v>1136.79</v>
      </c>
      <c r="U86" s="48">
        <v>271.17</v>
      </c>
      <c r="V86" s="48">
        <v>693.26</v>
      </c>
      <c r="W86" s="48">
        <v>74098.33</v>
      </c>
      <c r="X86">
        <v>24</v>
      </c>
      <c r="Y86" t="s">
        <v>135</v>
      </c>
      <c r="Z86">
        <v>239.01</v>
      </c>
      <c r="AA86" t="s">
        <v>91</v>
      </c>
      <c r="AB86" t="s">
        <v>47</v>
      </c>
      <c r="AC86" t="s">
        <v>60</v>
      </c>
      <c r="AD86" t="s">
        <v>93</v>
      </c>
      <c r="AE86" t="s">
        <v>50</v>
      </c>
      <c r="AF86" s="5">
        <f>DATE(YEAR(C86),MONTH(C86),1)</f>
        <v>45689</v>
      </c>
      <c r="AG86">
        <f>E86-D86</f>
        <v>11</v>
      </c>
      <c r="AH86" s="6">
        <f t="shared" si="1"/>
        <v>65.182228900692323</v>
      </c>
    </row>
    <row r="87" spans="1:34">
      <c r="A87" t="s">
        <v>287</v>
      </c>
      <c r="B87" t="s">
        <v>288</v>
      </c>
      <c r="C87" s="1">
        <v>45682</v>
      </c>
      <c r="D87" s="1">
        <v>45684</v>
      </c>
      <c r="E87" s="1">
        <v>45711</v>
      </c>
      <c r="F87" t="s">
        <v>149</v>
      </c>
      <c r="G87" t="s">
        <v>111</v>
      </c>
      <c r="H87" t="s">
        <v>150</v>
      </c>
      <c r="I87" t="s">
        <v>87</v>
      </c>
      <c r="J87" t="s">
        <v>115</v>
      </c>
      <c r="K87" t="s">
        <v>41</v>
      </c>
      <c r="L87" t="s">
        <v>100</v>
      </c>
      <c r="M87" t="s">
        <v>43</v>
      </c>
      <c r="N87">
        <v>4</v>
      </c>
      <c r="O87" t="s">
        <v>44</v>
      </c>
      <c r="P87" s="48">
        <v>153519.73000000001</v>
      </c>
      <c r="Q87" s="48">
        <v>28633.42</v>
      </c>
      <c r="R87" s="48">
        <v>8096.61</v>
      </c>
      <c r="S87" s="48">
        <v>2259.6799999999998</v>
      </c>
      <c r="T87" s="48">
        <v>1535.2</v>
      </c>
      <c r="U87" s="48">
        <v>338.57</v>
      </c>
      <c r="V87" s="48">
        <v>1877.22</v>
      </c>
      <c r="W87" s="48">
        <v>110779.03</v>
      </c>
      <c r="X87">
        <v>12</v>
      </c>
      <c r="Y87" t="s">
        <v>90</v>
      </c>
      <c r="Z87">
        <v>238.61</v>
      </c>
      <c r="AA87" t="s">
        <v>91</v>
      </c>
      <c r="AB87" t="s">
        <v>47</v>
      </c>
      <c r="AC87" t="s">
        <v>60</v>
      </c>
      <c r="AD87" t="s">
        <v>61</v>
      </c>
      <c r="AE87" t="s">
        <v>71</v>
      </c>
      <c r="AF87" s="5">
        <f>DATE(YEAR(C87),MONTH(C87),1)</f>
        <v>45658</v>
      </c>
      <c r="AG87">
        <f>E87-D87</f>
        <v>27</v>
      </c>
      <c r="AH87" s="6">
        <f t="shared" si="1"/>
        <v>72.15947422523476</v>
      </c>
    </row>
    <row r="88" spans="1:34">
      <c r="A88" t="s">
        <v>289</v>
      </c>
      <c r="B88" t="s">
        <v>290</v>
      </c>
      <c r="C88" s="1">
        <v>45805</v>
      </c>
      <c r="D88" s="1">
        <v>45809</v>
      </c>
      <c r="E88" s="1">
        <v>45827</v>
      </c>
      <c r="F88" t="s">
        <v>149</v>
      </c>
      <c r="G88" t="s">
        <v>111</v>
      </c>
      <c r="H88" t="s">
        <v>150</v>
      </c>
      <c r="I88" t="s">
        <v>57</v>
      </c>
      <c r="J88" t="s">
        <v>86</v>
      </c>
      <c r="K88" t="s">
        <v>41</v>
      </c>
      <c r="L88" t="s">
        <v>78</v>
      </c>
      <c r="M88" t="s">
        <v>68</v>
      </c>
      <c r="N88">
        <v>4</v>
      </c>
      <c r="O88" t="s">
        <v>89</v>
      </c>
      <c r="P88" s="48">
        <v>132295.76999999999</v>
      </c>
      <c r="Q88" s="48">
        <v>28605.11</v>
      </c>
      <c r="R88" s="48">
        <v>6655.42</v>
      </c>
      <c r="S88" s="48">
        <v>1972.62</v>
      </c>
      <c r="T88" s="48">
        <v>1322.96</v>
      </c>
      <c r="U88" s="48">
        <v>526.58000000000004</v>
      </c>
      <c r="V88" s="48">
        <v>1990.51</v>
      </c>
      <c r="W88" s="48">
        <v>91222.57</v>
      </c>
      <c r="X88">
        <v>0</v>
      </c>
      <c r="Y88" t="s">
        <v>45</v>
      </c>
      <c r="Z88">
        <v>238.38</v>
      </c>
      <c r="AA88" t="s">
        <v>46</v>
      </c>
      <c r="AB88" t="s">
        <v>92</v>
      </c>
      <c r="AC88" t="s">
        <v>70</v>
      </c>
      <c r="AD88" t="s">
        <v>130</v>
      </c>
      <c r="AE88" t="s">
        <v>50</v>
      </c>
      <c r="AF88" s="5">
        <f>DATE(YEAR(C88),MONTH(C88),1)</f>
        <v>45778</v>
      </c>
      <c r="AG88">
        <f>E88-D88</f>
        <v>18</v>
      </c>
      <c r="AH88" s="6">
        <f t="shared" si="1"/>
        <v>68.953504711450719</v>
      </c>
    </row>
    <row r="89" spans="1:34">
      <c r="A89" t="s">
        <v>291</v>
      </c>
      <c r="B89" t="s">
        <v>292</v>
      </c>
      <c r="C89" s="1">
        <v>45770</v>
      </c>
      <c r="D89" s="1">
        <v>45774</v>
      </c>
      <c r="E89" s="1">
        <v>45789</v>
      </c>
      <c r="F89" t="s">
        <v>74</v>
      </c>
      <c r="G89" t="s">
        <v>75</v>
      </c>
      <c r="H89" t="s">
        <v>76</v>
      </c>
      <c r="I89" t="s">
        <v>40</v>
      </c>
      <c r="J89" t="s">
        <v>122</v>
      </c>
      <c r="K89" t="s">
        <v>123</v>
      </c>
      <c r="L89" t="s">
        <v>155</v>
      </c>
      <c r="M89" t="s">
        <v>108</v>
      </c>
      <c r="N89">
        <v>4</v>
      </c>
      <c r="O89" t="s">
        <v>111</v>
      </c>
      <c r="P89" s="48">
        <v>115489.1</v>
      </c>
      <c r="Q89" s="48">
        <v>28503.34</v>
      </c>
      <c r="R89" s="48">
        <v>5367.86</v>
      </c>
      <c r="S89" s="48">
        <v>1519.93</v>
      </c>
      <c r="T89" s="48">
        <v>1154.8900000000001</v>
      </c>
      <c r="U89" s="48">
        <v>828.73</v>
      </c>
      <c r="V89" s="48">
        <v>407.53</v>
      </c>
      <c r="W89" s="48">
        <v>77706.820000000007</v>
      </c>
      <c r="X89">
        <v>48</v>
      </c>
      <c r="Y89" t="s">
        <v>90</v>
      </c>
      <c r="Z89">
        <v>237.53</v>
      </c>
      <c r="AA89" t="s">
        <v>91</v>
      </c>
      <c r="AB89" t="s">
        <v>47</v>
      </c>
      <c r="AC89" t="s">
        <v>48</v>
      </c>
      <c r="AD89" t="s">
        <v>93</v>
      </c>
      <c r="AE89" t="s">
        <v>102</v>
      </c>
      <c r="AF89" s="5">
        <f>DATE(YEAR(C89),MONTH(C89),1)</f>
        <v>45748</v>
      </c>
      <c r="AG89">
        <f>E89-D89</f>
        <v>15</v>
      </c>
      <c r="AH89" s="6">
        <f t="shared" si="1"/>
        <v>67.284981872748162</v>
      </c>
    </row>
    <row r="90" spans="1:34">
      <c r="A90" t="s">
        <v>293</v>
      </c>
      <c r="B90" t="s">
        <v>294</v>
      </c>
      <c r="C90" s="1">
        <v>45824</v>
      </c>
      <c r="D90" s="1">
        <v>45826</v>
      </c>
      <c r="E90" s="1">
        <v>45838</v>
      </c>
      <c r="F90" t="s">
        <v>153</v>
      </c>
      <c r="G90" t="s">
        <v>75</v>
      </c>
      <c r="H90" t="s">
        <v>154</v>
      </c>
      <c r="I90" t="s">
        <v>40</v>
      </c>
      <c r="J90" t="s">
        <v>39</v>
      </c>
      <c r="K90" t="s">
        <v>41</v>
      </c>
      <c r="L90" t="s">
        <v>116</v>
      </c>
      <c r="M90" t="s">
        <v>79</v>
      </c>
      <c r="N90">
        <v>4</v>
      </c>
      <c r="O90" t="s">
        <v>111</v>
      </c>
      <c r="P90" s="48">
        <v>136076.18</v>
      </c>
      <c r="Q90" s="48">
        <v>28343.57</v>
      </c>
      <c r="R90" s="48">
        <v>10762.09</v>
      </c>
      <c r="S90" s="48">
        <v>1516.11</v>
      </c>
      <c r="T90" s="48">
        <v>1360.76</v>
      </c>
      <c r="U90" s="48">
        <v>255.68</v>
      </c>
      <c r="V90" s="48">
        <v>1915.3</v>
      </c>
      <c r="W90" s="48">
        <v>91922.67</v>
      </c>
      <c r="X90">
        <v>4</v>
      </c>
      <c r="Y90" t="s">
        <v>135</v>
      </c>
      <c r="Z90">
        <v>236.2</v>
      </c>
      <c r="AA90" t="s">
        <v>91</v>
      </c>
      <c r="AB90" t="s">
        <v>92</v>
      </c>
      <c r="AC90" t="s">
        <v>70</v>
      </c>
      <c r="AD90" t="s">
        <v>93</v>
      </c>
      <c r="AE90" t="s">
        <v>62</v>
      </c>
      <c r="AF90" s="5">
        <f>DATE(YEAR(C90),MONTH(C90),1)</f>
        <v>45809</v>
      </c>
      <c r="AG90">
        <f>E90-D90</f>
        <v>12</v>
      </c>
      <c r="AH90" s="6">
        <f t="shared" si="1"/>
        <v>67.552359274047831</v>
      </c>
    </row>
    <row r="91" spans="1:34">
      <c r="A91" t="s">
        <v>295</v>
      </c>
      <c r="B91" t="s">
        <v>296</v>
      </c>
      <c r="C91" s="1">
        <v>45770</v>
      </c>
      <c r="D91" s="1">
        <v>45774</v>
      </c>
      <c r="E91" s="1">
        <v>45795</v>
      </c>
      <c r="F91" t="s">
        <v>120</v>
      </c>
      <c r="G91" t="s">
        <v>75</v>
      </c>
      <c r="H91" t="s">
        <v>121</v>
      </c>
      <c r="I91" t="s">
        <v>57</v>
      </c>
      <c r="J91" t="s">
        <v>98</v>
      </c>
      <c r="K91" t="s">
        <v>99</v>
      </c>
      <c r="L91" t="s">
        <v>124</v>
      </c>
      <c r="M91" t="s">
        <v>79</v>
      </c>
      <c r="N91">
        <v>4</v>
      </c>
      <c r="O91" t="s">
        <v>105</v>
      </c>
      <c r="P91" s="48">
        <v>148239.85</v>
      </c>
      <c r="Q91" s="48">
        <v>28329.27</v>
      </c>
      <c r="R91" s="48">
        <v>9642.8799999999992</v>
      </c>
      <c r="S91" s="48">
        <v>1931.94</v>
      </c>
      <c r="T91" s="48">
        <v>1482.4</v>
      </c>
      <c r="U91" s="48">
        <v>128.53</v>
      </c>
      <c r="V91" s="48">
        <v>745.26</v>
      </c>
      <c r="W91" s="48">
        <v>105979.57</v>
      </c>
      <c r="X91">
        <v>0</v>
      </c>
      <c r="Y91" t="s">
        <v>45</v>
      </c>
      <c r="Z91">
        <v>236.08</v>
      </c>
      <c r="AA91" t="s">
        <v>46</v>
      </c>
      <c r="AB91" t="s">
        <v>92</v>
      </c>
      <c r="AC91" t="s">
        <v>70</v>
      </c>
      <c r="AD91" t="s">
        <v>61</v>
      </c>
      <c r="AE91" t="s">
        <v>71</v>
      </c>
      <c r="AF91" s="5">
        <f>DATE(YEAR(C91),MONTH(C91),1)</f>
        <v>45748</v>
      </c>
      <c r="AG91">
        <f>E91-D91</f>
        <v>21</v>
      </c>
      <c r="AH91" s="6">
        <f t="shared" si="1"/>
        <v>71.491957122190826</v>
      </c>
    </row>
    <row r="92" spans="1:34">
      <c r="A92" t="s">
        <v>297</v>
      </c>
      <c r="B92" t="s">
        <v>298</v>
      </c>
      <c r="C92" s="1">
        <v>45702</v>
      </c>
      <c r="D92" s="1">
        <v>45703</v>
      </c>
      <c r="E92" s="1">
        <v>45718</v>
      </c>
      <c r="F92" t="s">
        <v>153</v>
      </c>
      <c r="G92" t="s">
        <v>75</v>
      </c>
      <c r="H92" t="s">
        <v>154</v>
      </c>
      <c r="I92" t="s">
        <v>86</v>
      </c>
      <c r="J92" t="s">
        <v>87</v>
      </c>
      <c r="K92" t="s">
        <v>88</v>
      </c>
      <c r="L92" t="s">
        <v>127</v>
      </c>
      <c r="M92" t="s">
        <v>79</v>
      </c>
      <c r="N92">
        <v>4</v>
      </c>
      <c r="O92" t="s">
        <v>44</v>
      </c>
      <c r="P92" s="48">
        <v>120501.48</v>
      </c>
      <c r="Q92" s="48">
        <v>28194.86</v>
      </c>
      <c r="R92" s="48">
        <v>8413</v>
      </c>
      <c r="S92" s="48">
        <v>1996.77</v>
      </c>
      <c r="T92" s="48">
        <v>1205.01</v>
      </c>
      <c r="U92" s="48">
        <v>512.83000000000004</v>
      </c>
      <c r="V92" s="48">
        <v>2480.4499999999998</v>
      </c>
      <c r="W92" s="48">
        <v>77698.559999999998</v>
      </c>
      <c r="X92">
        <v>4</v>
      </c>
      <c r="Y92" t="s">
        <v>90</v>
      </c>
      <c r="Z92">
        <v>234.96</v>
      </c>
      <c r="AA92" t="s">
        <v>91</v>
      </c>
      <c r="AB92" t="s">
        <v>92</v>
      </c>
      <c r="AC92" t="s">
        <v>48</v>
      </c>
      <c r="AD92" t="s">
        <v>61</v>
      </c>
      <c r="AE92" t="s">
        <v>50</v>
      </c>
      <c r="AF92" s="5">
        <f>DATE(YEAR(C92),MONTH(C92),1)</f>
        <v>45689</v>
      </c>
      <c r="AG92">
        <f>E92-D92</f>
        <v>15</v>
      </c>
      <c r="AH92" s="6">
        <f t="shared" si="1"/>
        <v>64.479340834651993</v>
      </c>
    </row>
    <row r="93" spans="1:34">
      <c r="A93" t="s">
        <v>299</v>
      </c>
      <c r="B93" t="s">
        <v>300</v>
      </c>
      <c r="C93" s="1">
        <v>45775</v>
      </c>
      <c r="D93" s="1">
        <v>45776</v>
      </c>
      <c r="E93" s="1">
        <v>45789</v>
      </c>
      <c r="F93" t="s">
        <v>180</v>
      </c>
      <c r="G93" t="s">
        <v>181</v>
      </c>
      <c r="H93" t="s">
        <v>38</v>
      </c>
      <c r="I93" t="s">
        <v>86</v>
      </c>
      <c r="J93" t="s">
        <v>87</v>
      </c>
      <c r="K93" t="s">
        <v>88</v>
      </c>
      <c r="L93" t="s">
        <v>127</v>
      </c>
      <c r="M93" t="s">
        <v>68</v>
      </c>
      <c r="N93">
        <v>4</v>
      </c>
      <c r="O93" t="s">
        <v>105</v>
      </c>
      <c r="P93" s="48">
        <v>159787.17000000001</v>
      </c>
      <c r="Q93" s="48">
        <v>28006.49</v>
      </c>
      <c r="R93" s="48">
        <v>12235.98</v>
      </c>
      <c r="S93" s="48">
        <v>3669.74</v>
      </c>
      <c r="T93" s="48">
        <v>1597.87</v>
      </c>
      <c r="U93" s="48">
        <v>333.88</v>
      </c>
      <c r="V93" s="48">
        <v>2249.33</v>
      </c>
      <c r="W93" s="48">
        <v>111693.88</v>
      </c>
      <c r="X93">
        <v>48</v>
      </c>
      <c r="Y93" t="s">
        <v>101</v>
      </c>
      <c r="Z93">
        <v>233.39</v>
      </c>
      <c r="AA93" t="s">
        <v>91</v>
      </c>
      <c r="AB93" t="s">
        <v>47</v>
      </c>
      <c r="AC93" t="s">
        <v>48</v>
      </c>
      <c r="AD93" t="s">
        <v>130</v>
      </c>
      <c r="AE93" t="s">
        <v>102</v>
      </c>
      <c r="AF93" s="5">
        <f>DATE(YEAR(C93),MONTH(C93),1)</f>
        <v>45748</v>
      </c>
      <c r="AG93">
        <f>E93-D93</f>
        <v>13</v>
      </c>
      <c r="AH93" s="6">
        <f t="shared" si="1"/>
        <v>69.901657310784088</v>
      </c>
    </row>
    <row r="94" spans="1:34">
      <c r="A94" t="s">
        <v>301</v>
      </c>
      <c r="B94" t="s">
        <v>302</v>
      </c>
      <c r="C94" s="1">
        <v>45694</v>
      </c>
      <c r="D94" s="1">
        <v>45696</v>
      </c>
      <c r="E94" s="1">
        <v>45706</v>
      </c>
      <c r="F94" t="s">
        <v>138</v>
      </c>
      <c r="G94" t="s">
        <v>139</v>
      </c>
      <c r="H94" t="s">
        <v>76</v>
      </c>
      <c r="I94" t="s">
        <v>56</v>
      </c>
      <c r="J94" t="s">
        <v>39</v>
      </c>
      <c r="K94" t="s">
        <v>41</v>
      </c>
      <c r="L94" t="s">
        <v>78</v>
      </c>
      <c r="M94" t="s">
        <v>68</v>
      </c>
      <c r="N94">
        <v>4</v>
      </c>
      <c r="O94" t="s">
        <v>69</v>
      </c>
      <c r="P94" s="48">
        <v>127201.79</v>
      </c>
      <c r="Q94" s="48">
        <v>27969.279999999999</v>
      </c>
      <c r="R94" s="48">
        <v>8650.66</v>
      </c>
      <c r="S94" s="48">
        <v>2987.94</v>
      </c>
      <c r="T94" s="48">
        <v>1272.02</v>
      </c>
      <c r="U94" s="48">
        <v>374.86</v>
      </c>
      <c r="V94" s="48">
        <v>1107.1199999999999</v>
      </c>
      <c r="W94" s="48">
        <v>84839.91</v>
      </c>
      <c r="X94">
        <v>0</v>
      </c>
      <c r="Y94" t="s">
        <v>45</v>
      </c>
      <c r="Z94">
        <v>233.08</v>
      </c>
      <c r="AA94" t="s">
        <v>46</v>
      </c>
      <c r="AB94" t="s">
        <v>92</v>
      </c>
      <c r="AC94" t="s">
        <v>70</v>
      </c>
      <c r="AD94" t="s">
        <v>61</v>
      </c>
      <c r="AE94" t="s">
        <v>71</v>
      </c>
      <c r="AF94" s="5">
        <f>DATE(YEAR(C94),MONTH(C94),1)</f>
        <v>45689</v>
      </c>
      <c r="AG94">
        <f>E94-D94</f>
        <v>10</v>
      </c>
      <c r="AH94" s="6">
        <f t="shared" si="1"/>
        <v>66.697103869371659</v>
      </c>
    </row>
    <row r="95" spans="1:34">
      <c r="A95" t="s">
        <v>303</v>
      </c>
      <c r="B95" t="s">
        <v>304</v>
      </c>
      <c r="C95" s="1">
        <v>45788</v>
      </c>
      <c r="D95" s="1">
        <v>45789</v>
      </c>
      <c r="E95" s="1">
        <v>45804</v>
      </c>
      <c r="F95" t="s">
        <v>83</v>
      </c>
      <c r="G95" t="s">
        <v>84</v>
      </c>
      <c r="H95" t="s">
        <v>85</v>
      </c>
      <c r="I95" t="s">
        <v>56</v>
      </c>
      <c r="J95" t="s">
        <v>57</v>
      </c>
      <c r="K95" t="s">
        <v>58</v>
      </c>
      <c r="L95" t="s">
        <v>116</v>
      </c>
      <c r="M95" t="s">
        <v>68</v>
      </c>
      <c r="N95">
        <v>4</v>
      </c>
      <c r="O95" t="s">
        <v>105</v>
      </c>
      <c r="P95" s="48">
        <v>134395.82999999999</v>
      </c>
      <c r="Q95" s="48">
        <v>27651.87</v>
      </c>
      <c r="R95" s="48">
        <v>6252.97</v>
      </c>
      <c r="S95" s="48">
        <v>1987.69</v>
      </c>
      <c r="T95" s="48">
        <v>1343.96</v>
      </c>
      <c r="U95" s="48">
        <v>220.24</v>
      </c>
      <c r="V95" s="48">
        <v>1996.44</v>
      </c>
      <c r="W95" s="48">
        <v>94942.66</v>
      </c>
      <c r="X95">
        <v>4</v>
      </c>
      <c r="Y95" t="s">
        <v>90</v>
      </c>
      <c r="Z95">
        <v>230.43</v>
      </c>
      <c r="AA95" t="s">
        <v>91</v>
      </c>
      <c r="AB95" t="s">
        <v>92</v>
      </c>
      <c r="AC95" t="s">
        <v>48</v>
      </c>
      <c r="AD95" t="s">
        <v>93</v>
      </c>
      <c r="AE95" t="s">
        <v>102</v>
      </c>
      <c r="AF95" s="5">
        <f>DATE(YEAR(C95),MONTH(C95),1)</f>
        <v>45778</v>
      </c>
      <c r="AG95">
        <f>E95-D95</f>
        <v>15</v>
      </c>
      <c r="AH95" s="6">
        <f t="shared" si="1"/>
        <v>70.644051976910305</v>
      </c>
    </row>
    <row r="96" spans="1:34">
      <c r="A96" t="s">
        <v>305</v>
      </c>
      <c r="B96" t="s">
        <v>306</v>
      </c>
      <c r="C96" s="1">
        <v>45808</v>
      </c>
      <c r="D96" s="1">
        <v>45812</v>
      </c>
      <c r="E96" s="1">
        <v>45823</v>
      </c>
      <c r="F96" t="s">
        <v>180</v>
      </c>
      <c r="G96" t="s">
        <v>181</v>
      </c>
      <c r="H96" t="s">
        <v>38</v>
      </c>
      <c r="I96" t="s">
        <v>56</v>
      </c>
      <c r="J96" t="s">
        <v>57</v>
      </c>
      <c r="K96" t="s">
        <v>58</v>
      </c>
      <c r="L96" t="s">
        <v>100</v>
      </c>
      <c r="M96" t="s">
        <v>43</v>
      </c>
      <c r="N96">
        <v>4</v>
      </c>
      <c r="O96" t="s">
        <v>105</v>
      </c>
      <c r="P96" s="48">
        <v>113699.48</v>
      </c>
      <c r="Q96" s="48">
        <v>27291.19</v>
      </c>
      <c r="R96" s="48">
        <v>6083.06</v>
      </c>
      <c r="S96" s="48">
        <v>1925.25</v>
      </c>
      <c r="T96" s="48">
        <v>1136.99</v>
      </c>
      <c r="U96" s="48">
        <v>353.02</v>
      </c>
      <c r="V96" s="48">
        <v>2496.67</v>
      </c>
      <c r="W96" s="48">
        <v>74413.3</v>
      </c>
      <c r="X96">
        <v>8</v>
      </c>
      <c r="Y96" t="s">
        <v>112</v>
      </c>
      <c r="Z96">
        <v>227.43</v>
      </c>
      <c r="AA96" t="s">
        <v>91</v>
      </c>
      <c r="AB96" t="s">
        <v>47</v>
      </c>
      <c r="AC96" t="s">
        <v>60</v>
      </c>
      <c r="AD96" t="s">
        <v>130</v>
      </c>
      <c r="AE96" t="s">
        <v>50</v>
      </c>
      <c r="AF96" s="5">
        <f>DATE(YEAR(C96),MONTH(C96),1)</f>
        <v>45778</v>
      </c>
      <c r="AG96">
        <f>E96-D96</f>
        <v>11</v>
      </c>
      <c r="AH96" s="6">
        <f t="shared" si="1"/>
        <v>65.447352969424315</v>
      </c>
    </row>
    <row r="97" spans="1:34">
      <c r="A97" t="s">
        <v>307</v>
      </c>
      <c r="B97" t="s">
        <v>308</v>
      </c>
      <c r="C97" s="1">
        <v>45988</v>
      </c>
      <c r="D97" s="1">
        <v>45989</v>
      </c>
      <c r="E97" s="1">
        <v>46009</v>
      </c>
      <c r="F97" t="s">
        <v>36</v>
      </c>
      <c r="G97" t="s">
        <v>37</v>
      </c>
      <c r="H97" t="s">
        <v>38</v>
      </c>
      <c r="I97" t="s">
        <v>86</v>
      </c>
      <c r="J97" t="s">
        <v>122</v>
      </c>
      <c r="K97" t="s">
        <v>41</v>
      </c>
      <c r="L97" t="s">
        <v>78</v>
      </c>
      <c r="M97" t="s">
        <v>79</v>
      </c>
      <c r="N97">
        <v>4</v>
      </c>
      <c r="O97" t="s">
        <v>54</v>
      </c>
      <c r="P97" s="48">
        <v>107409.92</v>
      </c>
      <c r="Q97" s="48">
        <v>27267.97</v>
      </c>
      <c r="R97" s="48">
        <v>7043.26</v>
      </c>
      <c r="S97" s="48">
        <v>1338.49</v>
      </c>
      <c r="T97" s="48">
        <v>1074.0999999999999</v>
      </c>
      <c r="U97" s="48">
        <v>579.78</v>
      </c>
      <c r="V97" s="48">
        <v>2415.75</v>
      </c>
      <c r="W97" s="48">
        <v>67690.570000000007</v>
      </c>
      <c r="X97">
        <v>4</v>
      </c>
      <c r="Y97" t="s">
        <v>117</v>
      </c>
      <c r="Z97">
        <v>227.23</v>
      </c>
      <c r="AA97" t="s">
        <v>91</v>
      </c>
      <c r="AB97" t="s">
        <v>92</v>
      </c>
      <c r="AC97" t="s">
        <v>70</v>
      </c>
      <c r="AD97" t="s">
        <v>93</v>
      </c>
      <c r="AE97" t="s">
        <v>62</v>
      </c>
      <c r="AF97" s="5">
        <f>DATE(YEAR(C97),MONTH(C97),1)</f>
        <v>45962</v>
      </c>
      <c r="AG97">
        <f>E97-D97</f>
        <v>20</v>
      </c>
      <c r="AH97" s="6">
        <f t="shared" si="1"/>
        <v>63.020780575946809</v>
      </c>
    </row>
    <row r="98" spans="1:34">
      <c r="A98" t="s">
        <v>309</v>
      </c>
      <c r="B98" t="s">
        <v>310</v>
      </c>
      <c r="C98" s="1">
        <v>45981</v>
      </c>
      <c r="D98" s="1">
        <v>45982</v>
      </c>
      <c r="E98" s="1">
        <v>45995</v>
      </c>
      <c r="F98" t="s">
        <v>53</v>
      </c>
      <c r="G98" t="s">
        <v>54</v>
      </c>
      <c r="H98" t="s">
        <v>55</v>
      </c>
      <c r="I98" t="s">
        <v>57</v>
      </c>
      <c r="J98" t="s">
        <v>98</v>
      </c>
      <c r="K98" t="s">
        <v>99</v>
      </c>
      <c r="L98" t="s">
        <v>127</v>
      </c>
      <c r="M98" t="s">
        <v>68</v>
      </c>
      <c r="N98">
        <v>4</v>
      </c>
      <c r="O98" t="s">
        <v>54</v>
      </c>
      <c r="P98" s="48">
        <v>134812.65</v>
      </c>
      <c r="Q98" s="48">
        <v>27135.41</v>
      </c>
      <c r="R98" s="48">
        <v>10666.82</v>
      </c>
      <c r="S98" s="48">
        <v>3899.88</v>
      </c>
      <c r="T98" s="48">
        <v>1348.13</v>
      </c>
      <c r="U98" s="48">
        <v>662.06</v>
      </c>
      <c r="V98" s="48">
        <v>1725.28</v>
      </c>
      <c r="W98" s="48">
        <v>89375.07</v>
      </c>
      <c r="X98">
        <v>24</v>
      </c>
      <c r="Y98" t="s">
        <v>135</v>
      </c>
      <c r="Z98">
        <v>226.13</v>
      </c>
      <c r="AA98" t="s">
        <v>91</v>
      </c>
      <c r="AB98" t="s">
        <v>92</v>
      </c>
      <c r="AC98" t="s">
        <v>48</v>
      </c>
      <c r="AD98" t="s">
        <v>130</v>
      </c>
      <c r="AE98" t="s">
        <v>62</v>
      </c>
      <c r="AF98" s="5">
        <f>DATE(YEAR(C98),MONTH(C98),1)</f>
        <v>45962</v>
      </c>
      <c r="AG98">
        <f>E98-D98</f>
        <v>13</v>
      </c>
      <c r="AH98" s="6">
        <f t="shared" si="1"/>
        <v>66.295759337124522</v>
      </c>
    </row>
    <row r="99" spans="1:34">
      <c r="A99" t="s">
        <v>311</v>
      </c>
      <c r="B99" t="s">
        <v>312</v>
      </c>
      <c r="C99" s="1">
        <v>45883</v>
      </c>
      <c r="D99" s="1">
        <v>45886</v>
      </c>
      <c r="E99" s="1">
        <v>45903</v>
      </c>
      <c r="F99" t="s">
        <v>234</v>
      </c>
      <c r="G99" t="s">
        <v>111</v>
      </c>
      <c r="H99" t="s">
        <v>150</v>
      </c>
      <c r="I99" t="s">
        <v>40</v>
      </c>
      <c r="J99" t="s">
        <v>122</v>
      </c>
      <c r="K99" t="s">
        <v>123</v>
      </c>
      <c r="L99" t="s">
        <v>42</v>
      </c>
      <c r="M99" t="s">
        <v>43</v>
      </c>
      <c r="N99">
        <v>4</v>
      </c>
      <c r="O99" t="s">
        <v>111</v>
      </c>
      <c r="P99" s="48">
        <v>137037.07999999999</v>
      </c>
      <c r="Q99" s="48">
        <v>27092.2</v>
      </c>
      <c r="R99" s="48">
        <v>9066.43</v>
      </c>
      <c r="S99" s="48">
        <v>1656.16</v>
      </c>
      <c r="T99" s="48">
        <v>1370.37</v>
      </c>
      <c r="U99" s="48">
        <v>558.13</v>
      </c>
      <c r="V99" s="48">
        <v>2441.62</v>
      </c>
      <c r="W99" s="48">
        <v>94852.17</v>
      </c>
      <c r="X99">
        <v>36</v>
      </c>
      <c r="Y99" t="s">
        <v>101</v>
      </c>
      <c r="Z99">
        <v>225.77</v>
      </c>
      <c r="AA99" t="s">
        <v>91</v>
      </c>
      <c r="AB99" t="s">
        <v>92</v>
      </c>
      <c r="AC99" t="s">
        <v>70</v>
      </c>
      <c r="AD99" t="s">
        <v>130</v>
      </c>
      <c r="AE99" t="s">
        <v>62</v>
      </c>
      <c r="AF99" s="5">
        <f>DATE(YEAR(C99),MONTH(C99),1)</f>
        <v>45870</v>
      </c>
      <c r="AG99">
        <f>E99-D99</f>
        <v>17</v>
      </c>
      <c r="AH99" s="6">
        <f t="shared" si="1"/>
        <v>69.216426678093271</v>
      </c>
    </row>
    <row r="100" spans="1:34">
      <c r="A100" t="s">
        <v>313</v>
      </c>
      <c r="B100" t="s">
        <v>314</v>
      </c>
      <c r="C100" s="1">
        <v>45689</v>
      </c>
      <c r="D100" s="1">
        <v>45693</v>
      </c>
      <c r="E100" s="1">
        <v>45710</v>
      </c>
      <c r="F100" t="s">
        <v>74</v>
      </c>
      <c r="G100" t="s">
        <v>75</v>
      </c>
      <c r="H100" t="s">
        <v>76</v>
      </c>
      <c r="I100" t="s">
        <v>40</v>
      </c>
      <c r="J100" t="s">
        <v>122</v>
      </c>
      <c r="K100" t="s">
        <v>123</v>
      </c>
      <c r="L100" t="s">
        <v>124</v>
      </c>
      <c r="M100" t="s">
        <v>43</v>
      </c>
      <c r="N100">
        <v>4</v>
      </c>
      <c r="O100" t="s">
        <v>89</v>
      </c>
      <c r="P100" s="48">
        <v>115409.44</v>
      </c>
      <c r="Q100" s="48">
        <v>26886</v>
      </c>
      <c r="R100" s="48">
        <v>5729.19</v>
      </c>
      <c r="S100" s="48">
        <v>1977.12</v>
      </c>
      <c r="T100" s="48">
        <v>1154.0899999999999</v>
      </c>
      <c r="U100" s="48">
        <v>307.77999999999997</v>
      </c>
      <c r="V100" s="48">
        <v>1631.17</v>
      </c>
      <c r="W100" s="48">
        <v>77724.09</v>
      </c>
      <c r="X100">
        <v>24</v>
      </c>
      <c r="Y100" t="s">
        <v>117</v>
      </c>
      <c r="Z100">
        <v>224.05</v>
      </c>
      <c r="AA100" t="s">
        <v>91</v>
      </c>
      <c r="AB100" t="s">
        <v>92</v>
      </c>
      <c r="AC100" t="s">
        <v>60</v>
      </c>
      <c r="AD100" t="s">
        <v>144</v>
      </c>
      <c r="AE100" t="s">
        <v>50</v>
      </c>
      <c r="AF100" s="5">
        <f>DATE(YEAR(C100),MONTH(C100),1)</f>
        <v>45689</v>
      </c>
      <c r="AG100">
        <f>E100-D100</f>
        <v>17</v>
      </c>
      <c r="AH100" s="6">
        <f t="shared" si="1"/>
        <v>67.346388648970134</v>
      </c>
    </row>
    <row r="101" spans="1:34">
      <c r="A101" t="s">
        <v>315</v>
      </c>
      <c r="B101" t="s">
        <v>316</v>
      </c>
      <c r="C101" s="1">
        <v>45927</v>
      </c>
      <c r="D101" s="1">
        <v>45929</v>
      </c>
      <c r="E101" s="1">
        <v>45943</v>
      </c>
      <c r="F101" t="s">
        <v>53</v>
      </c>
      <c r="G101" t="s">
        <v>54</v>
      </c>
      <c r="H101" t="s">
        <v>55</v>
      </c>
      <c r="I101" t="s">
        <v>57</v>
      </c>
      <c r="J101" t="s">
        <v>98</v>
      </c>
      <c r="K101" t="s">
        <v>99</v>
      </c>
      <c r="L101" t="s">
        <v>116</v>
      </c>
      <c r="M101" t="s">
        <v>43</v>
      </c>
      <c r="N101">
        <v>4</v>
      </c>
      <c r="O101" t="s">
        <v>111</v>
      </c>
      <c r="P101" s="48">
        <v>149529.88</v>
      </c>
      <c r="Q101" s="48">
        <v>26843.08</v>
      </c>
      <c r="R101" s="48">
        <v>6538.76</v>
      </c>
      <c r="S101" s="48">
        <v>2720.07</v>
      </c>
      <c r="T101" s="48">
        <v>1495.3</v>
      </c>
      <c r="U101" s="48">
        <v>752.59</v>
      </c>
      <c r="V101" s="48">
        <v>701.44</v>
      </c>
      <c r="W101" s="48">
        <v>110478.64</v>
      </c>
      <c r="X101">
        <v>0</v>
      </c>
      <c r="Y101" t="s">
        <v>45</v>
      </c>
      <c r="Z101">
        <v>223.69</v>
      </c>
      <c r="AA101" t="s">
        <v>46</v>
      </c>
      <c r="AB101" t="s">
        <v>92</v>
      </c>
      <c r="AC101" t="s">
        <v>70</v>
      </c>
      <c r="AD101" t="s">
        <v>144</v>
      </c>
      <c r="AE101" t="s">
        <v>102</v>
      </c>
      <c r="AF101" s="5">
        <f>DATE(YEAR(C101),MONTH(C101),1)</f>
        <v>45901</v>
      </c>
      <c r="AG101">
        <f>E101-D101</f>
        <v>14</v>
      </c>
      <c r="AH101" s="6">
        <f t="shared" si="1"/>
        <v>73.883988939200634</v>
      </c>
    </row>
    <row r="102" spans="1:34">
      <c r="A102" t="s">
        <v>317</v>
      </c>
      <c r="B102" t="s">
        <v>318</v>
      </c>
      <c r="C102" s="1">
        <v>45777</v>
      </c>
      <c r="D102" s="1">
        <v>45778</v>
      </c>
      <c r="E102" s="1">
        <v>45799</v>
      </c>
      <c r="F102" t="s">
        <v>153</v>
      </c>
      <c r="G102" t="s">
        <v>75</v>
      </c>
      <c r="H102" t="s">
        <v>154</v>
      </c>
      <c r="I102" t="s">
        <v>57</v>
      </c>
      <c r="J102" t="s">
        <v>98</v>
      </c>
      <c r="K102" t="s">
        <v>99</v>
      </c>
      <c r="L102" t="s">
        <v>116</v>
      </c>
      <c r="M102" t="s">
        <v>79</v>
      </c>
      <c r="N102">
        <v>4</v>
      </c>
      <c r="O102" t="s">
        <v>111</v>
      </c>
      <c r="P102" s="48">
        <v>96042.93</v>
      </c>
      <c r="Q102" s="48">
        <v>26793.25</v>
      </c>
      <c r="R102" s="48">
        <v>5017.38</v>
      </c>
      <c r="S102" s="48">
        <v>1611.01</v>
      </c>
      <c r="T102" s="48">
        <v>960.43</v>
      </c>
      <c r="U102" s="48">
        <v>327.27999999999997</v>
      </c>
      <c r="V102" s="48">
        <v>1249.8599999999999</v>
      </c>
      <c r="W102" s="48">
        <v>60083.72</v>
      </c>
      <c r="X102">
        <v>12</v>
      </c>
      <c r="Y102" t="s">
        <v>101</v>
      </c>
      <c r="Z102">
        <v>223.28</v>
      </c>
      <c r="AA102" t="s">
        <v>91</v>
      </c>
      <c r="AB102" t="s">
        <v>47</v>
      </c>
      <c r="AC102" t="s">
        <v>60</v>
      </c>
      <c r="AD102" t="s">
        <v>144</v>
      </c>
      <c r="AE102" t="s">
        <v>62</v>
      </c>
      <c r="AF102" s="5">
        <f>DATE(YEAR(C102),MONTH(C102),1)</f>
        <v>45748</v>
      </c>
      <c r="AG102">
        <f>E102-D102</f>
        <v>21</v>
      </c>
      <c r="AH102" s="6">
        <f t="shared" si="1"/>
        <v>62.559232626493177</v>
      </c>
    </row>
    <row r="103" spans="1:34">
      <c r="A103" t="s">
        <v>319</v>
      </c>
      <c r="B103" t="s">
        <v>320</v>
      </c>
      <c r="C103" s="1">
        <v>45881</v>
      </c>
      <c r="D103" s="1">
        <v>45882</v>
      </c>
      <c r="E103" s="1">
        <v>45909</v>
      </c>
      <c r="F103" t="s">
        <v>153</v>
      </c>
      <c r="G103" t="s">
        <v>75</v>
      </c>
      <c r="H103" t="s">
        <v>154</v>
      </c>
      <c r="I103" t="s">
        <v>40</v>
      </c>
      <c r="J103" t="s">
        <v>122</v>
      </c>
      <c r="K103" t="s">
        <v>123</v>
      </c>
      <c r="L103" t="s">
        <v>127</v>
      </c>
      <c r="M103" t="s">
        <v>108</v>
      </c>
      <c r="N103">
        <v>4</v>
      </c>
      <c r="O103" t="s">
        <v>44</v>
      </c>
      <c r="P103" s="48">
        <v>126240.95</v>
      </c>
      <c r="Q103" s="48">
        <v>26738.93</v>
      </c>
      <c r="R103" s="48">
        <v>5801.94</v>
      </c>
      <c r="S103" s="48">
        <v>1405.76</v>
      </c>
      <c r="T103" s="48">
        <v>1262.4100000000001</v>
      </c>
      <c r="U103" s="48">
        <v>378.13</v>
      </c>
      <c r="V103" s="48">
        <v>2469.0700000000002</v>
      </c>
      <c r="W103" s="48">
        <v>88184.71</v>
      </c>
      <c r="X103">
        <v>48</v>
      </c>
      <c r="Y103" t="s">
        <v>112</v>
      </c>
      <c r="Z103">
        <v>222.82</v>
      </c>
      <c r="AA103" t="s">
        <v>91</v>
      </c>
      <c r="AB103" t="s">
        <v>47</v>
      </c>
      <c r="AC103" t="s">
        <v>48</v>
      </c>
      <c r="AD103" t="s">
        <v>93</v>
      </c>
      <c r="AE103" t="s">
        <v>50</v>
      </c>
      <c r="AF103" s="5">
        <f>DATE(YEAR(C103),MONTH(C103),1)</f>
        <v>45870</v>
      </c>
      <c r="AG103">
        <f>E103-D103</f>
        <v>27</v>
      </c>
      <c r="AH103" s="6">
        <f t="shared" si="1"/>
        <v>69.854282623823735</v>
      </c>
    </row>
    <row r="104" spans="1:34">
      <c r="A104" t="s">
        <v>321</v>
      </c>
      <c r="B104" t="s">
        <v>322</v>
      </c>
      <c r="C104" s="1">
        <v>45947</v>
      </c>
      <c r="D104" s="1">
        <v>45951</v>
      </c>
      <c r="E104" s="1">
        <v>45976</v>
      </c>
      <c r="F104" t="s">
        <v>53</v>
      </c>
      <c r="G104" t="s">
        <v>54</v>
      </c>
      <c r="H104" t="s">
        <v>55</v>
      </c>
      <c r="I104" t="s">
        <v>86</v>
      </c>
      <c r="J104" t="s">
        <v>87</v>
      </c>
      <c r="K104" t="s">
        <v>88</v>
      </c>
      <c r="L104" t="s">
        <v>42</v>
      </c>
      <c r="M104" t="s">
        <v>79</v>
      </c>
      <c r="N104">
        <v>4</v>
      </c>
      <c r="O104" t="s">
        <v>111</v>
      </c>
      <c r="P104" s="48">
        <v>106294.72</v>
      </c>
      <c r="Q104" s="48">
        <v>26561.79</v>
      </c>
      <c r="R104" s="48">
        <v>5927.72</v>
      </c>
      <c r="S104" s="48">
        <v>2041.26</v>
      </c>
      <c r="T104" s="48">
        <v>1062.95</v>
      </c>
      <c r="U104" s="48">
        <v>626.04999999999995</v>
      </c>
      <c r="V104" s="48">
        <v>1933.04</v>
      </c>
      <c r="W104" s="48">
        <v>68141.91</v>
      </c>
      <c r="X104">
        <v>48</v>
      </c>
      <c r="Y104" t="s">
        <v>90</v>
      </c>
      <c r="Z104">
        <v>221.35</v>
      </c>
      <c r="AA104" t="s">
        <v>91</v>
      </c>
      <c r="AB104" t="s">
        <v>92</v>
      </c>
      <c r="AC104" t="s">
        <v>48</v>
      </c>
      <c r="AD104" t="s">
        <v>49</v>
      </c>
      <c r="AE104" t="s">
        <v>50</v>
      </c>
      <c r="AF104" s="5">
        <f>DATE(YEAR(C104),MONTH(C104),1)</f>
        <v>45931</v>
      </c>
      <c r="AG104">
        <f>E104-D104</f>
        <v>25</v>
      </c>
      <c r="AH104" s="6">
        <f t="shared" si="1"/>
        <v>64.106580270402901</v>
      </c>
    </row>
    <row r="105" spans="1:34">
      <c r="A105" t="s">
        <v>323</v>
      </c>
      <c r="B105" t="s">
        <v>324</v>
      </c>
      <c r="C105" s="1">
        <v>45784</v>
      </c>
      <c r="D105" s="1">
        <v>45787</v>
      </c>
      <c r="E105" s="1">
        <v>45810</v>
      </c>
      <c r="F105" t="s">
        <v>120</v>
      </c>
      <c r="G105" t="s">
        <v>75</v>
      </c>
      <c r="H105" t="s">
        <v>121</v>
      </c>
      <c r="I105" t="s">
        <v>56</v>
      </c>
      <c r="J105" t="s">
        <v>57</v>
      </c>
      <c r="K105" t="s">
        <v>58</v>
      </c>
      <c r="L105" t="s">
        <v>42</v>
      </c>
      <c r="M105" t="s">
        <v>68</v>
      </c>
      <c r="N105">
        <v>2</v>
      </c>
      <c r="O105" t="s">
        <v>44</v>
      </c>
      <c r="P105" s="48">
        <v>89468.76</v>
      </c>
      <c r="Q105" s="48">
        <v>26556.87</v>
      </c>
      <c r="R105" s="48">
        <v>5618.88</v>
      </c>
      <c r="S105" s="48">
        <v>2439.2199999999998</v>
      </c>
      <c r="T105" s="48">
        <v>894.69</v>
      </c>
      <c r="U105" s="48">
        <v>803.04</v>
      </c>
      <c r="V105" s="48">
        <v>1801.22</v>
      </c>
      <c r="W105" s="48">
        <v>51354.84</v>
      </c>
      <c r="X105">
        <v>0</v>
      </c>
      <c r="Y105" t="s">
        <v>45</v>
      </c>
      <c r="Z105">
        <v>221.31</v>
      </c>
      <c r="AA105" t="s">
        <v>46</v>
      </c>
      <c r="AB105" t="s">
        <v>92</v>
      </c>
      <c r="AC105" t="s">
        <v>48</v>
      </c>
      <c r="AD105" t="s">
        <v>49</v>
      </c>
      <c r="AE105" t="s">
        <v>50</v>
      </c>
      <c r="AF105" s="5">
        <f>DATE(YEAR(C105),MONTH(C105),1)</f>
        <v>45778</v>
      </c>
      <c r="AG105">
        <f>E105-D105</f>
        <v>23</v>
      </c>
      <c r="AH105" s="6">
        <f t="shared" si="1"/>
        <v>57.399744894195472</v>
      </c>
    </row>
    <row r="106" spans="1:34">
      <c r="A106" t="s">
        <v>325</v>
      </c>
      <c r="B106" t="s">
        <v>326</v>
      </c>
      <c r="C106" s="1">
        <v>45991</v>
      </c>
      <c r="D106" s="1">
        <v>45995</v>
      </c>
      <c r="E106" s="1">
        <v>46021</v>
      </c>
      <c r="F106" t="s">
        <v>153</v>
      </c>
      <c r="G106" t="s">
        <v>75</v>
      </c>
      <c r="H106" t="s">
        <v>154</v>
      </c>
      <c r="I106" t="s">
        <v>57</v>
      </c>
      <c r="J106" t="s">
        <v>98</v>
      </c>
      <c r="K106" t="s">
        <v>99</v>
      </c>
      <c r="L106" t="s">
        <v>59</v>
      </c>
      <c r="M106" t="s">
        <v>108</v>
      </c>
      <c r="N106">
        <v>4</v>
      </c>
      <c r="O106" t="s">
        <v>111</v>
      </c>
      <c r="P106" s="48">
        <v>108755.74</v>
      </c>
      <c r="Q106" s="48">
        <v>26463.16</v>
      </c>
      <c r="R106" s="48">
        <v>7055.89</v>
      </c>
      <c r="S106" s="48">
        <v>3000.93</v>
      </c>
      <c r="T106" s="48">
        <v>1087.56</v>
      </c>
      <c r="U106" s="48">
        <v>748.16</v>
      </c>
      <c r="V106" s="48">
        <v>1232.29</v>
      </c>
      <c r="W106" s="48">
        <v>69167.75</v>
      </c>
      <c r="X106">
        <v>12</v>
      </c>
      <c r="Y106" t="s">
        <v>90</v>
      </c>
      <c r="Z106">
        <v>220.53</v>
      </c>
      <c r="AA106" t="s">
        <v>91</v>
      </c>
      <c r="AB106" t="s">
        <v>92</v>
      </c>
      <c r="AC106" t="s">
        <v>60</v>
      </c>
      <c r="AD106" t="s">
        <v>130</v>
      </c>
      <c r="AE106" t="s">
        <v>102</v>
      </c>
      <c r="AF106" s="5">
        <f>DATE(YEAR(C106),MONTH(C106),1)</f>
        <v>45962</v>
      </c>
      <c r="AG106">
        <f>E106-D106</f>
        <v>26</v>
      </c>
      <c r="AH106" s="6">
        <f t="shared" si="1"/>
        <v>63.599171868997438</v>
      </c>
    </row>
    <row r="107" spans="1:34">
      <c r="A107" t="s">
        <v>327</v>
      </c>
      <c r="B107" t="s">
        <v>328</v>
      </c>
      <c r="C107" s="1">
        <v>45794</v>
      </c>
      <c r="D107" s="1">
        <v>45795</v>
      </c>
      <c r="E107" s="1">
        <v>45822</v>
      </c>
      <c r="F107" t="s">
        <v>96</v>
      </c>
      <c r="G107" t="s">
        <v>97</v>
      </c>
      <c r="H107" t="s">
        <v>76</v>
      </c>
      <c r="I107" t="s">
        <v>57</v>
      </c>
      <c r="J107" t="s">
        <v>98</v>
      </c>
      <c r="K107" t="s">
        <v>99</v>
      </c>
      <c r="L107" t="s">
        <v>59</v>
      </c>
      <c r="M107" t="s">
        <v>43</v>
      </c>
      <c r="N107">
        <v>4</v>
      </c>
      <c r="O107" t="s">
        <v>80</v>
      </c>
      <c r="P107" s="48">
        <v>155399.95000000001</v>
      </c>
      <c r="Q107" s="48">
        <v>26128.05</v>
      </c>
      <c r="R107" s="48">
        <v>6223.99</v>
      </c>
      <c r="S107" s="48">
        <v>4259.95</v>
      </c>
      <c r="T107" s="48">
        <v>1554</v>
      </c>
      <c r="U107" s="48">
        <v>749.12</v>
      </c>
      <c r="V107" s="48">
        <v>1829.48</v>
      </c>
      <c r="W107" s="48">
        <v>114655.36</v>
      </c>
      <c r="X107">
        <v>0</v>
      </c>
      <c r="Y107" t="s">
        <v>45</v>
      </c>
      <c r="Z107">
        <v>217.73</v>
      </c>
      <c r="AA107" t="s">
        <v>46</v>
      </c>
      <c r="AB107" t="s">
        <v>92</v>
      </c>
      <c r="AC107" t="s">
        <v>60</v>
      </c>
      <c r="AD107" t="s">
        <v>130</v>
      </c>
      <c r="AE107" t="s">
        <v>102</v>
      </c>
      <c r="AF107" s="5">
        <f>DATE(YEAR(C107),MONTH(C107),1)</f>
        <v>45778</v>
      </c>
      <c r="AG107">
        <f>E107-D107</f>
        <v>27</v>
      </c>
      <c r="AH107" s="6">
        <f t="shared" si="1"/>
        <v>73.780821679801051</v>
      </c>
    </row>
    <row r="108" spans="1:34">
      <c r="A108" t="s">
        <v>329</v>
      </c>
      <c r="B108" t="s">
        <v>330</v>
      </c>
      <c r="C108" s="1">
        <v>45909</v>
      </c>
      <c r="D108" s="1">
        <v>45913</v>
      </c>
      <c r="E108" s="1">
        <v>45934</v>
      </c>
      <c r="F108" t="s">
        <v>96</v>
      </c>
      <c r="G108" t="s">
        <v>97</v>
      </c>
      <c r="H108" t="s">
        <v>76</v>
      </c>
      <c r="I108" t="s">
        <v>56</v>
      </c>
      <c r="J108" t="s">
        <v>57</v>
      </c>
      <c r="K108" t="s">
        <v>58</v>
      </c>
      <c r="L108" t="s">
        <v>127</v>
      </c>
      <c r="M108" t="s">
        <v>79</v>
      </c>
      <c r="N108">
        <v>2</v>
      </c>
      <c r="O108" t="s">
        <v>105</v>
      </c>
      <c r="P108" s="48">
        <v>88211.21</v>
      </c>
      <c r="Q108" s="48">
        <v>25828.25</v>
      </c>
      <c r="R108" s="48">
        <v>6336.1</v>
      </c>
      <c r="S108" s="48">
        <v>2364.2800000000002</v>
      </c>
      <c r="T108" s="48">
        <v>882.11</v>
      </c>
      <c r="U108" s="48">
        <v>333.66</v>
      </c>
      <c r="V108" s="48">
        <v>1192.98</v>
      </c>
      <c r="W108" s="48">
        <v>51273.83</v>
      </c>
      <c r="X108">
        <v>8</v>
      </c>
      <c r="Y108" t="s">
        <v>101</v>
      </c>
      <c r="Z108">
        <v>215.24</v>
      </c>
      <c r="AA108" t="s">
        <v>91</v>
      </c>
      <c r="AB108" t="s">
        <v>92</v>
      </c>
      <c r="AC108" t="s">
        <v>48</v>
      </c>
      <c r="AD108" t="s">
        <v>61</v>
      </c>
      <c r="AE108" t="s">
        <v>71</v>
      </c>
      <c r="AF108" s="5">
        <f>DATE(YEAR(C108),MONTH(C108),1)</f>
        <v>45901</v>
      </c>
      <c r="AG108">
        <f>E108-D108</f>
        <v>21</v>
      </c>
      <c r="AH108" s="6">
        <f t="shared" si="1"/>
        <v>58.126206408459879</v>
      </c>
    </row>
    <row r="109" spans="1:34">
      <c r="A109" t="s">
        <v>331</v>
      </c>
      <c r="B109" t="s">
        <v>332</v>
      </c>
      <c r="C109" s="1">
        <v>45920</v>
      </c>
      <c r="D109" s="1">
        <v>45923</v>
      </c>
      <c r="E109" s="1">
        <v>45934</v>
      </c>
      <c r="F109" t="s">
        <v>180</v>
      </c>
      <c r="G109" t="s">
        <v>181</v>
      </c>
      <c r="H109" t="s">
        <v>38</v>
      </c>
      <c r="I109" t="s">
        <v>40</v>
      </c>
      <c r="J109" t="s">
        <v>122</v>
      </c>
      <c r="K109" t="s">
        <v>123</v>
      </c>
      <c r="L109" t="s">
        <v>59</v>
      </c>
      <c r="M109" t="s">
        <v>68</v>
      </c>
      <c r="N109">
        <v>4</v>
      </c>
      <c r="O109" t="s">
        <v>89</v>
      </c>
      <c r="P109" s="48">
        <v>131839.63</v>
      </c>
      <c r="Q109" s="48">
        <v>25817.81</v>
      </c>
      <c r="R109" s="48">
        <v>5782</v>
      </c>
      <c r="S109" s="48">
        <v>3332.91</v>
      </c>
      <c r="T109" s="48">
        <v>1318.4</v>
      </c>
      <c r="U109" s="48">
        <v>860.6</v>
      </c>
      <c r="V109" s="48">
        <v>1291.27</v>
      </c>
      <c r="W109" s="48">
        <v>93436.64</v>
      </c>
      <c r="X109">
        <v>0</v>
      </c>
      <c r="Y109" t="s">
        <v>45</v>
      </c>
      <c r="Z109">
        <v>215.15</v>
      </c>
      <c r="AA109" t="s">
        <v>46</v>
      </c>
      <c r="AB109" t="s">
        <v>92</v>
      </c>
      <c r="AC109" t="s">
        <v>60</v>
      </c>
      <c r="AD109" t="s">
        <v>61</v>
      </c>
      <c r="AE109" t="s">
        <v>102</v>
      </c>
      <c r="AF109" s="5">
        <f>DATE(YEAR(C109),MONTH(C109),1)</f>
        <v>45901</v>
      </c>
      <c r="AG109">
        <f>E109-D109</f>
        <v>11</v>
      </c>
      <c r="AH109" s="6">
        <f t="shared" si="1"/>
        <v>70.871436759948423</v>
      </c>
    </row>
    <row r="110" spans="1:34">
      <c r="A110" t="s">
        <v>333</v>
      </c>
      <c r="B110" t="s">
        <v>334</v>
      </c>
      <c r="C110" s="1">
        <v>45859</v>
      </c>
      <c r="D110" s="1">
        <v>45862</v>
      </c>
      <c r="E110" s="1">
        <v>45885</v>
      </c>
      <c r="F110" t="s">
        <v>153</v>
      </c>
      <c r="G110" t="s">
        <v>75</v>
      </c>
      <c r="H110" t="s">
        <v>154</v>
      </c>
      <c r="I110" t="s">
        <v>56</v>
      </c>
      <c r="J110" t="s">
        <v>56</v>
      </c>
      <c r="K110" t="s">
        <v>41</v>
      </c>
      <c r="L110" t="s">
        <v>124</v>
      </c>
      <c r="M110" t="s">
        <v>108</v>
      </c>
      <c r="N110">
        <v>4</v>
      </c>
      <c r="O110" t="s">
        <v>89</v>
      </c>
      <c r="P110" s="48">
        <v>119679.91</v>
      </c>
      <c r="Q110" s="48">
        <v>25789.79</v>
      </c>
      <c r="R110" s="48">
        <v>7307.91</v>
      </c>
      <c r="S110" s="48">
        <v>3369.37</v>
      </c>
      <c r="T110" s="48">
        <v>1196.8</v>
      </c>
      <c r="U110" s="48">
        <v>470.21</v>
      </c>
      <c r="V110" s="48">
        <v>1308.6600000000001</v>
      </c>
      <c r="W110" s="48">
        <v>80237.17</v>
      </c>
      <c r="X110">
        <v>0</v>
      </c>
      <c r="Y110" t="s">
        <v>45</v>
      </c>
      <c r="Z110">
        <v>214.91</v>
      </c>
      <c r="AA110" t="s">
        <v>46</v>
      </c>
      <c r="AB110" t="s">
        <v>47</v>
      </c>
      <c r="AC110" t="s">
        <v>70</v>
      </c>
      <c r="AD110" t="s">
        <v>49</v>
      </c>
      <c r="AE110" t="s">
        <v>50</v>
      </c>
      <c r="AF110" s="5">
        <f>DATE(YEAR(C110),MONTH(C110),1)</f>
        <v>45839</v>
      </c>
      <c r="AG110">
        <f>E110-D110</f>
        <v>23</v>
      </c>
      <c r="AH110" s="6">
        <f t="shared" si="1"/>
        <v>67.043140323217159</v>
      </c>
    </row>
    <row r="111" spans="1:34">
      <c r="A111" t="s">
        <v>335</v>
      </c>
      <c r="B111" t="s">
        <v>336</v>
      </c>
      <c r="C111" s="1">
        <v>45874</v>
      </c>
      <c r="D111" s="1">
        <v>45878</v>
      </c>
      <c r="E111" s="1">
        <v>45906</v>
      </c>
      <c r="F111" t="s">
        <v>180</v>
      </c>
      <c r="G111" t="s">
        <v>181</v>
      </c>
      <c r="H111" t="s">
        <v>38</v>
      </c>
      <c r="I111" t="s">
        <v>57</v>
      </c>
      <c r="J111" t="s">
        <v>98</v>
      </c>
      <c r="K111" t="s">
        <v>99</v>
      </c>
      <c r="L111" t="s">
        <v>100</v>
      </c>
      <c r="M111" t="s">
        <v>43</v>
      </c>
      <c r="N111">
        <v>4</v>
      </c>
      <c r="O111" t="s">
        <v>80</v>
      </c>
      <c r="P111" s="48">
        <v>144473.94</v>
      </c>
      <c r="Q111" s="48">
        <v>25543.81</v>
      </c>
      <c r="R111" s="48">
        <v>9715.7999999999993</v>
      </c>
      <c r="S111" s="48">
        <v>1934.69</v>
      </c>
      <c r="T111" s="48">
        <v>1444.74</v>
      </c>
      <c r="U111" s="48">
        <v>491.01</v>
      </c>
      <c r="V111" s="48">
        <v>1759.89</v>
      </c>
      <c r="W111" s="48">
        <v>103584</v>
      </c>
      <c r="X111">
        <v>0</v>
      </c>
      <c r="Y111" t="s">
        <v>45</v>
      </c>
      <c r="Z111">
        <v>212.87</v>
      </c>
      <c r="AA111" t="s">
        <v>46</v>
      </c>
      <c r="AB111" t="s">
        <v>47</v>
      </c>
      <c r="AC111" t="s">
        <v>60</v>
      </c>
      <c r="AD111" t="s">
        <v>49</v>
      </c>
      <c r="AE111" t="s">
        <v>50</v>
      </c>
      <c r="AF111" s="5">
        <f>DATE(YEAR(C111),MONTH(C111),1)</f>
        <v>45870</v>
      </c>
      <c r="AG111">
        <f>E111-D111</f>
        <v>28</v>
      </c>
      <c r="AH111" s="6">
        <f t="shared" si="1"/>
        <v>71.697359399210683</v>
      </c>
    </row>
    <row r="112" spans="1:34">
      <c r="A112" t="s">
        <v>337</v>
      </c>
      <c r="B112" t="s">
        <v>338</v>
      </c>
      <c r="C112" s="1">
        <v>45869</v>
      </c>
      <c r="D112" s="1">
        <v>45870</v>
      </c>
      <c r="E112" s="1">
        <v>45898</v>
      </c>
      <c r="F112" t="s">
        <v>74</v>
      </c>
      <c r="G112" t="s">
        <v>75</v>
      </c>
      <c r="H112" t="s">
        <v>76</v>
      </c>
      <c r="I112" t="s">
        <v>56</v>
      </c>
      <c r="J112" t="s">
        <v>57</v>
      </c>
      <c r="K112" t="s">
        <v>58</v>
      </c>
      <c r="L112" t="s">
        <v>59</v>
      </c>
      <c r="M112" t="s">
        <v>68</v>
      </c>
      <c r="N112">
        <v>4</v>
      </c>
      <c r="O112" t="s">
        <v>69</v>
      </c>
      <c r="P112" s="48">
        <v>129463.11</v>
      </c>
      <c r="Q112" s="48">
        <v>25512.77</v>
      </c>
      <c r="R112" s="48">
        <v>5471.08</v>
      </c>
      <c r="S112" s="48">
        <v>1867.93</v>
      </c>
      <c r="T112" s="48">
        <v>1294.6300000000001</v>
      </c>
      <c r="U112" s="48">
        <v>614.91</v>
      </c>
      <c r="V112" s="48">
        <v>678.72</v>
      </c>
      <c r="W112" s="48">
        <v>94023.07</v>
      </c>
      <c r="X112">
        <v>0</v>
      </c>
      <c r="Y112" t="s">
        <v>45</v>
      </c>
      <c r="Z112">
        <v>212.61</v>
      </c>
      <c r="AA112" t="s">
        <v>46</v>
      </c>
      <c r="AB112" t="s">
        <v>92</v>
      </c>
      <c r="AC112" t="s">
        <v>60</v>
      </c>
      <c r="AD112" t="s">
        <v>49</v>
      </c>
      <c r="AE112" t="s">
        <v>50</v>
      </c>
      <c r="AF112" s="5">
        <f>DATE(YEAR(C112),MONTH(C112),1)</f>
        <v>45839</v>
      </c>
      <c r="AG112">
        <f>E112-D112</f>
        <v>28</v>
      </c>
      <c r="AH112" s="6">
        <f t="shared" si="1"/>
        <v>72.625375676515119</v>
      </c>
    </row>
    <row r="113" spans="1:34">
      <c r="A113" t="s">
        <v>339</v>
      </c>
      <c r="B113" t="s">
        <v>340</v>
      </c>
      <c r="C113" s="1">
        <v>45758</v>
      </c>
      <c r="D113" s="1">
        <v>45760</v>
      </c>
      <c r="E113" s="1">
        <v>45785</v>
      </c>
      <c r="F113" t="s">
        <v>180</v>
      </c>
      <c r="G113" t="s">
        <v>181</v>
      </c>
      <c r="H113" t="s">
        <v>38</v>
      </c>
      <c r="I113" t="s">
        <v>40</v>
      </c>
      <c r="J113" t="s">
        <v>122</v>
      </c>
      <c r="K113" t="s">
        <v>123</v>
      </c>
      <c r="L113" t="s">
        <v>127</v>
      </c>
      <c r="M113" t="s">
        <v>108</v>
      </c>
      <c r="N113">
        <v>2</v>
      </c>
      <c r="O113" t="s">
        <v>105</v>
      </c>
      <c r="P113" s="48">
        <v>85013.03</v>
      </c>
      <c r="Q113" s="48">
        <v>25467.18</v>
      </c>
      <c r="R113" s="48">
        <v>3855.91</v>
      </c>
      <c r="S113" s="48">
        <v>880.22</v>
      </c>
      <c r="T113" s="48">
        <v>850.13</v>
      </c>
      <c r="U113" s="48">
        <v>746.52</v>
      </c>
      <c r="V113" s="48">
        <v>2085.86</v>
      </c>
      <c r="W113" s="48">
        <v>51127.21</v>
      </c>
      <c r="X113">
        <v>0</v>
      </c>
      <c r="Y113" t="s">
        <v>45</v>
      </c>
      <c r="Z113">
        <v>212.23</v>
      </c>
      <c r="AA113" t="s">
        <v>46</v>
      </c>
      <c r="AB113" t="s">
        <v>47</v>
      </c>
      <c r="AC113" t="s">
        <v>70</v>
      </c>
      <c r="AD113" t="s">
        <v>144</v>
      </c>
      <c r="AE113" t="s">
        <v>102</v>
      </c>
      <c r="AF113" s="5">
        <f>DATE(YEAR(C113),MONTH(C113),1)</f>
        <v>45748</v>
      </c>
      <c r="AG113">
        <f>E113-D113</f>
        <v>25</v>
      </c>
      <c r="AH113" s="6">
        <f t="shared" si="1"/>
        <v>60.140439647898681</v>
      </c>
    </row>
    <row r="114" spans="1:34">
      <c r="A114" t="s">
        <v>341</v>
      </c>
      <c r="B114" t="s">
        <v>342</v>
      </c>
      <c r="C114" s="1">
        <v>45838</v>
      </c>
      <c r="D114" s="1">
        <v>45839</v>
      </c>
      <c r="E114" s="1">
        <v>45851</v>
      </c>
      <c r="F114" t="s">
        <v>234</v>
      </c>
      <c r="G114" t="s">
        <v>111</v>
      </c>
      <c r="H114" t="s">
        <v>150</v>
      </c>
      <c r="I114" t="s">
        <v>86</v>
      </c>
      <c r="J114" t="s">
        <v>87</v>
      </c>
      <c r="K114" t="s">
        <v>88</v>
      </c>
      <c r="L114" t="s">
        <v>78</v>
      </c>
      <c r="M114" t="s">
        <v>79</v>
      </c>
      <c r="N114">
        <v>4</v>
      </c>
      <c r="O114" t="s">
        <v>111</v>
      </c>
      <c r="P114" s="48">
        <v>115687.94</v>
      </c>
      <c r="Q114" s="48">
        <v>25465.439999999999</v>
      </c>
      <c r="R114" s="48">
        <v>6731.54</v>
      </c>
      <c r="S114" s="48">
        <v>2323.2800000000002</v>
      </c>
      <c r="T114" s="48">
        <v>1156.8800000000001</v>
      </c>
      <c r="U114" s="48">
        <v>648.16</v>
      </c>
      <c r="V114" s="48">
        <v>1755.22</v>
      </c>
      <c r="W114" s="48">
        <v>77607.42</v>
      </c>
      <c r="X114">
        <v>0</v>
      </c>
      <c r="Y114" t="s">
        <v>45</v>
      </c>
      <c r="Z114">
        <v>212.21</v>
      </c>
      <c r="AA114" t="s">
        <v>46</v>
      </c>
      <c r="AB114" t="s">
        <v>47</v>
      </c>
      <c r="AC114" t="s">
        <v>48</v>
      </c>
      <c r="AD114" t="s">
        <v>130</v>
      </c>
      <c r="AE114" t="s">
        <v>62</v>
      </c>
      <c r="AF114" s="5">
        <f>DATE(YEAR(C114),MONTH(C114),1)</f>
        <v>45809</v>
      </c>
      <c r="AG114">
        <f>E114-D114</f>
        <v>12</v>
      </c>
      <c r="AH114" s="6">
        <f t="shared" si="1"/>
        <v>67.083414226236542</v>
      </c>
    </row>
    <row r="115" spans="1:34">
      <c r="A115" t="s">
        <v>343</v>
      </c>
      <c r="B115" t="s">
        <v>344</v>
      </c>
      <c r="C115" s="1">
        <v>45765</v>
      </c>
      <c r="D115" s="1">
        <v>45767</v>
      </c>
      <c r="E115" s="1">
        <v>45791</v>
      </c>
      <c r="F115" t="s">
        <v>180</v>
      </c>
      <c r="G115" t="s">
        <v>181</v>
      </c>
      <c r="H115" t="s">
        <v>38</v>
      </c>
      <c r="I115" t="s">
        <v>86</v>
      </c>
      <c r="J115" t="s">
        <v>87</v>
      </c>
      <c r="K115" t="s">
        <v>88</v>
      </c>
      <c r="L115" t="s">
        <v>127</v>
      </c>
      <c r="M115" t="s">
        <v>43</v>
      </c>
      <c r="N115">
        <v>4</v>
      </c>
      <c r="O115" t="s">
        <v>54</v>
      </c>
      <c r="P115" s="48">
        <v>95316.53</v>
      </c>
      <c r="Q115" s="48">
        <v>25410.46</v>
      </c>
      <c r="R115" s="48">
        <v>7377.24</v>
      </c>
      <c r="S115" s="48">
        <v>1455.82</v>
      </c>
      <c r="T115" s="48">
        <v>953.17</v>
      </c>
      <c r="U115" s="48">
        <v>306.62</v>
      </c>
      <c r="V115" s="48">
        <v>2466.1799999999998</v>
      </c>
      <c r="W115" s="48">
        <v>57347.040000000001</v>
      </c>
      <c r="X115">
        <v>48</v>
      </c>
      <c r="Y115" t="s">
        <v>117</v>
      </c>
      <c r="Z115">
        <v>211.75</v>
      </c>
      <c r="AA115" t="s">
        <v>91</v>
      </c>
      <c r="AB115" t="s">
        <v>47</v>
      </c>
      <c r="AC115" t="s">
        <v>70</v>
      </c>
      <c r="AD115" t="s">
        <v>49</v>
      </c>
      <c r="AE115" t="s">
        <v>62</v>
      </c>
      <c r="AF115" s="5">
        <f>DATE(YEAR(C115),MONTH(C115),1)</f>
        <v>45748</v>
      </c>
      <c r="AG115">
        <f>E115-D115</f>
        <v>24</v>
      </c>
      <c r="AH115" s="6">
        <f t="shared" si="1"/>
        <v>60.164842341616932</v>
      </c>
    </row>
    <row r="116" spans="1:34">
      <c r="A116" t="s">
        <v>345</v>
      </c>
      <c r="B116" t="s">
        <v>346</v>
      </c>
      <c r="C116" s="1">
        <v>45924</v>
      </c>
      <c r="D116" s="1">
        <v>45927</v>
      </c>
      <c r="E116" s="1">
        <v>45953</v>
      </c>
      <c r="F116" t="s">
        <v>36</v>
      </c>
      <c r="G116" t="s">
        <v>37</v>
      </c>
      <c r="H116" t="s">
        <v>38</v>
      </c>
      <c r="I116" t="s">
        <v>57</v>
      </c>
      <c r="J116" t="s">
        <v>98</v>
      </c>
      <c r="K116" t="s">
        <v>99</v>
      </c>
      <c r="L116" t="s">
        <v>42</v>
      </c>
      <c r="M116" t="s">
        <v>79</v>
      </c>
      <c r="N116">
        <v>4</v>
      </c>
      <c r="O116" t="s">
        <v>111</v>
      </c>
      <c r="P116" s="48">
        <v>130965.94</v>
      </c>
      <c r="Q116" s="48">
        <v>25344.62</v>
      </c>
      <c r="R116" s="48">
        <v>10069.08</v>
      </c>
      <c r="S116" s="48">
        <v>3839.22</v>
      </c>
      <c r="T116" s="48">
        <v>1309.6600000000001</v>
      </c>
      <c r="U116" s="48">
        <v>663.07</v>
      </c>
      <c r="V116" s="48">
        <v>328.73</v>
      </c>
      <c r="W116" s="48">
        <v>89411.56</v>
      </c>
      <c r="X116">
        <v>0</v>
      </c>
      <c r="Y116" t="s">
        <v>45</v>
      </c>
      <c r="Z116">
        <v>211.21</v>
      </c>
      <c r="AA116" t="s">
        <v>46</v>
      </c>
      <c r="AB116" t="s">
        <v>92</v>
      </c>
      <c r="AC116" t="s">
        <v>48</v>
      </c>
      <c r="AD116" t="s">
        <v>130</v>
      </c>
      <c r="AE116" t="s">
        <v>62</v>
      </c>
      <c r="AF116" s="5">
        <f>DATE(YEAR(C116),MONTH(C116),1)</f>
        <v>45901</v>
      </c>
      <c r="AG116">
        <f>E116-D116</f>
        <v>26</v>
      </c>
      <c r="AH116" s="6">
        <f t="shared" si="1"/>
        <v>68.270849657552176</v>
      </c>
    </row>
    <row r="117" spans="1:34">
      <c r="A117" t="s">
        <v>347</v>
      </c>
      <c r="B117" t="s">
        <v>348</v>
      </c>
      <c r="C117" s="1">
        <v>45915</v>
      </c>
      <c r="D117" s="1">
        <v>45916</v>
      </c>
      <c r="E117" s="1">
        <v>45933</v>
      </c>
      <c r="F117" t="s">
        <v>234</v>
      </c>
      <c r="G117" t="s">
        <v>111</v>
      </c>
      <c r="H117" t="s">
        <v>150</v>
      </c>
      <c r="I117" t="s">
        <v>86</v>
      </c>
      <c r="J117" t="s">
        <v>87</v>
      </c>
      <c r="K117" t="s">
        <v>88</v>
      </c>
      <c r="L117" t="s">
        <v>116</v>
      </c>
      <c r="M117" t="s">
        <v>43</v>
      </c>
      <c r="N117">
        <v>4</v>
      </c>
      <c r="O117" t="s">
        <v>54</v>
      </c>
      <c r="P117" s="48">
        <v>128886.17</v>
      </c>
      <c r="Q117" s="48">
        <v>25069.47</v>
      </c>
      <c r="R117" s="48">
        <v>6743.18</v>
      </c>
      <c r="S117" s="48">
        <v>2721.63</v>
      </c>
      <c r="T117" s="48">
        <v>1288.8599999999999</v>
      </c>
      <c r="U117" s="48">
        <v>884.8</v>
      </c>
      <c r="V117" s="48">
        <v>2196.33</v>
      </c>
      <c r="W117" s="48">
        <v>89981.9</v>
      </c>
      <c r="X117">
        <v>0</v>
      </c>
      <c r="Y117" t="s">
        <v>45</v>
      </c>
      <c r="Z117">
        <v>208.91</v>
      </c>
      <c r="AA117" t="s">
        <v>46</v>
      </c>
      <c r="AB117" t="s">
        <v>47</v>
      </c>
      <c r="AC117" t="s">
        <v>60</v>
      </c>
      <c r="AD117" t="s">
        <v>61</v>
      </c>
      <c r="AE117" t="s">
        <v>71</v>
      </c>
      <c r="AF117" s="5">
        <f>DATE(YEAR(C117),MONTH(C117),1)</f>
        <v>45901</v>
      </c>
      <c r="AG117">
        <f>E117-D117</f>
        <v>17</v>
      </c>
      <c r="AH117" s="6">
        <f t="shared" si="1"/>
        <v>69.815015839170329</v>
      </c>
    </row>
    <row r="118" spans="1:34">
      <c r="A118" t="s">
        <v>349</v>
      </c>
      <c r="B118" t="s">
        <v>350</v>
      </c>
      <c r="C118" s="1">
        <v>45850</v>
      </c>
      <c r="D118" s="1">
        <v>45853</v>
      </c>
      <c r="E118" s="1">
        <v>45866</v>
      </c>
      <c r="F118" t="s">
        <v>83</v>
      </c>
      <c r="G118" t="s">
        <v>84</v>
      </c>
      <c r="H118" t="s">
        <v>85</v>
      </c>
      <c r="I118" t="s">
        <v>122</v>
      </c>
      <c r="J118" t="s">
        <v>87</v>
      </c>
      <c r="K118" t="s">
        <v>41</v>
      </c>
      <c r="L118" t="s">
        <v>124</v>
      </c>
      <c r="M118" t="s">
        <v>79</v>
      </c>
      <c r="N118">
        <v>4</v>
      </c>
      <c r="O118" t="s">
        <v>54</v>
      </c>
      <c r="P118" s="48">
        <v>93591.95</v>
      </c>
      <c r="Q118" s="48">
        <v>25012.22</v>
      </c>
      <c r="R118" s="48">
        <v>7195.1</v>
      </c>
      <c r="S118" s="48">
        <v>1868.07</v>
      </c>
      <c r="T118" s="48">
        <v>935.92</v>
      </c>
      <c r="U118" s="48">
        <v>306.05</v>
      </c>
      <c r="V118" s="48">
        <v>991.46</v>
      </c>
      <c r="W118" s="48">
        <v>57283.13</v>
      </c>
      <c r="X118">
        <v>12</v>
      </c>
      <c r="Y118" t="s">
        <v>90</v>
      </c>
      <c r="Z118">
        <v>208.44</v>
      </c>
      <c r="AA118" t="s">
        <v>91</v>
      </c>
      <c r="AB118" t="s">
        <v>47</v>
      </c>
      <c r="AC118" t="s">
        <v>48</v>
      </c>
      <c r="AD118" t="s">
        <v>61</v>
      </c>
      <c r="AE118" t="s">
        <v>102</v>
      </c>
      <c r="AF118" s="5">
        <f>DATE(YEAR(C118),MONTH(C118),1)</f>
        <v>45839</v>
      </c>
      <c r="AG118">
        <f>E118-D118</f>
        <v>13</v>
      </c>
      <c r="AH118" s="6">
        <f t="shared" si="1"/>
        <v>61.205189121500304</v>
      </c>
    </row>
    <row r="119" spans="1:34">
      <c r="A119" t="s">
        <v>351</v>
      </c>
      <c r="B119" t="s">
        <v>352</v>
      </c>
      <c r="C119" s="1">
        <v>45690</v>
      </c>
      <c r="D119" s="1">
        <v>45694</v>
      </c>
      <c r="E119" s="1">
        <v>45718</v>
      </c>
      <c r="F119" t="s">
        <v>138</v>
      </c>
      <c r="G119" t="s">
        <v>139</v>
      </c>
      <c r="H119" t="s">
        <v>76</v>
      </c>
      <c r="I119" t="s">
        <v>40</v>
      </c>
      <c r="J119" t="s">
        <v>122</v>
      </c>
      <c r="K119" t="s">
        <v>123</v>
      </c>
      <c r="L119" t="s">
        <v>78</v>
      </c>
      <c r="M119" t="s">
        <v>68</v>
      </c>
      <c r="N119">
        <v>2</v>
      </c>
      <c r="O119" t="s">
        <v>111</v>
      </c>
      <c r="P119" s="48">
        <v>87837.36</v>
      </c>
      <c r="Q119" s="48">
        <v>24956.51</v>
      </c>
      <c r="R119" s="48">
        <v>4295.78</v>
      </c>
      <c r="S119" s="48">
        <v>2058.5500000000002</v>
      </c>
      <c r="T119" s="48">
        <v>878.37</v>
      </c>
      <c r="U119" s="48">
        <v>606.85</v>
      </c>
      <c r="V119" s="48">
        <v>1784.36</v>
      </c>
      <c r="W119" s="48">
        <v>53256.94</v>
      </c>
      <c r="X119">
        <v>8</v>
      </c>
      <c r="Y119" t="s">
        <v>135</v>
      </c>
      <c r="Z119">
        <v>207.97</v>
      </c>
      <c r="AA119" t="s">
        <v>91</v>
      </c>
      <c r="AB119" t="s">
        <v>47</v>
      </c>
      <c r="AC119" t="s">
        <v>48</v>
      </c>
      <c r="AD119" t="s">
        <v>61</v>
      </c>
      <c r="AE119" t="s">
        <v>71</v>
      </c>
      <c r="AF119" s="5">
        <f>DATE(YEAR(C119),MONTH(C119),1)</f>
        <v>45689</v>
      </c>
      <c r="AG119">
        <f>E119-D119</f>
        <v>24</v>
      </c>
      <c r="AH119" s="6">
        <f t="shared" si="1"/>
        <v>60.631307680467629</v>
      </c>
    </row>
    <row r="120" spans="1:34">
      <c r="A120" t="s">
        <v>353</v>
      </c>
      <c r="B120" t="s">
        <v>354</v>
      </c>
      <c r="C120" s="1">
        <v>45940</v>
      </c>
      <c r="D120" s="1">
        <v>45942</v>
      </c>
      <c r="E120" s="1">
        <v>45967</v>
      </c>
      <c r="F120" t="s">
        <v>153</v>
      </c>
      <c r="G120" t="s">
        <v>75</v>
      </c>
      <c r="H120" t="s">
        <v>154</v>
      </c>
      <c r="I120" t="s">
        <v>86</v>
      </c>
      <c r="J120" t="s">
        <v>87</v>
      </c>
      <c r="K120" t="s">
        <v>88</v>
      </c>
      <c r="L120" t="s">
        <v>100</v>
      </c>
      <c r="M120" t="s">
        <v>108</v>
      </c>
      <c r="N120">
        <v>4</v>
      </c>
      <c r="O120" t="s">
        <v>54</v>
      </c>
      <c r="P120" s="48">
        <v>110331.43</v>
      </c>
      <c r="Q120" s="48">
        <v>24936.1</v>
      </c>
      <c r="R120" s="48">
        <v>6740.35</v>
      </c>
      <c r="S120" s="48">
        <v>3058.67</v>
      </c>
      <c r="T120" s="48">
        <v>1103.31</v>
      </c>
      <c r="U120" s="48">
        <v>883.61</v>
      </c>
      <c r="V120" s="48">
        <v>2101.98</v>
      </c>
      <c r="W120" s="48">
        <v>71507.41</v>
      </c>
      <c r="X120">
        <v>0</v>
      </c>
      <c r="Y120" t="s">
        <v>45</v>
      </c>
      <c r="Z120">
        <v>207.8</v>
      </c>
      <c r="AA120" t="s">
        <v>46</v>
      </c>
      <c r="AB120" t="s">
        <v>92</v>
      </c>
      <c r="AC120" t="s">
        <v>48</v>
      </c>
      <c r="AD120" t="s">
        <v>144</v>
      </c>
      <c r="AE120" t="s">
        <v>62</v>
      </c>
      <c r="AF120" s="5">
        <f>DATE(YEAR(C120),MONTH(C120),1)</f>
        <v>45931</v>
      </c>
      <c r="AG120">
        <f>E120-D120</f>
        <v>25</v>
      </c>
      <c r="AH120" s="6">
        <f t="shared" si="1"/>
        <v>64.811459436354639</v>
      </c>
    </row>
    <row r="121" spans="1:34">
      <c r="A121" t="s">
        <v>355</v>
      </c>
      <c r="B121" t="s">
        <v>356</v>
      </c>
      <c r="C121" s="1">
        <v>45864</v>
      </c>
      <c r="D121" s="1">
        <v>45866</v>
      </c>
      <c r="E121" s="1">
        <v>45880</v>
      </c>
      <c r="F121" t="s">
        <v>138</v>
      </c>
      <c r="G121" t="s">
        <v>139</v>
      </c>
      <c r="H121" t="s">
        <v>76</v>
      </c>
      <c r="I121" t="s">
        <v>40</v>
      </c>
      <c r="J121" t="s">
        <v>122</v>
      </c>
      <c r="K121" t="s">
        <v>123</v>
      </c>
      <c r="L121" t="s">
        <v>116</v>
      </c>
      <c r="M121" t="s">
        <v>43</v>
      </c>
      <c r="N121">
        <v>4</v>
      </c>
      <c r="O121" t="s">
        <v>44</v>
      </c>
      <c r="P121" s="48">
        <v>138408.6</v>
      </c>
      <c r="Q121" s="48">
        <v>24866.26</v>
      </c>
      <c r="R121" s="48">
        <v>9841.6</v>
      </c>
      <c r="S121" s="48">
        <v>3169.41</v>
      </c>
      <c r="T121" s="48">
        <v>1384.09</v>
      </c>
      <c r="U121" s="48">
        <v>534.97</v>
      </c>
      <c r="V121" s="48">
        <v>2431.23</v>
      </c>
      <c r="W121" s="48">
        <v>96181.04</v>
      </c>
      <c r="X121">
        <v>0</v>
      </c>
      <c r="Y121" t="s">
        <v>45</v>
      </c>
      <c r="Z121">
        <v>207.22</v>
      </c>
      <c r="AA121" t="s">
        <v>46</v>
      </c>
      <c r="AB121" t="s">
        <v>92</v>
      </c>
      <c r="AC121" t="s">
        <v>60</v>
      </c>
      <c r="AD121" t="s">
        <v>144</v>
      </c>
      <c r="AE121" t="s">
        <v>62</v>
      </c>
      <c r="AF121" s="5">
        <f>DATE(YEAR(C121),MONTH(C121),1)</f>
        <v>45839</v>
      </c>
      <c r="AG121">
        <f>E121-D121</f>
        <v>14</v>
      </c>
      <c r="AH121" s="6">
        <f t="shared" si="1"/>
        <v>69.490653037455758</v>
      </c>
    </row>
    <row r="122" spans="1:34">
      <c r="A122" t="s">
        <v>357</v>
      </c>
      <c r="B122" t="s">
        <v>358</v>
      </c>
      <c r="C122" s="1">
        <v>45801</v>
      </c>
      <c r="D122" s="1">
        <v>45803</v>
      </c>
      <c r="E122" s="1">
        <v>45821</v>
      </c>
      <c r="F122" t="s">
        <v>65</v>
      </c>
      <c r="G122" t="s">
        <v>66</v>
      </c>
      <c r="H122" t="s">
        <v>67</v>
      </c>
      <c r="I122" t="s">
        <v>57</v>
      </c>
      <c r="J122" t="s">
        <v>98</v>
      </c>
      <c r="K122" t="s">
        <v>99</v>
      </c>
      <c r="L122" t="s">
        <v>155</v>
      </c>
      <c r="M122" t="s">
        <v>108</v>
      </c>
      <c r="N122">
        <v>4</v>
      </c>
      <c r="O122" t="s">
        <v>105</v>
      </c>
      <c r="P122" s="48">
        <v>112811.39</v>
      </c>
      <c r="Q122" s="48">
        <v>24823.3</v>
      </c>
      <c r="R122" s="48">
        <v>7159.2</v>
      </c>
      <c r="S122" s="48">
        <v>2483.3200000000002</v>
      </c>
      <c r="T122" s="48">
        <v>1128.1099999999999</v>
      </c>
      <c r="U122" s="48">
        <v>217.34</v>
      </c>
      <c r="V122" s="48">
        <v>1924.46</v>
      </c>
      <c r="W122" s="48">
        <v>75075.66</v>
      </c>
      <c r="X122">
        <v>48</v>
      </c>
      <c r="Y122" t="s">
        <v>135</v>
      </c>
      <c r="Z122">
        <v>206.86</v>
      </c>
      <c r="AA122" t="s">
        <v>91</v>
      </c>
      <c r="AB122" t="s">
        <v>92</v>
      </c>
      <c r="AC122" t="s">
        <v>60</v>
      </c>
      <c r="AD122" t="s">
        <v>93</v>
      </c>
      <c r="AE122" t="s">
        <v>50</v>
      </c>
      <c r="AF122" s="5">
        <f>DATE(YEAR(C122),MONTH(C122),1)</f>
        <v>45778</v>
      </c>
      <c r="AG122">
        <f>E122-D122</f>
        <v>18</v>
      </c>
      <c r="AH122" s="6">
        <f t="shared" si="1"/>
        <v>66.549716300809706</v>
      </c>
    </row>
    <row r="123" spans="1:34">
      <c r="A123" t="s">
        <v>359</v>
      </c>
      <c r="B123" t="s">
        <v>360</v>
      </c>
      <c r="C123" s="1">
        <v>45837</v>
      </c>
      <c r="D123" s="1">
        <v>45841</v>
      </c>
      <c r="E123" s="1">
        <v>45856</v>
      </c>
      <c r="F123" t="s">
        <v>83</v>
      </c>
      <c r="G123" t="s">
        <v>84</v>
      </c>
      <c r="H123" t="s">
        <v>85</v>
      </c>
      <c r="I123" t="s">
        <v>115</v>
      </c>
      <c r="J123" t="s">
        <v>98</v>
      </c>
      <c r="K123" t="s">
        <v>99</v>
      </c>
      <c r="L123" t="s">
        <v>42</v>
      </c>
      <c r="M123" t="s">
        <v>43</v>
      </c>
      <c r="N123">
        <v>4</v>
      </c>
      <c r="O123" t="s">
        <v>80</v>
      </c>
      <c r="P123" s="48">
        <v>140912.95999999999</v>
      </c>
      <c r="Q123" s="48">
        <v>24816.65</v>
      </c>
      <c r="R123" s="48">
        <v>10055.780000000001</v>
      </c>
      <c r="S123" s="48">
        <v>1707.91</v>
      </c>
      <c r="T123" s="48">
        <v>1409.13</v>
      </c>
      <c r="U123" s="48">
        <v>772.88</v>
      </c>
      <c r="V123" s="48">
        <v>1737.25</v>
      </c>
      <c r="W123" s="48">
        <v>100413.36</v>
      </c>
      <c r="X123">
        <v>24</v>
      </c>
      <c r="Y123" t="s">
        <v>117</v>
      </c>
      <c r="Z123">
        <v>206.81</v>
      </c>
      <c r="AA123" t="s">
        <v>91</v>
      </c>
      <c r="AB123" t="s">
        <v>47</v>
      </c>
      <c r="AC123" t="s">
        <v>60</v>
      </c>
      <c r="AD123" t="s">
        <v>93</v>
      </c>
      <c r="AE123" t="s">
        <v>62</v>
      </c>
      <c r="AF123" s="5">
        <f>DATE(YEAR(C123),MONTH(C123),1)</f>
        <v>45809</v>
      </c>
      <c r="AG123">
        <f>E123-D123</f>
        <v>15</v>
      </c>
      <c r="AH123" s="6">
        <f t="shared" si="1"/>
        <v>71.25913755555203</v>
      </c>
    </row>
    <row r="124" spans="1:34">
      <c r="A124" t="s">
        <v>361</v>
      </c>
      <c r="B124" t="s">
        <v>362</v>
      </c>
      <c r="C124" s="1">
        <v>45866</v>
      </c>
      <c r="D124" s="1">
        <v>45870</v>
      </c>
      <c r="E124" s="1">
        <v>45896</v>
      </c>
      <c r="F124" t="s">
        <v>180</v>
      </c>
      <c r="G124" t="s">
        <v>181</v>
      </c>
      <c r="H124" t="s">
        <v>38</v>
      </c>
      <c r="I124" t="s">
        <v>56</v>
      </c>
      <c r="J124" t="s">
        <v>57</v>
      </c>
      <c r="K124" t="s">
        <v>58</v>
      </c>
      <c r="L124" t="s">
        <v>124</v>
      </c>
      <c r="M124" t="s">
        <v>108</v>
      </c>
      <c r="N124">
        <v>4</v>
      </c>
      <c r="O124" t="s">
        <v>105</v>
      </c>
      <c r="P124" s="48">
        <v>146322.60999999999</v>
      </c>
      <c r="Q124" s="48">
        <v>24810.32</v>
      </c>
      <c r="R124" s="48">
        <v>7218.36</v>
      </c>
      <c r="S124" s="48">
        <v>2410.73</v>
      </c>
      <c r="T124" s="48">
        <v>1463.23</v>
      </c>
      <c r="U124" s="48">
        <v>653.85</v>
      </c>
      <c r="V124" s="48">
        <v>2323.79</v>
      </c>
      <c r="W124" s="48">
        <v>107442.33</v>
      </c>
      <c r="X124">
        <v>0</v>
      </c>
      <c r="Y124" t="s">
        <v>45</v>
      </c>
      <c r="Z124">
        <v>206.75</v>
      </c>
      <c r="AA124" t="s">
        <v>46</v>
      </c>
      <c r="AB124" t="s">
        <v>92</v>
      </c>
      <c r="AC124" t="s">
        <v>70</v>
      </c>
      <c r="AD124" t="s">
        <v>130</v>
      </c>
      <c r="AE124" t="s">
        <v>50</v>
      </c>
      <c r="AF124" s="5">
        <f>DATE(YEAR(C124),MONTH(C124),1)</f>
        <v>45839</v>
      </c>
      <c r="AG124">
        <f>E124-D124</f>
        <v>26</v>
      </c>
      <c r="AH124" s="6">
        <f t="shared" si="1"/>
        <v>73.428385401271896</v>
      </c>
    </row>
    <row r="125" spans="1:34">
      <c r="A125" t="s">
        <v>363</v>
      </c>
      <c r="B125" t="s">
        <v>364</v>
      </c>
      <c r="C125" s="1">
        <v>45703</v>
      </c>
      <c r="D125" s="1">
        <v>45707</v>
      </c>
      <c r="E125" s="1">
        <v>45734</v>
      </c>
      <c r="F125" t="s">
        <v>234</v>
      </c>
      <c r="G125" t="s">
        <v>111</v>
      </c>
      <c r="H125" t="s">
        <v>150</v>
      </c>
      <c r="I125" t="s">
        <v>40</v>
      </c>
      <c r="J125" t="s">
        <v>122</v>
      </c>
      <c r="K125" t="s">
        <v>123</v>
      </c>
      <c r="L125" t="s">
        <v>124</v>
      </c>
      <c r="M125" t="s">
        <v>108</v>
      </c>
      <c r="N125">
        <v>2</v>
      </c>
      <c r="O125" t="s">
        <v>89</v>
      </c>
      <c r="P125" s="48">
        <v>82926.41</v>
      </c>
      <c r="Q125" s="48">
        <v>24661.96</v>
      </c>
      <c r="R125" s="48">
        <v>5719.61</v>
      </c>
      <c r="S125" s="48">
        <v>939.32</v>
      </c>
      <c r="T125" s="48">
        <v>829.26</v>
      </c>
      <c r="U125" s="48">
        <v>380.52</v>
      </c>
      <c r="V125" s="48">
        <v>2470.15</v>
      </c>
      <c r="W125" s="48">
        <v>47925.59</v>
      </c>
      <c r="X125">
        <v>8</v>
      </c>
      <c r="Y125" t="s">
        <v>117</v>
      </c>
      <c r="Z125">
        <v>205.52</v>
      </c>
      <c r="AA125" t="s">
        <v>91</v>
      </c>
      <c r="AB125" t="s">
        <v>92</v>
      </c>
      <c r="AC125" t="s">
        <v>70</v>
      </c>
      <c r="AD125" t="s">
        <v>130</v>
      </c>
      <c r="AE125" t="s">
        <v>62</v>
      </c>
      <c r="AF125" s="5">
        <f>DATE(YEAR(C125),MONTH(C125),1)</f>
        <v>45689</v>
      </c>
      <c r="AG125">
        <f>E125-D125</f>
        <v>27</v>
      </c>
      <c r="AH125" s="6">
        <f t="shared" si="1"/>
        <v>57.792915429475357</v>
      </c>
    </row>
    <row r="126" spans="1:34">
      <c r="A126" t="s">
        <v>365</v>
      </c>
      <c r="B126" t="s">
        <v>366</v>
      </c>
      <c r="C126" s="1">
        <v>45666</v>
      </c>
      <c r="D126" s="1">
        <v>45670</v>
      </c>
      <c r="E126" s="1">
        <v>45696</v>
      </c>
      <c r="F126" t="s">
        <v>138</v>
      </c>
      <c r="G126" t="s">
        <v>139</v>
      </c>
      <c r="H126" t="s">
        <v>76</v>
      </c>
      <c r="I126" t="s">
        <v>57</v>
      </c>
      <c r="J126" t="s">
        <v>98</v>
      </c>
      <c r="K126" t="s">
        <v>99</v>
      </c>
      <c r="L126" t="s">
        <v>78</v>
      </c>
      <c r="M126" t="s">
        <v>68</v>
      </c>
      <c r="N126">
        <v>2</v>
      </c>
      <c r="O126" t="s">
        <v>105</v>
      </c>
      <c r="P126" s="48">
        <v>89618.79</v>
      </c>
      <c r="Q126" s="48">
        <v>24629.07</v>
      </c>
      <c r="R126" s="48">
        <v>5812.08</v>
      </c>
      <c r="S126" s="48">
        <v>2013.51</v>
      </c>
      <c r="T126" s="48">
        <v>896.19</v>
      </c>
      <c r="U126" s="48">
        <v>296.08999999999997</v>
      </c>
      <c r="V126" s="48">
        <v>2215.4</v>
      </c>
      <c r="W126" s="48">
        <v>53756.45</v>
      </c>
      <c r="X126">
        <v>8</v>
      </c>
      <c r="Y126" t="s">
        <v>101</v>
      </c>
      <c r="Z126">
        <v>205.24</v>
      </c>
      <c r="AA126" t="s">
        <v>91</v>
      </c>
      <c r="AB126" t="s">
        <v>47</v>
      </c>
      <c r="AC126" t="s">
        <v>60</v>
      </c>
      <c r="AD126" t="s">
        <v>130</v>
      </c>
      <c r="AE126" t="s">
        <v>50</v>
      </c>
      <c r="AF126" s="5">
        <f>DATE(YEAR(C126),MONTH(C126),1)</f>
        <v>45658</v>
      </c>
      <c r="AG126">
        <f>E126-D126</f>
        <v>26</v>
      </c>
      <c r="AH126" s="6">
        <f t="shared" si="1"/>
        <v>59.983458825989509</v>
      </c>
    </row>
    <row r="127" spans="1:34">
      <c r="A127" t="s">
        <v>367</v>
      </c>
      <c r="B127" t="s">
        <v>368</v>
      </c>
      <c r="C127" s="1">
        <v>45979</v>
      </c>
      <c r="D127" s="1">
        <v>45983</v>
      </c>
      <c r="E127" s="1">
        <v>46002</v>
      </c>
      <c r="F127" t="s">
        <v>234</v>
      </c>
      <c r="G127" t="s">
        <v>111</v>
      </c>
      <c r="H127" t="s">
        <v>150</v>
      </c>
      <c r="I127" t="s">
        <v>115</v>
      </c>
      <c r="J127" t="s">
        <v>98</v>
      </c>
      <c r="K127" t="s">
        <v>99</v>
      </c>
      <c r="L127" t="s">
        <v>100</v>
      </c>
      <c r="M127" t="s">
        <v>79</v>
      </c>
      <c r="N127">
        <v>2</v>
      </c>
      <c r="O127" t="s">
        <v>69</v>
      </c>
      <c r="P127" s="48">
        <v>84912.46</v>
      </c>
      <c r="Q127" s="48">
        <v>24590.1</v>
      </c>
      <c r="R127" s="48">
        <v>3755.25</v>
      </c>
      <c r="S127" s="48">
        <v>2016.84</v>
      </c>
      <c r="T127" s="48">
        <v>849.12</v>
      </c>
      <c r="U127" s="48">
        <v>731.42</v>
      </c>
      <c r="V127" s="48">
        <v>1323.16</v>
      </c>
      <c r="W127" s="48">
        <v>51646.57</v>
      </c>
      <c r="X127">
        <v>8</v>
      </c>
      <c r="Y127" t="s">
        <v>117</v>
      </c>
      <c r="Z127">
        <v>204.92</v>
      </c>
      <c r="AA127" t="s">
        <v>91</v>
      </c>
      <c r="AB127" t="s">
        <v>92</v>
      </c>
      <c r="AC127" t="s">
        <v>48</v>
      </c>
      <c r="AD127" t="s">
        <v>61</v>
      </c>
      <c r="AE127" t="s">
        <v>71</v>
      </c>
      <c r="AF127" s="5">
        <f>DATE(YEAR(C127),MONTH(C127),1)</f>
        <v>45962</v>
      </c>
      <c r="AG127">
        <f>E127-D127</f>
        <v>19</v>
      </c>
      <c r="AH127" s="6">
        <f t="shared" si="1"/>
        <v>60.823311443338227</v>
      </c>
    </row>
    <row r="128" spans="1:34">
      <c r="A128" t="s">
        <v>369</v>
      </c>
      <c r="B128" t="s">
        <v>370</v>
      </c>
      <c r="C128" s="1">
        <v>45908</v>
      </c>
      <c r="D128" s="1">
        <v>45911</v>
      </c>
      <c r="E128" s="1">
        <v>45938</v>
      </c>
      <c r="F128" t="s">
        <v>65</v>
      </c>
      <c r="G128" t="s">
        <v>66</v>
      </c>
      <c r="H128" t="s">
        <v>67</v>
      </c>
      <c r="I128" t="s">
        <v>57</v>
      </c>
      <c r="J128" t="s">
        <v>98</v>
      </c>
      <c r="K128" t="s">
        <v>99</v>
      </c>
      <c r="L128" t="s">
        <v>155</v>
      </c>
      <c r="M128" t="s">
        <v>79</v>
      </c>
      <c r="N128">
        <v>2</v>
      </c>
      <c r="O128" t="s">
        <v>111</v>
      </c>
      <c r="P128" s="48">
        <v>84862.71</v>
      </c>
      <c r="Q128" s="48">
        <v>24532.720000000001</v>
      </c>
      <c r="R128" s="48">
        <v>4456.88</v>
      </c>
      <c r="S128" s="48">
        <v>2432.91</v>
      </c>
      <c r="T128" s="48">
        <v>848.63</v>
      </c>
      <c r="U128" s="48">
        <v>639.29999999999995</v>
      </c>
      <c r="V128" s="48">
        <v>1120.55</v>
      </c>
      <c r="W128" s="48">
        <v>50831.72</v>
      </c>
      <c r="X128">
        <v>12</v>
      </c>
      <c r="Y128" t="s">
        <v>135</v>
      </c>
      <c r="Z128">
        <v>204.44</v>
      </c>
      <c r="AA128" t="s">
        <v>91</v>
      </c>
      <c r="AB128" t="s">
        <v>92</v>
      </c>
      <c r="AC128" t="s">
        <v>60</v>
      </c>
      <c r="AD128" t="s">
        <v>144</v>
      </c>
      <c r="AE128" t="s">
        <v>71</v>
      </c>
      <c r="AF128" s="5">
        <f>DATE(YEAR(C128),MONTH(C128),1)</f>
        <v>45901</v>
      </c>
      <c r="AG128">
        <f>E128-D128</f>
        <v>27</v>
      </c>
      <c r="AH128" s="6">
        <f t="shared" si="1"/>
        <v>59.89877061432518</v>
      </c>
    </row>
    <row r="129" spans="1:34">
      <c r="A129" t="s">
        <v>371</v>
      </c>
      <c r="B129" t="s">
        <v>372</v>
      </c>
      <c r="C129" s="1">
        <v>45863</v>
      </c>
      <c r="D129" s="1">
        <v>45866</v>
      </c>
      <c r="E129" s="1">
        <v>45885</v>
      </c>
      <c r="F129" t="s">
        <v>83</v>
      </c>
      <c r="G129" t="s">
        <v>84</v>
      </c>
      <c r="H129" t="s">
        <v>85</v>
      </c>
      <c r="I129" t="s">
        <v>40</v>
      </c>
      <c r="J129" t="s">
        <v>122</v>
      </c>
      <c r="K129" t="s">
        <v>123</v>
      </c>
      <c r="L129" t="s">
        <v>59</v>
      </c>
      <c r="M129" t="s">
        <v>43</v>
      </c>
      <c r="N129">
        <v>4</v>
      </c>
      <c r="O129" t="s">
        <v>44</v>
      </c>
      <c r="P129" s="48">
        <v>116412.07</v>
      </c>
      <c r="Q129" s="48">
        <v>24315.62</v>
      </c>
      <c r="R129" s="48">
        <v>4992.0600000000004</v>
      </c>
      <c r="S129" s="48">
        <v>2302.38</v>
      </c>
      <c r="T129" s="48">
        <v>1164.1199999999999</v>
      </c>
      <c r="U129" s="48">
        <v>398.58</v>
      </c>
      <c r="V129" s="48">
        <v>1091.58</v>
      </c>
      <c r="W129" s="48">
        <v>82147.73</v>
      </c>
      <c r="X129">
        <v>36</v>
      </c>
      <c r="Y129" t="s">
        <v>112</v>
      </c>
      <c r="Z129">
        <v>202.63</v>
      </c>
      <c r="AA129" t="s">
        <v>91</v>
      </c>
      <c r="AB129" t="s">
        <v>47</v>
      </c>
      <c r="AC129" t="s">
        <v>60</v>
      </c>
      <c r="AD129" t="s">
        <v>49</v>
      </c>
      <c r="AE129" t="s">
        <v>102</v>
      </c>
      <c r="AF129" s="5">
        <f>DATE(YEAR(C129),MONTH(C129),1)</f>
        <v>45839</v>
      </c>
      <c r="AG129">
        <f>E129-D129</f>
        <v>19</v>
      </c>
      <c r="AH129" s="6">
        <f t="shared" si="1"/>
        <v>70.566333886168323</v>
      </c>
    </row>
    <row r="130" spans="1:34">
      <c r="A130" t="s">
        <v>373</v>
      </c>
      <c r="B130" t="s">
        <v>374</v>
      </c>
      <c r="C130" s="1">
        <v>46013</v>
      </c>
      <c r="D130" s="1">
        <v>46017</v>
      </c>
      <c r="E130" s="1">
        <v>46028</v>
      </c>
      <c r="F130" t="s">
        <v>65</v>
      </c>
      <c r="G130" t="s">
        <v>66</v>
      </c>
      <c r="H130" t="s">
        <v>67</v>
      </c>
      <c r="I130" t="s">
        <v>40</v>
      </c>
      <c r="J130" t="s">
        <v>122</v>
      </c>
      <c r="K130" t="s">
        <v>123</v>
      </c>
      <c r="L130" t="s">
        <v>124</v>
      </c>
      <c r="M130" t="s">
        <v>68</v>
      </c>
      <c r="N130">
        <v>2</v>
      </c>
      <c r="O130" t="s">
        <v>80</v>
      </c>
      <c r="P130" s="48">
        <v>84805.6</v>
      </c>
      <c r="Q130" s="48">
        <v>24312.15</v>
      </c>
      <c r="R130" s="48">
        <v>5823.13</v>
      </c>
      <c r="S130" s="48">
        <v>1954.19</v>
      </c>
      <c r="T130" s="48">
        <v>848.06</v>
      </c>
      <c r="U130" s="48">
        <v>683.38</v>
      </c>
      <c r="V130" s="48">
        <v>1184.3699999999999</v>
      </c>
      <c r="W130" s="48">
        <v>50000.32</v>
      </c>
      <c r="X130">
        <v>12</v>
      </c>
      <c r="Y130" t="s">
        <v>112</v>
      </c>
      <c r="Z130">
        <v>202.6</v>
      </c>
      <c r="AA130" t="s">
        <v>91</v>
      </c>
      <c r="AB130" t="s">
        <v>92</v>
      </c>
      <c r="AC130" t="s">
        <v>48</v>
      </c>
      <c r="AD130" t="s">
        <v>93</v>
      </c>
      <c r="AE130" t="s">
        <v>71</v>
      </c>
      <c r="AF130" s="5">
        <f>DATE(YEAR(C130),MONTH(C130),1)</f>
        <v>45992</v>
      </c>
      <c r="AG130">
        <f>E130-D130</f>
        <v>11</v>
      </c>
      <c r="AH130" s="6">
        <f t="shared" si="1"/>
        <v>58.958748007207063</v>
      </c>
    </row>
    <row r="131" spans="1:34">
      <c r="A131" t="s">
        <v>375</v>
      </c>
      <c r="B131" t="s">
        <v>376</v>
      </c>
      <c r="C131" s="1">
        <v>45952</v>
      </c>
      <c r="D131" s="1">
        <v>45956</v>
      </c>
      <c r="E131" s="1">
        <v>45972</v>
      </c>
      <c r="F131" t="s">
        <v>120</v>
      </c>
      <c r="G131" t="s">
        <v>75</v>
      </c>
      <c r="H131" t="s">
        <v>121</v>
      </c>
      <c r="I131" t="s">
        <v>57</v>
      </c>
      <c r="J131" t="s">
        <v>98</v>
      </c>
      <c r="K131" t="s">
        <v>99</v>
      </c>
      <c r="L131" t="s">
        <v>100</v>
      </c>
      <c r="M131" t="s">
        <v>68</v>
      </c>
      <c r="N131">
        <v>2</v>
      </c>
      <c r="O131" t="s">
        <v>111</v>
      </c>
      <c r="P131" s="48">
        <v>86462.31</v>
      </c>
      <c r="Q131" s="48">
        <v>24173.59</v>
      </c>
      <c r="R131" s="48">
        <v>3553.12</v>
      </c>
      <c r="S131" s="48">
        <v>2569.35</v>
      </c>
      <c r="T131" s="48">
        <v>864.62</v>
      </c>
      <c r="U131" s="48">
        <v>598.73</v>
      </c>
      <c r="V131" s="48">
        <v>1975.22</v>
      </c>
      <c r="W131" s="48">
        <v>52727.68</v>
      </c>
      <c r="X131">
        <v>24</v>
      </c>
      <c r="Y131" t="s">
        <v>90</v>
      </c>
      <c r="Z131">
        <v>201.45</v>
      </c>
      <c r="AA131" t="s">
        <v>91</v>
      </c>
      <c r="AB131" t="s">
        <v>92</v>
      </c>
      <c r="AC131" t="s">
        <v>60</v>
      </c>
      <c r="AD131" t="s">
        <v>93</v>
      </c>
      <c r="AE131" t="s">
        <v>62</v>
      </c>
      <c r="AF131" s="5">
        <f>DATE(YEAR(C131),MONTH(C131),1)</f>
        <v>45931</v>
      </c>
      <c r="AG131">
        <f>E131-D131</f>
        <v>16</v>
      </c>
      <c r="AH131" s="6">
        <f t="shared" ref="AH131:AH194" si="2">W131/P131*100</f>
        <v>60.98342734539478</v>
      </c>
    </row>
    <row r="132" spans="1:34">
      <c r="A132" t="s">
        <v>377</v>
      </c>
      <c r="B132" t="s">
        <v>378</v>
      </c>
      <c r="C132" s="1">
        <v>45974</v>
      </c>
      <c r="D132" s="1">
        <v>45975</v>
      </c>
      <c r="E132" s="1">
        <v>45999</v>
      </c>
      <c r="F132" t="s">
        <v>36</v>
      </c>
      <c r="G132" t="s">
        <v>37</v>
      </c>
      <c r="H132" t="s">
        <v>38</v>
      </c>
      <c r="I132" t="s">
        <v>56</v>
      </c>
      <c r="J132" t="s">
        <v>57</v>
      </c>
      <c r="K132" t="s">
        <v>58</v>
      </c>
      <c r="L132" t="s">
        <v>116</v>
      </c>
      <c r="M132" t="s">
        <v>68</v>
      </c>
      <c r="N132">
        <v>4</v>
      </c>
      <c r="O132" t="s">
        <v>69</v>
      </c>
      <c r="P132" s="48">
        <v>124440.78</v>
      </c>
      <c r="Q132" s="48">
        <v>23872.69</v>
      </c>
      <c r="R132" s="48">
        <v>7425.23</v>
      </c>
      <c r="S132" s="48">
        <v>2474.73</v>
      </c>
      <c r="T132" s="48">
        <v>1244.4100000000001</v>
      </c>
      <c r="U132" s="48">
        <v>160.69</v>
      </c>
      <c r="V132" s="48">
        <v>760.78</v>
      </c>
      <c r="W132" s="48">
        <v>88502.25</v>
      </c>
      <c r="X132">
        <v>48</v>
      </c>
      <c r="Y132" t="s">
        <v>112</v>
      </c>
      <c r="Z132">
        <v>198.94</v>
      </c>
      <c r="AA132" t="s">
        <v>91</v>
      </c>
      <c r="AB132" t="s">
        <v>92</v>
      </c>
      <c r="AC132" t="s">
        <v>60</v>
      </c>
      <c r="AD132" t="s">
        <v>144</v>
      </c>
      <c r="AE132" t="s">
        <v>102</v>
      </c>
      <c r="AF132" s="5">
        <f>DATE(YEAR(C132),MONTH(C132),1)</f>
        <v>45962</v>
      </c>
      <c r="AG132">
        <f>E132-D132</f>
        <v>24</v>
      </c>
      <c r="AH132" s="6">
        <f t="shared" si="2"/>
        <v>71.119973693511085</v>
      </c>
    </row>
    <row r="133" spans="1:34">
      <c r="A133" t="s">
        <v>379</v>
      </c>
      <c r="B133" t="s">
        <v>380</v>
      </c>
      <c r="C133" s="1">
        <v>45925</v>
      </c>
      <c r="D133" s="1">
        <v>45928</v>
      </c>
      <c r="E133" s="1">
        <v>45942</v>
      </c>
      <c r="F133" t="s">
        <v>83</v>
      </c>
      <c r="G133" t="s">
        <v>84</v>
      </c>
      <c r="H133" t="s">
        <v>85</v>
      </c>
      <c r="I133" t="s">
        <v>56</v>
      </c>
      <c r="J133" t="s">
        <v>57</v>
      </c>
      <c r="K133" t="s">
        <v>58</v>
      </c>
      <c r="L133" t="s">
        <v>78</v>
      </c>
      <c r="M133" t="s">
        <v>108</v>
      </c>
      <c r="N133">
        <v>4</v>
      </c>
      <c r="O133" t="s">
        <v>111</v>
      </c>
      <c r="P133" s="48">
        <v>90136.37</v>
      </c>
      <c r="Q133" s="48">
        <v>23811.61</v>
      </c>
      <c r="R133" s="48">
        <v>4823.97</v>
      </c>
      <c r="S133" s="48">
        <v>1604.47</v>
      </c>
      <c r="T133" s="48">
        <v>901.36</v>
      </c>
      <c r="U133" s="48">
        <v>836.27</v>
      </c>
      <c r="V133" s="48">
        <v>2273.02</v>
      </c>
      <c r="W133" s="48">
        <v>55885.67</v>
      </c>
      <c r="X133">
        <v>8</v>
      </c>
      <c r="Y133" t="s">
        <v>135</v>
      </c>
      <c r="Z133">
        <v>198.43</v>
      </c>
      <c r="AA133" t="s">
        <v>91</v>
      </c>
      <c r="AB133" t="s">
        <v>47</v>
      </c>
      <c r="AC133" t="s">
        <v>48</v>
      </c>
      <c r="AD133" t="s">
        <v>130</v>
      </c>
      <c r="AE133" t="s">
        <v>50</v>
      </c>
      <c r="AF133" s="5">
        <f>DATE(YEAR(C133),MONTH(C133),1)</f>
        <v>45901</v>
      </c>
      <c r="AG133">
        <f>E133-D133</f>
        <v>14</v>
      </c>
      <c r="AH133" s="6">
        <f t="shared" si="2"/>
        <v>62.001243227345412</v>
      </c>
    </row>
    <row r="134" spans="1:34">
      <c r="A134" t="s">
        <v>381</v>
      </c>
      <c r="B134" t="s">
        <v>382</v>
      </c>
      <c r="C134" s="1">
        <v>45859</v>
      </c>
      <c r="D134" s="1">
        <v>45863</v>
      </c>
      <c r="E134" s="1">
        <v>45892</v>
      </c>
      <c r="F134" t="s">
        <v>65</v>
      </c>
      <c r="G134" t="s">
        <v>66</v>
      </c>
      <c r="H134" t="s">
        <v>67</v>
      </c>
      <c r="I134" t="s">
        <v>115</v>
      </c>
      <c r="J134" t="s">
        <v>98</v>
      </c>
      <c r="K134" t="s">
        <v>99</v>
      </c>
      <c r="L134" t="s">
        <v>78</v>
      </c>
      <c r="M134" t="s">
        <v>68</v>
      </c>
      <c r="N134">
        <v>4</v>
      </c>
      <c r="O134" t="s">
        <v>80</v>
      </c>
      <c r="P134" s="48">
        <v>128672.64</v>
      </c>
      <c r="Q134" s="48">
        <v>23785.88</v>
      </c>
      <c r="R134" s="48">
        <v>8593.7199999999993</v>
      </c>
      <c r="S134" s="48">
        <v>2817.6</v>
      </c>
      <c r="T134" s="48">
        <v>1286.73</v>
      </c>
      <c r="U134" s="48">
        <v>246.36</v>
      </c>
      <c r="V134" s="48">
        <v>2267.6999999999998</v>
      </c>
      <c r="W134" s="48">
        <v>89674.65</v>
      </c>
      <c r="X134">
        <v>24</v>
      </c>
      <c r="Y134" t="s">
        <v>112</v>
      </c>
      <c r="Z134">
        <v>198.22</v>
      </c>
      <c r="AA134" t="s">
        <v>91</v>
      </c>
      <c r="AB134" t="s">
        <v>47</v>
      </c>
      <c r="AC134" t="s">
        <v>70</v>
      </c>
      <c r="AD134" t="s">
        <v>61</v>
      </c>
      <c r="AE134" t="s">
        <v>102</v>
      </c>
      <c r="AF134" s="5">
        <f>DATE(YEAR(C134),MONTH(C134),1)</f>
        <v>45839</v>
      </c>
      <c r="AG134">
        <f>E134-D134</f>
        <v>29</v>
      </c>
      <c r="AH134" s="6">
        <f t="shared" si="2"/>
        <v>69.692088388020949</v>
      </c>
    </row>
    <row r="135" spans="1:34">
      <c r="A135" t="s">
        <v>383</v>
      </c>
      <c r="B135" t="s">
        <v>384</v>
      </c>
      <c r="C135" s="1">
        <v>46017</v>
      </c>
      <c r="D135" s="1">
        <v>46018</v>
      </c>
      <c r="E135" s="1">
        <v>46033</v>
      </c>
      <c r="F135" t="s">
        <v>138</v>
      </c>
      <c r="G135" t="s">
        <v>139</v>
      </c>
      <c r="H135" t="s">
        <v>76</v>
      </c>
      <c r="I135" t="s">
        <v>40</v>
      </c>
      <c r="J135" t="s">
        <v>122</v>
      </c>
      <c r="K135" t="s">
        <v>123</v>
      </c>
      <c r="L135" t="s">
        <v>124</v>
      </c>
      <c r="M135" t="s">
        <v>43</v>
      </c>
      <c r="N135">
        <v>2</v>
      </c>
      <c r="O135" t="s">
        <v>89</v>
      </c>
      <c r="P135" s="48">
        <v>85554.53</v>
      </c>
      <c r="Q135" s="48">
        <v>23649.31</v>
      </c>
      <c r="R135" s="48">
        <v>4624.79</v>
      </c>
      <c r="S135" s="48">
        <v>1606.5</v>
      </c>
      <c r="T135" s="48">
        <v>855.55</v>
      </c>
      <c r="U135" s="48">
        <v>742.49</v>
      </c>
      <c r="V135" s="48">
        <v>337.78</v>
      </c>
      <c r="W135" s="48">
        <v>53738.11</v>
      </c>
      <c r="X135">
        <v>0</v>
      </c>
      <c r="Y135" t="s">
        <v>45</v>
      </c>
      <c r="Z135">
        <v>197.08</v>
      </c>
      <c r="AA135" t="s">
        <v>46</v>
      </c>
      <c r="AB135" t="s">
        <v>47</v>
      </c>
      <c r="AC135" t="s">
        <v>48</v>
      </c>
      <c r="AD135" t="s">
        <v>61</v>
      </c>
      <c r="AE135" t="s">
        <v>62</v>
      </c>
      <c r="AF135" s="5">
        <f>DATE(YEAR(C135),MONTH(C135),1)</f>
        <v>45992</v>
      </c>
      <c r="AG135">
        <f>E135-D135</f>
        <v>15</v>
      </c>
      <c r="AH135" s="6">
        <f t="shared" si="2"/>
        <v>62.811530844713893</v>
      </c>
    </row>
    <row r="136" spans="1:34">
      <c r="A136" t="s">
        <v>385</v>
      </c>
      <c r="B136" t="s">
        <v>386</v>
      </c>
      <c r="C136" s="1">
        <v>45903</v>
      </c>
      <c r="D136" s="1">
        <v>45905</v>
      </c>
      <c r="E136" s="1">
        <v>45921</v>
      </c>
      <c r="F136" t="s">
        <v>74</v>
      </c>
      <c r="G136" t="s">
        <v>75</v>
      </c>
      <c r="H136" t="s">
        <v>76</v>
      </c>
      <c r="I136" t="s">
        <v>40</v>
      </c>
      <c r="J136" t="s">
        <v>122</v>
      </c>
      <c r="K136" t="s">
        <v>123</v>
      </c>
      <c r="L136" t="s">
        <v>127</v>
      </c>
      <c r="M136" t="s">
        <v>79</v>
      </c>
      <c r="N136">
        <v>2</v>
      </c>
      <c r="O136" t="s">
        <v>111</v>
      </c>
      <c r="P136" s="48">
        <v>79937.13</v>
      </c>
      <c r="Q136" s="48">
        <v>23387</v>
      </c>
      <c r="R136" s="48">
        <v>4445.4799999999996</v>
      </c>
      <c r="S136" s="48">
        <v>1952.94</v>
      </c>
      <c r="T136" s="48">
        <v>799.37</v>
      </c>
      <c r="U136" s="48">
        <v>436.22</v>
      </c>
      <c r="V136" s="48">
        <v>1626.8</v>
      </c>
      <c r="W136" s="48">
        <v>47289.32</v>
      </c>
      <c r="X136">
        <v>0</v>
      </c>
      <c r="Y136" t="s">
        <v>45</v>
      </c>
      <c r="Z136">
        <v>194.89</v>
      </c>
      <c r="AA136" t="s">
        <v>46</v>
      </c>
      <c r="AB136" t="s">
        <v>47</v>
      </c>
      <c r="AC136" t="s">
        <v>60</v>
      </c>
      <c r="AD136" t="s">
        <v>130</v>
      </c>
      <c r="AE136" t="s">
        <v>50</v>
      </c>
      <c r="AF136" s="5">
        <f>DATE(YEAR(C136),MONTH(C136),1)</f>
        <v>45901</v>
      </c>
      <c r="AG136">
        <f>E136-D136</f>
        <v>16</v>
      </c>
      <c r="AH136" s="6">
        <f t="shared" si="2"/>
        <v>59.158140903982911</v>
      </c>
    </row>
    <row r="137" spans="1:34">
      <c r="A137" t="s">
        <v>387</v>
      </c>
      <c r="B137" t="s">
        <v>388</v>
      </c>
      <c r="C137" s="1">
        <v>45733</v>
      </c>
      <c r="D137" s="1">
        <v>45735</v>
      </c>
      <c r="E137" s="1">
        <v>45761</v>
      </c>
      <c r="F137" t="s">
        <v>180</v>
      </c>
      <c r="G137" t="s">
        <v>181</v>
      </c>
      <c r="H137" t="s">
        <v>38</v>
      </c>
      <c r="I137" t="s">
        <v>122</v>
      </c>
      <c r="J137" t="s">
        <v>115</v>
      </c>
      <c r="K137" t="s">
        <v>41</v>
      </c>
      <c r="L137" t="s">
        <v>59</v>
      </c>
      <c r="M137" t="s">
        <v>108</v>
      </c>
      <c r="N137">
        <v>4</v>
      </c>
      <c r="O137" t="s">
        <v>111</v>
      </c>
      <c r="P137" s="48">
        <v>108521.98</v>
      </c>
      <c r="Q137" s="48">
        <v>23329.9</v>
      </c>
      <c r="R137" s="48">
        <v>8545.7199999999993</v>
      </c>
      <c r="S137" s="48">
        <v>2075.5700000000002</v>
      </c>
      <c r="T137" s="48">
        <v>1085.22</v>
      </c>
      <c r="U137" s="48">
        <v>633.44000000000005</v>
      </c>
      <c r="V137" s="48">
        <v>1857.02</v>
      </c>
      <c r="W137" s="48">
        <v>70995.11</v>
      </c>
      <c r="X137">
        <v>12</v>
      </c>
      <c r="Y137" t="s">
        <v>90</v>
      </c>
      <c r="Z137">
        <v>194.42</v>
      </c>
      <c r="AA137" t="s">
        <v>91</v>
      </c>
      <c r="AB137" t="s">
        <v>47</v>
      </c>
      <c r="AC137" t="s">
        <v>70</v>
      </c>
      <c r="AD137" t="s">
        <v>61</v>
      </c>
      <c r="AE137" t="s">
        <v>50</v>
      </c>
      <c r="AF137" s="5">
        <f>DATE(YEAR(C137),MONTH(C137),1)</f>
        <v>45717</v>
      </c>
      <c r="AG137">
        <f>E137-D137</f>
        <v>26</v>
      </c>
      <c r="AH137" s="6">
        <f t="shared" si="2"/>
        <v>65.42002827445647</v>
      </c>
    </row>
    <row r="138" spans="1:34">
      <c r="A138" t="s">
        <v>389</v>
      </c>
      <c r="B138" t="s">
        <v>390</v>
      </c>
      <c r="C138" s="1">
        <v>45689</v>
      </c>
      <c r="D138" s="1">
        <v>45692</v>
      </c>
      <c r="E138" s="1">
        <v>45718</v>
      </c>
      <c r="F138" t="s">
        <v>83</v>
      </c>
      <c r="G138" t="s">
        <v>84</v>
      </c>
      <c r="H138" t="s">
        <v>85</v>
      </c>
      <c r="I138" t="s">
        <v>86</v>
      </c>
      <c r="J138" t="s">
        <v>87</v>
      </c>
      <c r="K138" t="s">
        <v>88</v>
      </c>
      <c r="L138" t="s">
        <v>42</v>
      </c>
      <c r="M138" t="s">
        <v>68</v>
      </c>
      <c r="N138">
        <v>2</v>
      </c>
      <c r="O138" t="s">
        <v>105</v>
      </c>
      <c r="P138" s="48">
        <v>82266.509999999995</v>
      </c>
      <c r="Q138" s="48">
        <v>23253.759999999998</v>
      </c>
      <c r="R138" s="48">
        <v>6407.39</v>
      </c>
      <c r="S138" s="48">
        <v>2324.81</v>
      </c>
      <c r="T138" s="48">
        <v>822.67</v>
      </c>
      <c r="U138" s="48">
        <v>745.77</v>
      </c>
      <c r="V138" s="48">
        <v>1629.31</v>
      </c>
      <c r="W138" s="48">
        <v>47082.8</v>
      </c>
      <c r="X138">
        <v>4</v>
      </c>
      <c r="Y138" t="s">
        <v>112</v>
      </c>
      <c r="Z138">
        <v>193.78</v>
      </c>
      <c r="AA138" t="s">
        <v>91</v>
      </c>
      <c r="AB138" t="s">
        <v>92</v>
      </c>
      <c r="AC138" t="s">
        <v>48</v>
      </c>
      <c r="AD138" t="s">
        <v>130</v>
      </c>
      <c r="AE138" t="s">
        <v>62</v>
      </c>
      <c r="AF138" s="5">
        <f>DATE(YEAR(C138),MONTH(C138),1)</f>
        <v>45689</v>
      </c>
      <c r="AG138">
        <f>E138-D138</f>
        <v>26</v>
      </c>
      <c r="AH138" s="6">
        <f t="shared" si="2"/>
        <v>57.232037678515844</v>
      </c>
    </row>
    <row r="139" spans="1:34">
      <c r="A139" t="s">
        <v>391</v>
      </c>
      <c r="B139" t="s">
        <v>392</v>
      </c>
      <c r="C139" s="1">
        <v>45926</v>
      </c>
      <c r="D139" s="1">
        <v>45930</v>
      </c>
      <c r="E139" s="1">
        <v>45943</v>
      </c>
      <c r="F139" t="s">
        <v>36</v>
      </c>
      <c r="G139" t="s">
        <v>37</v>
      </c>
      <c r="H139" t="s">
        <v>38</v>
      </c>
      <c r="I139" t="s">
        <v>122</v>
      </c>
      <c r="J139" t="s">
        <v>87</v>
      </c>
      <c r="K139" t="s">
        <v>41</v>
      </c>
      <c r="L139" t="s">
        <v>59</v>
      </c>
      <c r="M139" t="s">
        <v>79</v>
      </c>
      <c r="N139">
        <v>2</v>
      </c>
      <c r="O139" t="s">
        <v>54</v>
      </c>
      <c r="P139" s="48">
        <v>89056.17</v>
      </c>
      <c r="Q139" s="48">
        <v>23174.080000000002</v>
      </c>
      <c r="R139" s="48">
        <v>7107.68</v>
      </c>
      <c r="S139" s="48">
        <v>2544.17</v>
      </c>
      <c r="T139" s="48">
        <v>890.56</v>
      </c>
      <c r="U139" s="48">
        <v>719.79</v>
      </c>
      <c r="V139" s="48">
        <v>1823.95</v>
      </c>
      <c r="W139" s="48">
        <v>52795.94</v>
      </c>
      <c r="X139">
        <v>0</v>
      </c>
      <c r="Y139" t="s">
        <v>45</v>
      </c>
      <c r="Z139">
        <v>193.12</v>
      </c>
      <c r="AA139" t="s">
        <v>46</v>
      </c>
      <c r="AB139" t="s">
        <v>92</v>
      </c>
      <c r="AC139" t="s">
        <v>70</v>
      </c>
      <c r="AD139" t="s">
        <v>130</v>
      </c>
      <c r="AE139" t="s">
        <v>102</v>
      </c>
      <c r="AF139" s="5">
        <f>DATE(YEAR(C139),MONTH(C139),1)</f>
        <v>45901</v>
      </c>
      <c r="AG139">
        <f>E139-D139</f>
        <v>13</v>
      </c>
      <c r="AH139" s="6">
        <f t="shared" si="2"/>
        <v>59.283865452556519</v>
      </c>
    </row>
    <row r="140" spans="1:34">
      <c r="A140" t="s">
        <v>393</v>
      </c>
      <c r="B140" t="s">
        <v>394</v>
      </c>
      <c r="C140" s="1">
        <v>45898</v>
      </c>
      <c r="D140" s="1">
        <v>45901</v>
      </c>
      <c r="E140" s="1">
        <v>45927</v>
      </c>
      <c r="F140" t="s">
        <v>153</v>
      </c>
      <c r="G140" t="s">
        <v>75</v>
      </c>
      <c r="H140" t="s">
        <v>154</v>
      </c>
      <c r="I140" t="s">
        <v>40</v>
      </c>
      <c r="J140" t="s">
        <v>122</v>
      </c>
      <c r="K140" t="s">
        <v>123</v>
      </c>
      <c r="L140" t="s">
        <v>100</v>
      </c>
      <c r="M140" t="s">
        <v>79</v>
      </c>
      <c r="N140">
        <v>2</v>
      </c>
      <c r="O140" t="s">
        <v>44</v>
      </c>
      <c r="P140" s="48">
        <v>78123.44</v>
      </c>
      <c r="Q140" s="48">
        <v>23047.8</v>
      </c>
      <c r="R140" s="48">
        <v>5359.36</v>
      </c>
      <c r="S140" s="48">
        <v>1308.22</v>
      </c>
      <c r="T140" s="48">
        <v>781.23</v>
      </c>
      <c r="U140" s="48">
        <v>629.66999999999996</v>
      </c>
      <c r="V140" s="48">
        <v>537.11</v>
      </c>
      <c r="W140" s="48">
        <v>46460.05</v>
      </c>
      <c r="X140">
        <v>0</v>
      </c>
      <c r="Y140" t="s">
        <v>45</v>
      </c>
      <c r="Z140">
        <v>192.06</v>
      </c>
      <c r="AA140" t="s">
        <v>46</v>
      </c>
      <c r="AB140" t="s">
        <v>92</v>
      </c>
      <c r="AC140" t="s">
        <v>60</v>
      </c>
      <c r="AD140" t="s">
        <v>144</v>
      </c>
      <c r="AE140" t="s">
        <v>102</v>
      </c>
      <c r="AF140" s="5">
        <f>DATE(YEAR(C140),MONTH(C140),1)</f>
        <v>45870</v>
      </c>
      <c r="AG140">
        <f>E140-D140</f>
        <v>26</v>
      </c>
      <c r="AH140" s="6">
        <f t="shared" si="2"/>
        <v>59.470051497988322</v>
      </c>
    </row>
    <row r="141" spans="1:34">
      <c r="A141" t="s">
        <v>395</v>
      </c>
      <c r="B141" t="s">
        <v>396</v>
      </c>
      <c r="C141" s="1">
        <v>45659</v>
      </c>
      <c r="D141" s="1">
        <v>45662</v>
      </c>
      <c r="E141" s="1">
        <v>45679</v>
      </c>
      <c r="F141" t="s">
        <v>96</v>
      </c>
      <c r="G141" t="s">
        <v>97</v>
      </c>
      <c r="H141" t="s">
        <v>76</v>
      </c>
      <c r="I141" t="s">
        <v>57</v>
      </c>
      <c r="J141" t="s">
        <v>39</v>
      </c>
      <c r="K141" t="s">
        <v>41</v>
      </c>
      <c r="L141" t="s">
        <v>100</v>
      </c>
      <c r="M141" t="s">
        <v>43</v>
      </c>
      <c r="N141">
        <v>4</v>
      </c>
      <c r="O141" t="s">
        <v>89</v>
      </c>
      <c r="P141" s="48">
        <v>85672.53</v>
      </c>
      <c r="Q141" s="48">
        <v>22997.46</v>
      </c>
      <c r="R141" s="48">
        <v>5573.63</v>
      </c>
      <c r="S141" s="48">
        <v>1094.6199999999999</v>
      </c>
      <c r="T141" s="48">
        <v>856.73</v>
      </c>
      <c r="U141" s="48">
        <v>207.37</v>
      </c>
      <c r="V141" s="48">
        <v>1796.66</v>
      </c>
      <c r="W141" s="48">
        <v>53146.06</v>
      </c>
      <c r="X141">
        <v>0</v>
      </c>
      <c r="Y141" t="s">
        <v>45</v>
      </c>
      <c r="Z141">
        <v>191.65</v>
      </c>
      <c r="AA141" t="s">
        <v>46</v>
      </c>
      <c r="AB141" t="s">
        <v>47</v>
      </c>
      <c r="AC141" t="s">
        <v>60</v>
      </c>
      <c r="AD141" t="s">
        <v>93</v>
      </c>
      <c r="AE141" t="s">
        <v>62</v>
      </c>
      <c r="AF141" s="5">
        <f>DATE(YEAR(C141),MONTH(C141),1)</f>
        <v>45658</v>
      </c>
      <c r="AG141">
        <f>E141-D141</f>
        <v>17</v>
      </c>
      <c r="AH141" s="6">
        <f t="shared" si="2"/>
        <v>62.033956508579827</v>
      </c>
    </row>
    <row r="142" spans="1:34">
      <c r="A142" t="s">
        <v>397</v>
      </c>
      <c r="B142" t="s">
        <v>398</v>
      </c>
      <c r="C142" s="1">
        <v>45860</v>
      </c>
      <c r="D142" s="1">
        <v>45864</v>
      </c>
      <c r="E142" s="1">
        <v>45883</v>
      </c>
      <c r="F142" t="s">
        <v>53</v>
      </c>
      <c r="G142" t="s">
        <v>54</v>
      </c>
      <c r="H142" t="s">
        <v>55</v>
      </c>
      <c r="I142" t="s">
        <v>98</v>
      </c>
      <c r="J142" t="s">
        <v>115</v>
      </c>
      <c r="K142" t="s">
        <v>41</v>
      </c>
      <c r="L142" t="s">
        <v>127</v>
      </c>
      <c r="M142" t="s">
        <v>108</v>
      </c>
      <c r="N142">
        <v>4</v>
      </c>
      <c r="O142" t="s">
        <v>44</v>
      </c>
      <c r="P142" s="48">
        <v>134158.44</v>
      </c>
      <c r="Q142" s="48">
        <v>22934.44</v>
      </c>
      <c r="R142" s="48">
        <v>5926.52</v>
      </c>
      <c r="S142" s="48">
        <v>3845.71</v>
      </c>
      <c r="T142" s="48">
        <v>1341.58</v>
      </c>
      <c r="U142" s="48">
        <v>689.11</v>
      </c>
      <c r="V142" s="48">
        <v>1756.34</v>
      </c>
      <c r="W142" s="48">
        <v>97664.74</v>
      </c>
      <c r="X142">
        <v>0</v>
      </c>
      <c r="Y142" t="s">
        <v>45</v>
      </c>
      <c r="Z142">
        <v>191.12</v>
      </c>
      <c r="AA142" t="s">
        <v>46</v>
      </c>
      <c r="AB142" t="s">
        <v>92</v>
      </c>
      <c r="AC142" t="s">
        <v>48</v>
      </c>
      <c r="AD142" t="s">
        <v>49</v>
      </c>
      <c r="AE142" t="s">
        <v>50</v>
      </c>
      <c r="AF142" s="5">
        <f>DATE(YEAR(C142),MONTH(C142),1)</f>
        <v>45839</v>
      </c>
      <c r="AG142">
        <f>E142-D142</f>
        <v>19</v>
      </c>
      <c r="AH142" s="6">
        <f t="shared" si="2"/>
        <v>72.798058772895686</v>
      </c>
    </row>
    <row r="143" spans="1:34">
      <c r="A143" t="s">
        <v>399</v>
      </c>
      <c r="B143" t="s">
        <v>400</v>
      </c>
      <c r="C143" s="1">
        <v>45922</v>
      </c>
      <c r="D143" s="1">
        <v>45924</v>
      </c>
      <c r="E143" s="1">
        <v>45942</v>
      </c>
      <c r="F143" t="s">
        <v>153</v>
      </c>
      <c r="G143" t="s">
        <v>75</v>
      </c>
      <c r="H143" t="s">
        <v>154</v>
      </c>
      <c r="I143" t="s">
        <v>86</v>
      </c>
      <c r="J143" t="s">
        <v>87</v>
      </c>
      <c r="K143" t="s">
        <v>88</v>
      </c>
      <c r="L143" t="s">
        <v>78</v>
      </c>
      <c r="M143" t="s">
        <v>43</v>
      </c>
      <c r="N143">
        <v>2</v>
      </c>
      <c r="O143" t="s">
        <v>54</v>
      </c>
      <c r="P143" s="48">
        <v>89595.09</v>
      </c>
      <c r="Q143" s="48">
        <v>22902.97</v>
      </c>
      <c r="R143" s="48">
        <v>6710.69</v>
      </c>
      <c r="S143" s="48">
        <v>1367.62</v>
      </c>
      <c r="T143" s="48">
        <v>895.95</v>
      </c>
      <c r="U143" s="48">
        <v>614.5</v>
      </c>
      <c r="V143" s="48">
        <v>831.61</v>
      </c>
      <c r="W143" s="48">
        <v>56271.75</v>
      </c>
      <c r="X143">
        <v>48</v>
      </c>
      <c r="Y143" t="s">
        <v>117</v>
      </c>
      <c r="Z143">
        <v>190.86</v>
      </c>
      <c r="AA143" t="s">
        <v>91</v>
      </c>
      <c r="AB143" t="s">
        <v>47</v>
      </c>
      <c r="AC143" t="s">
        <v>70</v>
      </c>
      <c r="AD143" t="s">
        <v>49</v>
      </c>
      <c r="AE143" t="s">
        <v>71</v>
      </c>
      <c r="AF143" s="5">
        <f>DATE(YEAR(C143),MONTH(C143),1)</f>
        <v>45901</v>
      </c>
      <c r="AG143">
        <f>E143-D143</f>
        <v>18</v>
      </c>
      <c r="AH143" s="6">
        <f t="shared" si="2"/>
        <v>62.80673416366902</v>
      </c>
    </row>
    <row r="144" spans="1:34">
      <c r="A144" t="s">
        <v>401</v>
      </c>
      <c r="B144" t="s">
        <v>402</v>
      </c>
      <c r="C144" s="1">
        <v>45703</v>
      </c>
      <c r="D144" s="1">
        <v>45704</v>
      </c>
      <c r="E144" s="1">
        <v>45716</v>
      </c>
      <c r="F144" t="s">
        <v>149</v>
      </c>
      <c r="G144" t="s">
        <v>111</v>
      </c>
      <c r="H144" t="s">
        <v>150</v>
      </c>
      <c r="I144" t="s">
        <v>57</v>
      </c>
      <c r="J144" t="s">
        <v>98</v>
      </c>
      <c r="K144" t="s">
        <v>41</v>
      </c>
      <c r="L144" t="s">
        <v>100</v>
      </c>
      <c r="M144" t="s">
        <v>79</v>
      </c>
      <c r="N144">
        <v>4</v>
      </c>
      <c r="O144" t="s">
        <v>54</v>
      </c>
      <c r="P144" s="48">
        <v>94817.24</v>
      </c>
      <c r="Q144" s="48">
        <v>22728.560000000001</v>
      </c>
      <c r="R144" s="48">
        <v>5159.53</v>
      </c>
      <c r="S144" s="48">
        <v>2268.38</v>
      </c>
      <c r="T144" s="48">
        <v>948.17</v>
      </c>
      <c r="U144" s="48">
        <v>119.13</v>
      </c>
      <c r="V144" s="48">
        <v>773.28</v>
      </c>
      <c r="W144" s="48">
        <v>62820.19</v>
      </c>
      <c r="X144">
        <v>24</v>
      </c>
      <c r="Y144" t="s">
        <v>117</v>
      </c>
      <c r="Z144">
        <v>189.4</v>
      </c>
      <c r="AA144" t="s">
        <v>91</v>
      </c>
      <c r="AB144" t="s">
        <v>47</v>
      </c>
      <c r="AC144" t="s">
        <v>60</v>
      </c>
      <c r="AD144" t="s">
        <v>61</v>
      </c>
      <c r="AE144" t="s">
        <v>50</v>
      </c>
      <c r="AF144" s="5">
        <f>DATE(YEAR(C144),MONTH(C144),1)</f>
        <v>45689</v>
      </c>
      <c r="AG144">
        <f>E144-D144</f>
        <v>12</v>
      </c>
      <c r="AH144" s="6">
        <f t="shared" si="2"/>
        <v>66.2539744881838</v>
      </c>
    </row>
    <row r="145" spans="1:34">
      <c r="A145" t="s">
        <v>403</v>
      </c>
      <c r="B145" t="s">
        <v>404</v>
      </c>
      <c r="C145" s="1">
        <v>45826</v>
      </c>
      <c r="D145" s="1">
        <v>45828</v>
      </c>
      <c r="E145" s="1">
        <v>45845</v>
      </c>
      <c r="F145" t="s">
        <v>96</v>
      </c>
      <c r="G145" t="s">
        <v>97</v>
      </c>
      <c r="H145" t="s">
        <v>76</v>
      </c>
      <c r="I145" t="s">
        <v>86</v>
      </c>
      <c r="J145" t="s">
        <v>87</v>
      </c>
      <c r="K145" t="s">
        <v>88</v>
      </c>
      <c r="L145" t="s">
        <v>42</v>
      </c>
      <c r="M145" t="s">
        <v>68</v>
      </c>
      <c r="N145">
        <v>2</v>
      </c>
      <c r="O145" t="s">
        <v>44</v>
      </c>
      <c r="P145" s="48">
        <v>77338.17</v>
      </c>
      <c r="Q145" s="48">
        <v>22718.080000000002</v>
      </c>
      <c r="R145" s="48">
        <v>4815.12</v>
      </c>
      <c r="S145" s="48">
        <v>1965.54</v>
      </c>
      <c r="T145" s="48">
        <v>773.38</v>
      </c>
      <c r="U145" s="48">
        <v>104.55</v>
      </c>
      <c r="V145" s="48">
        <v>1779.78</v>
      </c>
      <c r="W145" s="48">
        <v>45181.72</v>
      </c>
      <c r="X145">
        <v>4</v>
      </c>
      <c r="Y145" t="s">
        <v>90</v>
      </c>
      <c r="Z145">
        <v>189.32</v>
      </c>
      <c r="AA145" t="s">
        <v>91</v>
      </c>
      <c r="AB145" t="s">
        <v>47</v>
      </c>
      <c r="AC145" t="s">
        <v>60</v>
      </c>
      <c r="AD145" t="s">
        <v>93</v>
      </c>
      <c r="AE145" t="s">
        <v>62</v>
      </c>
      <c r="AF145" s="5">
        <f>DATE(YEAR(C145),MONTH(C145),1)</f>
        <v>45809</v>
      </c>
      <c r="AG145">
        <f>E145-D145</f>
        <v>17</v>
      </c>
      <c r="AH145" s="6">
        <f t="shared" si="2"/>
        <v>58.420984101382281</v>
      </c>
    </row>
    <row r="146" spans="1:34">
      <c r="A146" t="s">
        <v>405</v>
      </c>
      <c r="B146" t="s">
        <v>406</v>
      </c>
      <c r="C146" s="1">
        <v>45830</v>
      </c>
      <c r="D146" s="1">
        <v>45834</v>
      </c>
      <c r="E146" s="1">
        <v>45856</v>
      </c>
      <c r="F146" t="s">
        <v>234</v>
      </c>
      <c r="G146" t="s">
        <v>111</v>
      </c>
      <c r="H146" t="s">
        <v>150</v>
      </c>
      <c r="I146" t="s">
        <v>115</v>
      </c>
      <c r="J146" t="s">
        <v>98</v>
      </c>
      <c r="K146" t="s">
        <v>99</v>
      </c>
      <c r="L146" t="s">
        <v>127</v>
      </c>
      <c r="M146" t="s">
        <v>43</v>
      </c>
      <c r="N146">
        <v>4</v>
      </c>
      <c r="O146" t="s">
        <v>44</v>
      </c>
      <c r="P146" s="48">
        <v>100162.54</v>
      </c>
      <c r="Q146" s="48">
        <v>22682.52</v>
      </c>
      <c r="R146" s="48">
        <v>7503.69</v>
      </c>
      <c r="S146" s="48">
        <v>1901.41</v>
      </c>
      <c r="T146" s="48">
        <v>1001.63</v>
      </c>
      <c r="U146" s="48">
        <v>519.76</v>
      </c>
      <c r="V146" s="48">
        <v>1247.1400000000001</v>
      </c>
      <c r="W146" s="48">
        <v>65306.39</v>
      </c>
      <c r="X146">
        <v>0</v>
      </c>
      <c r="Y146" t="s">
        <v>45</v>
      </c>
      <c r="Z146">
        <v>189.02</v>
      </c>
      <c r="AA146" t="s">
        <v>46</v>
      </c>
      <c r="AB146" t="s">
        <v>92</v>
      </c>
      <c r="AC146" t="s">
        <v>48</v>
      </c>
      <c r="AD146" t="s">
        <v>61</v>
      </c>
      <c r="AE146" t="s">
        <v>62</v>
      </c>
      <c r="AF146" s="5">
        <f>DATE(YEAR(C146),MONTH(C146),1)</f>
        <v>45809</v>
      </c>
      <c r="AG146">
        <f>E146-D146</f>
        <v>22</v>
      </c>
      <c r="AH146" s="6">
        <f t="shared" si="2"/>
        <v>65.200413248306205</v>
      </c>
    </row>
    <row r="147" spans="1:34">
      <c r="A147" t="s">
        <v>407</v>
      </c>
      <c r="B147" t="s">
        <v>408</v>
      </c>
      <c r="C147" s="1">
        <v>45898</v>
      </c>
      <c r="D147" s="1">
        <v>45900</v>
      </c>
      <c r="E147" s="1">
        <v>45926</v>
      </c>
      <c r="F147" t="s">
        <v>153</v>
      </c>
      <c r="G147" t="s">
        <v>75</v>
      </c>
      <c r="H147" t="s">
        <v>154</v>
      </c>
      <c r="I147" t="s">
        <v>56</v>
      </c>
      <c r="J147" t="s">
        <v>57</v>
      </c>
      <c r="K147" t="s">
        <v>58</v>
      </c>
      <c r="L147" t="s">
        <v>59</v>
      </c>
      <c r="M147" t="s">
        <v>79</v>
      </c>
      <c r="N147">
        <v>2</v>
      </c>
      <c r="O147" t="s">
        <v>89</v>
      </c>
      <c r="P147" s="48">
        <v>78606.11</v>
      </c>
      <c r="Q147" s="48">
        <v>22652.38</v>
      </c>
      <c r="R147" s="48">
        <v>5424.17</v>
      </c>
      <c r="S147" s="48">
        <v>1506.41</v>
      </c>
      <c r="T147" s="48">
        <v>786.06</v>
      </c>
      <c r="U147" s="48">
        <v>465.82</v>
      </c>
      <c r="V147" s="48">
        <v>651.13</v>
      </c>
      <c r="W147" s="48">
        <v>47120.14</v>
      </c>
      <c r="X147">
        <v>36</v>
      </c>
      <c r="Y147" t="s">
        <v>135</v>
      </c>
      <c r="Z147">
        <v>188.77</v>
      </c>
      <c r="AA147" t="s">
        <v>91</v>
      </c>
      <c r="AB147" t="s">
        <v>47</v>
      </c>
      <c r="AC147" t="s">
        <v>48</v>
      </c>
      <c r="AD147" t="s">
        <v>49</v>
      </c>
      <c r="AE147" t="s">
        <v>71</v>
      </c>
      <c r="AF147" s="5">
        <f>DATE(YEAR(C147),MONTH(C147),1)</f>
        <v>45870</v>
      </c>
      <c r="AG147">
        <f>E147-D147</f>
        <v>26</v>
      </c>
      <c r="AH147" s="6">
        <f t="shared" si="2"/>
        <v>59.944627714054292</v>
      </c>
    </row>
    <row r="148" spans="1:34">
      <c r="A148" t="s">
        <v>409</v>
      </c>
      <c r="B148" t="s">
        <v>410</v>
      </c>
      <c r="C148" s="1">
        <v>45950</v>
      </c>
      <c r="D148" s="1">
        <v>45953</v>
      </c>
      <c r="E148" s="1">
        <v>45965</v>
      </c>
      <c r="F148" t="s">
        <v>138</v>
      </c>
      <c r="G148" t="s">
        <v>139</v>
      </c>
      <c r="H148" t="s">
        <v>76</v>
      </c>
      <c r="I148" t="s">
        <v>40</v>
      </c>
      <c r="J148" t="s">
        <v>86</v>
      </c>
      <c r="K148" t="s">
        <v>41</v>
      </c>
      <c r="L148" t="s">
        <v>78</v>
      </c>
      <c r="M148" t="s">
        <v>108</v>
      </c>
      <c r="N148">
        <v>4</v>
      </c>
      <c r="O148" t="s">
        <v>111</v>
      </c>
      <c r="P148" s="48">
        <v>83628.94</v>
      </c>
      <c r="Q148" s="48">
        <v>22612.91</v>
      </c>
      <c r="R148" s="48">
        <v>4329.09</v>
      </c>
      <c r="S148" s="48">
        <v>1640.16</v>
      </c>
      <c r="T148" s="48">
        <v>836.29</v>
      </c>
      <c r="U148" s="48">
        <v>767.13</v>
      </c>
      <c r="V148" s="48">
        <v>1824.68</v>
      </c>
      <c r="W148" s="48">
        <v>51618.68</v>
      </c>
      <c r="X148">
        <v>4</v>
      </c>
      <c r="Y148" t="s">
        <v>112</v>
      </c>
      <c r="Z148">
        <v>188.44</v>
      </c>
      <c r="AA148" t="s">
        <v>91</v>
      </c>
      <c r="AB148" t="s">
        <v>47</v>
      </c>
      <c r="AC148" t="s">
        <v>70</v>
      </c>
      <c r="AD148" t="s">
        <v>61</v>
      </c>
      <c r="AE148" t="s">
        <v>71</v>
      </c>
      <c r="AF148" s="5">
        <f>DATE(YEAR(C148),MONTH(C148),1)</f>
        <v>45931</v>
      </c>
      <c r="AG148">
        <f>E148-D148</f>
        <v>12</v>
      </c>
      <c r="AH148" s="6">
        <f t="shared" si="2"/>
        <v>61.723465584999637</v>
      </c>
    </row>
    <row r="149" spans="1:34">
      <c r="A149" t="s">
        <v>411</v>
      </c>
      <c r="B149" t="s">
        <v>412</v>
      </c>
      <c r="C149" s="1">
        <v>45825</v>
      </c>
      <c r="D149" s="1">
        <v>45829</v>
      </c>
      <c r="E149" s="1">
        <v>45856</v>
      </c>
      <c r="F149" t="s">
        <v>36</v>
      </c>
      <c r="G149" t="s">
        <v>37</v>
      </c>
      <c r="H149" t="s">
        <v>38</v>
      </c>
      <c r="I149" t="s">
        <v>57</v>
      </c>
      <c r="J149" t="s">
        <v>98</v>
      </c>
      <c r="K149" t="s">
        <v>99</v>
      </c>
      <c r="L149" t="s">
        <v>78</v>
      </c>
      <c r="M149" t="s">
        <v>79</v>
      </c>
      <c r="N149">
        <v>2</v>
      </c>
      <c r="O149" t="s">
        <v>80</v>
      </c>
      <c r="P149" s="48">
        <v>87846.59</v>
      </c>
      <c r="Q149" s="48">
        <v>22575.16</v>
      </c>
      <c r="R149" s="48">
        <v>3568.49</v>
      </c>
      <c r="S149" s="48">
        <v>2413.9299999999998</v>
      </c>
      <c r="T149" s="48">
        <v>878.47</v>
      </c>
      <c r="U149" s="48">
        <v>841.73</v>
      </c>
      <c r="V149" s="48">
        <v>515.09</v>
      </c>
      <c r="W149" s="48">
        <v>57053.72</v>
      </c>
      <c r="X149">
        <v>0</v>
      </c>
      <c r="Y149" t="s">
        <v>45</v>
      </c>
      <c r="Z149">
        <v>188.13</v>
      </c>
      <c r="AA149" t="s">
        <v>46</v>
      </c>
      <c r="AB149" t="s">
        <v>92</v>
      </c>
      <c r="AC149" t="s">
        <v>60</v>
      </c>
      <c r="AD149" t="s">
        <v>93</v>
      </c>
      <c r="AE149" t="s">
        <v>50</v>
      </c>
      <c r="AF149" s="5">
        <f>DATE(YEAR(C149),MONTH(C149),1)</f>
        <v>45809</v>
      </c>
      <c r="AG149">
        <f>E149-D149</f>
        <v>27</v>
      </c>
      <c r="AH149" s="6">
        <f t="shared" si="2"/>
        <v>64.946994527619111</v>
      </c>
    </row>
    <row r="150" spans="1:34">
      <c r="A150" t="s">
        <v>413</v>
      </c>
      <c r="B150" t="s">
        <v>414</v>
      </c>
      <c r="C150" s="1">
        <v>45739</v>
      </c>
      <c r="D150" s="1">
        <v>45740</v>
      </c>
      <c r="E150" s="1">
        <v>45762</v>
      </c>
      <c r="F150" t="s">
        <v>153</v>
      </c>
      <c r="G150" t="s">
        <v>75</v>
      </c>
      <c r="H150" t="s">
        <v>154</v>
      </c>
      <c r="I150" t="s">
        <v>115</v>
      </c>
      <c r="J150" t="s">
        <v>98</v>
      </c>
      <c r="K150" t="s">
        <v>99</v>
      </c>
      <c r="L150" t="s">
        <v>78</v>
      </c>
      <c r="M150" t="s">
        <v>79</v>
      </c>
      <c r="N150">
        <v>2</v>
      </c>
      <c r="O150" t="s">
        <v>89</v>
      </c>
      <c r="P150" s="48">
        <v>84376.36</v>
      </c>
      <c r="Q150" s="48">
        <v>22550.02</v>
      </c>
      <c r="R150" s="48">
        <v>4307.83</v>
      </c>
      <c r="S150" s="48">
        <v>1583.19</v>
      </c>
      <c r="T150" s="48">
        <v>843.76</v>
      </c>
      <c r="U150" s="48">
        <v>489.44</v>
      </c>
      <c r="V150" s="48">
        <v>538.28</v>
      </c>
      <c r="W150" s="48">
        <v>54063.839999999997</v>
      </c>
      <c r="X150">
        <v>0</v>
      </c>
      <c r="Y150" t="s">
        <v>45</v>
      </c>
      <c r="Z150">
        <v>187.92</v>
      </c>
      <c r="AA150" t="s">
        <v>46</v>
      </c>
      <c r="AB150" t="s">
        <v>47</v>
      </c>
      <c r="AC150" t="s">
        <v>70</v>
      </c>
      <c r="AD150" t="s">
        <v>144</v>
      </c>
      <c r="AE150" t="s">
        <v>102</v>
      </c>
      <c r="AF150" s="5">
        <f>DATE(YEAR(C150),MONTH(C150),1)</f>
        <v>45717</v>
      </c>
      <c r="AG150">
        <f>E150-D150</f>
        <v>22</v>
      </c>
      <c r="AH150" s="6">
        <f t="shared" si="2"/>
        <v>64.074629434121121</v>
      </c>
    </row>
    <row r="151" spans="1:34">
      <c r="A151" t="s">
        <v>415</v>
      </c>
      <c r="B151" t="s">
        <v>416</v>
      </c>
      <c r="C151" s="1">
        <v>45823</v>
      </c>
      <c r="D151" s="1">
        <v>45825</v>
      </c>
      <c r="E151" s="1">
        <v>45847</v>
      </c>
      <c r="F151" t="s">
        <v>138</v>
      </c>
      <c r="G151" t="s">
        <v>139</v>
      </c>
      <c r="H151" t="s">
        <v>76</v>
      </c>
      <c r="I151" t="s">
        <v>115</v>
      </c>
      <c r="J151" t="s">
        <v>98</v>
      </c>
      <c r="K151" t="s">
        <v>99</v>
      </c>
      <c r="L151" t="s">
        <v>59</v>
      </c>
      <c r="M151" t="s">
        <v>68</v>
      </c>
      <c r="N151">
        <v>4</v>
      </c>
      <c r="O151" t="s">
        <v>54</v>
      </c>
      <c r="P151" s="48">
        <v>80261.320000000007</v>
      </c>
      <c r="Q151" s="48">
        <v>22452.81</v>
      </c>
      <c r="R151" s="48">
        <v>3595.42</v>
      </c>
      <c r="S151" s="48">
        <v>2131.08</v>
      </c>
      <c r="T151" s="48">
        <v>802.61</v>
      </c>
      <c r="U151" s="48">
        <v>129.71</v>
      </c>
      <c r="V151" s="48">
        <v>2065.4</v>
      </c>
      <c r="W151" s="48">
        <v>49084.29</v>
      </c>
      <c r="X151">
        <v>0</v>
      </c>
      <c r="Y151" t="s">
        <v>45</v>
      </c>
      <c r="Z151">
        <v>187.11</v>
      </c>
      <c r="AA151" t="s">
        <v>46</v>
      </c>
      <c r="AB151" t="s">
        <v>92</v>
      </c>
      <c r="AC151" t="s">
        <v>70</v>
      </c>
      <c r="AD151" t="s">
        <v>93</v>
      </c>
      <c r="AE151" t="s">
        <v>62</v>
      </c>
      <c r="AF151" s="5">
        <f>DATE(YEAR(C151),MONTH(C151),1)</f>
        <v>45809</v>
      </c>
      <c r="AG151">
        <f>E151-D151</f>
        <v>22</v>
      </c>
      <c r="AH151" s="6">
        <f t="shared" si="2"/>
        <v>61.155597739982348</v>
      </c>
    </row>
    <row r="152" spans="1:34">
      <c r="A152" t="s">
        <v>417</v>
      </c>
      <c r="B152" t="s">
        <v>418</v>
      </c>
      <c r="C152" s="1">
        <v>45938</v>
      </c>
      <c r="D152" s="1">
        <v>45940</v>
      </c>
      <c r="E152" s="1">
        <v>45954</v>
      </c>
      <c r="F152" t="s">
        <v>180</v>
      </c>
      <c r="G152" t="s">
        <v>181</v>
      </c>
      <c r="H152" t="s">
        <v>38</v>
      </c>
      <c r="I152" t="s">
        <v>56</v>
      </c>
      <c r="J152" t="s">
        <v>77</v>
      </c>
      <c r="K152" t="s">
        <v>41</v>
      </c>
      <c r="L152" t="s">
        <v>59</v>
      </c>
      <c r="M152" t="s">
        <v>43</v>
      </c>
      <c r="N152">
        <v>4</v>
      </c>
      <c r="O152" t="s">
        <v>54</v>
      </c>
      <c r="P152" s="48">
        <v>117006.35</v>
      </c>
      <c r="Q152" s="48">
        <v>22437.13</v>
      </c>
      <c r="R152" s="48">
        <v>4780.9799999999996</v>
      </c>
      <c r="S152" s="48">
        <v>1241.1400000000001</v>
      </c>
      <c r="T152" s="48">
        <v>1170.06</v>
      </c>
      <c r="U152" s="48">
        <v>158.69</v>
      </c>
      <c r="V152" s="48">
        <v>934.09</v>
      </c>
      <c r="W152" s="48">
        <v>86284.26</v>
      </c>
      <c r="X152">
        <v>4</v>
      </c>
      <c r="Y152" t="s">
        <v>112</v>
      </c>
      <c r="Z152">
        <v>186.98</v>
      </c>
      <c r="AA152" t="s">
        <v>91</v>
      </c>
      <c r="AB152" t="s">
        <v>47</v>
      </c>
      <c r="AC152" t="s">
        <v>60</v>
      </c>
      <c r="AD152" t="s">
        <v>144</v>
      </c>
      <c r="AE152" t="s">
        <v>62</v>
      </c>
      <c r="AF152" s="5">
        <f>DATE(YEAR(C152),MONTH(C152),1)</f>
        <v>45931</v>
      </c>
      <c r="AG152">
        <f>E152-D152</f>
        <v>14</v>
      </c>
      <c r="AH152" s="6">
        <f t="shared" si="2"/>
        <v>73.743228465805473</v>
      </c>
    </row>
    <row r="153" spans="1:34">
      <c r="A153" t="s">
        <v>419</v>
      </c>
      <c r="B153" t="s">
        <v>420</v>
      </c>
      <c r="C153" s="1">
        <v>45744</v>
      </c>
      <c r="D153" s="1">
        <v>45746</v>
      </c>
      <c r="E153" s="1">
        <v>45767</v>
      </c>
      <c r="F153" t="s">
        <v>120</v>
      </c>
      <c r="G153" t="s">
        <v>75</v>
      </c>
      <c r="H153" t="s">
        <v>121</v>
      </c>
      <c r="I153" t="s">
        <v>115</v>
      </c>
      <c r="J153" t="s">
        <v>98</v>
      </c>
      <c r="K153" t="s">
        <v>99</v>
      </c>
      <c r="L153" t="s">
        <v>59</v>
      </c>
      <c r="M153" t="s">
        <v>43</v>
      </c>
      <c r="N153">
        <v>4</v>
      </c>
      <c r="O153" t="s">
        <v>80</v>
      </c>
      <c r="P153" s="48">
        <v>84382.79</v>
      </c>
      <c r="Q153" s="48">
        <v>22261.439999999999</v>
      </c>
      <c r="R153" s="48">
        <v>6595.46</v>
      </c>
      <c r="S153" s="48">
        <v>1979.74</v>
      </c>
      <c r="T153" s="48">
        <v>843.83</v>
      </c>
      <c r="U153" s="48">
        <v>810.96</v>
      </c>
      <c r="V153" s="48">
        <v>301.36</v>
      </c>
      <c r="W153" s="48">
        <v>51590</v>
      </c>
      <c r="X153">
        <v>48</v>
      </c>
      <c r="Y153" t="s">
        <v>90</v>
      </c>
      <c r="Z153">
        <v>185.51</v>
      </c>
      <c r="AA153" t="s">
        <v>91</v>
      </c>
      <c r="AB153" t="s">
        <v>92</v>
      </c>
      <c r="AC153" t="s">
        <v>48</v>
      </c>
      <c r="AD153" t="s">
        <v>130</v>
      </c>
      <c r="AE153" t="s">
        <v>50</v>
      </c>
      <c r="AF153" s="5">
        <f>DATE(YEAR(C153),MONTH(C153),1)</f>
        <v>45717</v>
      </c>
      <c r="AG153">
        <f>E153-D153</f>
        <v>21</v>
      </c>
      <c r="AH153" s="6">
        <f t="shared" si="2"/>
        <v>61.138059075790217</v>
      </c>
    </row>
    <row r="154" spans="1:34">
      <c r="A154" t="s">
        <v>421</v>
      </c>
      <c r="B154" t="s">
        <v>422</v>
      </c>
      <c r="C154" s="1">
        <v>45739</v>
      </c>
      <c r="D154" s="1">
        <v>45742</v>
      </c>
      <c r="E154" s="1">
        <v>45770</v>
      </c>
      <c r="F154" t="s">
        <v>149</v>
      </c>
      <c r="G154" t="s">
        <v>111</v>
      </c>
      <c r="H154" t="s">
        <v>150</v>
      </c>
      <c r="I154" t="s">
        <v>86</v>
      </c>
      <c r="J154" t="s">
        <v>87</v>
      </c>
      <c r="K154" t="s">
        <v>88</v>
      </c>
      <c r="L154" t="s">
        <v>100</v>
      </c>
      <c r="M154" t="s">
        <v>68</v>
      </c>
      <c r="N154">
        <v>2</v>
      </c>
      <c r="O154" t="s">
        <v>69</v>
      </c>
      <c r="P154" s="48">
        <v>80792.5</v>
      </c>
      <c r="Q154" s="48">
        <v>22084.81</v>
      </c>
      <c r="R154" s="48">
        <v>4698.88</v>
      </c>
      <c r="S154" s="48">
        <v>1827.76</v>
      </c>
      <c r="T154" s="48">
        <v>807.93</v>
      </c>
      <c r="U154" s="48">
        <v>176.17</v>
      </c>
      <c r="V154" s="48">
        <v>707.14</v>
      </c>
      <c r="W154" s="48">
        <v>50489.81</v>
      </c>
      <c r="X154">
        <v>4</v>
      </c>
      <c r="Y154" t="s">
        <v>135</v>
      </c>
      <c r="Z154">
        <v>184.04</v>
      </c>
      <c r="AA154" t="s">
        <v>91</v>
      </c>
      <c r="AB154" t="s">
        <v>47</v>
      </c>
      <c r="AC154" t="s">
        <v>70</v>
      </c>
      <c r="AD154" t="s">
        <v>93</v>
      </c>
      <c r="AE154" t="s">
        <v>50</v>
      </c>
      <c r="AF154" s="5">
        <f>DATE(YEAR(C154),MONTH(C154),1)</f>
        <v>45717</v>
      </c>
      <c r="AG154">
        <f>E154-D154</f>
        <v>28</v>
      </c>
      <c r="AH154" s="6">
        <f t="shared" si="2"/>
        <v>62.493189343070213</v>
      </c>
    </row>
    <row r="155" spans="1:34">
      <c r="A155" t="s">
        <v>423</v>
      </c>
      <c r="B155" t="s">
        <v>424</v>
      </c>
      <c r="C155" s="1">
        <v>45827</v>
      </c>
      <c r="D155" s="1">
        <v>45828</v>
      </c>
      <c r="E155" s="1">
        <v>45848</v>
      </c>
      <c r="F155" t="s">
        <v>96</v>
      </c>
      <c r="G155" t="s">
        <v>97</v>
      </c>
      <c r="H155" t="s">
        <v>76</v>
      </c>
      <c r="I155" t="s">
        <v>40</v>
      </c>
      <c r="J155" t="s">
        <v>122</v>
      </c>
      <c r="K155" t="s">
        <v>123</v>
      </c>
      <c r="L155" t="s">
        <v>116</v>
      </c>
      <c r="M155" t="s">
        <v>68</v>
      </c>
      <c r="N155">
        <v>4</v>
      </c>
      <c r="O155" t="s">
        <v>44</v>
      </c>
      <c r="P155" s="48">
        <v>83111.710000000006</v>
      </c>
      <c r="Q155" s="48">
        <v>22052.62</v>
      </c>
      <c r="R155" s="48">
        <v>5904.71</v>
      </c>
      <c r="S155" s="48">
        <v>2072.62</v>
      </c>
      <c r="T155" s="48">
        <v>831.12</v>
      </c>
      <c r="U155" s="48">
        <v>838.23</v>
      </c>
      <c r="V155" s="48">
        <v>1148.02</v>
      </c>
      <c r="W155" s="48">
        <v>50264.39</v>
      </c>
      <c r="X155">
        <v>12</v>
      </c>
      <c r="Y155" t="s">
        <v>135</v>
      </c>
      <c r="Z155">
        <v>183.77</v>
      </c>
      <c r="AA155" t="s">
        <v>91</v>
      </c>
      <c r="AB155" t="s">
        <v>92</v>
      </c>
      <c r="AC155" t="s">
        <v>60</v>
      </c>
      <c r="AD155" t="s">
        <v>49</v>
      </c>
      <c r="AE155" t="s">
        <v>62</v>
      </c>
      <c r="AF155" s="5">
        <f>DATE(YEAR(C155),MONTH(C155),1)</f>
        <v>45809</v>
      </c>
      <c r="AG155">
        <f>E155-D155</f>
        <v>20</v>
      </c>
      <c r="AH155" s="6">
        <f t="shared" si="2"/>
        <v>60.478108319513581</v>
      </c>
    </row>
    <row r="156" spans="1:34">
      <c r="A156" t="s">
        <v>425</v>
      </c>
      <c r="B156" t="s">
        <v>426</v>
      </c>
      <c r="C156" s="1">
        <v>45676</v>
      </c>
      <c r="D156" s="1">
        <v>45680</v>
      </c>
      <c r="E156" s="1">
        <v>45691</v>
      </c>
      <c r="F156" t="s">
        <v>96</v>
      </c>
      <c r="G156" t="s">
        <v>97</v>
      </c>
      <c r="H156" t="s">
        <v>76</v>
      </c>
      <c r="I156" t="s">
        <v>56</v>
      </c>
      <c r="J156" t="s">
        <v>57</v>
      </c>
      <c r="K156" t="s">
        <v>58</v>
      </c>
      <c r="L156" t="s">
        <v>78</v>
      </c>
      <c r="M156" t="s">
        <v>43</v>
      </c>
      <c r="N156">
        <v>2</v>
      </c>
      <c r="O156" t="s">
        <v>44</v>
      </c>
      <c r="P156" s="48">
        <v>89633.35</v>
      </c>
      <c r="Q156" s="48">
        <v>22011.9</v>
      </c>
      <c r="R156" s="48">
        <v>5440.79</v>
      </c>
      <c r="S156" s="48">
        <v>1339.8</v>
      </c>
      <c r="T156" s="48">
        <v>896.33</v>
      </c>
      <c r="U156" s="48">
        <v>119.58</v>
      </c>
      <c r="V156" s="48">
        <v>2246.71</v>
      </c>
      <c r="W156" s="48">
        <v>57578.239999999998</v>
      </c>
      <c r="X156">
        <v>0</v>
      </c>
      <c r="Y156" t="s">
        <v>45</v>
      </c>
      <c r="Z156">
        <v>183.43</v>
      </c>
      <c r="AA156" t="s">
        <v>46</v>
      </c>
      <c r="AB156" t="s">
        <v>92</v>
      </c>
      <c r="AC156" t="s">
        <v>70</v>
      </c>
      <c r="AD156" t="s">
        <v>144</v>
      </c>
      <c r="AE156" t="s">
        <v>62</v>
      </c>
      <c r="AF156" s="5">
        <f>DATE(YEAR(C156),MONTH(C156),1)</f>
        <v>45658</v>
      </c>
      <c r="AG156">
        <f>E156-D156</f>
        <v>11</v>
      </c>
      <c r="AH156" s="6">
        <f t="shared" si="2"/>
        <v>64.237518736050802</v>
      </c>
    </row>
    <row r="157" spans="1:34">
      <c r="A157" t="s">
        <v>427</v>
      </c>
      <c r="B157" t="s">
        <v>428</v>
      </c>
      <c r="C157" s="1">
        <v>45980</v>
      </c>
      <c r="D157" s="1">
        <v>45984</v>
      </c>
      <c r="E157" s="1">
        <v>45995</v>
      </c>
      <c r="F157" t="s">
        <v>138</v>
      </c>
      <c r="G157" t="s">
        <v>139</v>
      </c>
      <c r="H157" t="s">
        <v>76</v>
      </c>
      <c r="I157" t="s">
        <v>86</v>
      </c>
      <c r="J157" t="s">
        <v>87</v>
      </c>
      <c r="K157" t="s">
        <v>88</v>
      </c>
      <c r="L157" t="s">
        <v>127</v>
      </c>
      <c r="M157" t="s">
        <v>68</v>
      </c>
      <c r="N157">
        <v>4</v>
      </c>
      <c r="O157" t="s">
        <v>111</v>
      </c>
      <c r="P157" s="48">
        <v>112707.96</v>
      </c>
      <c r="Q157" s="48">
        <v>21981.16</v>
      </c>
      <c r="R157" s="48">
        <v>5956.28</v>
      </c>
      <c r="S157" s="48">
        <v>3244.14</v>
      </c>
      <c r="T157" s="48">
        <v>1127.08</v>
      </c>
      <c r="U157" s="48">
        <v>700.06</v>
      </c>
      <c r="V157" s="48">
        <v>2231.37</v>
      </c>
      <c r="W157" s="48">
        <v>77467.87</v>
      </c>
      <c r="X157">
        <v>0</v>
      </c>
      <c r="Y157" t="s">
        <v>45</v>
      </c>
      <c r="Z157">
        <v>183.18</v>
      </c>
      <c r="AA157" t="s">
        <v>46</v>
      </c>
      <c r="AB157" t="s">
        <v>47</v>
      </c>
      <c r="AC157" t="s">
        <v>48</v>
      </c>
      <c r="AD157" t="s">
        <v>61</v>
      </c>
      <c r="AE157" t="s">
        <v>50</v>
      </c>
      <c r="AF157" s="5">
        <f>DATE(YEAR(C157),MONTH(C157),1)</f>
        <v>45962</v>
      </c>
      <c r="AG157">
        <f>E157-D157</f>
        <v>11</v>
      </c>
      <c r="AH157" s="6">
        <f t="shared" si="2"/>
        <v>68.733273142376092</v>
      </c>
    </row>
    <row r="158" spans="1:34">
      <c r="A158" t="s">
        <v>429</v>
      </c>
      <c r="B158" t="s">
        <v>430</v>
      </c>
      <c r="C158" s="1">
        <v>45736</v>
      </c>
      <c r="D158" s="1">
        <v>45738</v>
      </c>
      <c r="E158" s="1">
        <v>45748</v>
      </c>
      <c r="F158" t="s">
        <v>96</v>
      </c>
      <c r="G158" t="s">
        <v>97</v>
      </c>
      <c r="H158" t="s">
        <v>76</v>
      </c>
      <c r="I158" t="s">
        <v>57</v>
      </c>
      <c r="J158" t="s">
        <v>98</v>
      </c>
      <c r="K158" t="s">
        <v>99</v>
      </c>
      <c r="L158" t="s">
        <v>124</v>
      </c>
      <c r="M158" t="s">
        <v>68</v>
      </c>
      <c r="N158">
        <v>4</v>
      </c>
      <c r="O158" t="s">
        <v>69</v>
      </c>
      <c r="P158" s="48">
        <v>96897.41</v>
      </c>
      <c r="Q158" s="48">
        <v>21947.86</v>
      </c>
      <c r="R158" s="48">
        <v>6569.02</v>
      </c>
      <c r="S158" s="48">
        <v>1063.31</v>
      </c>
      <c r="T158" s="48">
        <v>968.97</v>
      </c>
      <c r="U158" s="48">
        <v>278.24</v>
      </c>
      <c r="V158" s="48">
        <v>1454.93</v>
      </c>
      <c r="W158" s="48">
        <v>64615.08</v>
      </c>
      <c r="X158">
        <v>4</v>
      </c>
      <c r="Y158" t="s">
        <v>90</v>
      </c>
      <c r="Z158">
        <v>182.9</v>
      </c>
      <c r="AA158" t="s">
        <v>91</v>
      </c>
      <c r="AB158" t="s">
        <v>92</v>
      </c>
      <c r="AC158" t="s">
        <v>70</v>
      </c>
      <c r="AD158" t="s">
        <v>130</v>
      </c>
      <c r="AE158" t="s">
        <v>102</v>
      </c>
      <c r="AF158" s="5">
        <f>DATE(YEAR(C158),MONTH(C158),1)</f>
        <v>45717</v>
      </c>
      <c r="AG158">
        <f>E158-D158</f>
        <v>10</v>
      </c>
      <c r="AH158" s="6">
        <f t="shared" si="2"/>
        <v>66.684011471514054</v>
      </c>
    </row>
    <row r="159" spans="1:34">
      <c r="A159" t="s">
        <v>431</v>
      </c>
      <c r="B159" t="s">
        <v>432</v>
      </c>
      <c r="C159" s="1">
        <v>45774</v>
      </c>
      <c r="D159" s="1">
        <v>45778</v>
      </c>
      <c r="E159" s="1">
        <v>45797</v>
      </c>
      <c r="F159" t="s">
        <v>120</v>
      </c>
      <c r="G159" t="s">
        <v>75</v>
      </c>
      <c r="H159" t="s">
        <v>121</v>
      </c>
      <c r="I159" t="s">
        <v>87</v>
      </c>
      <c r="J159" t="s">
        <v>87</v>
      </c>
      <c r="K159" t="s">
        <v>41</v>
      </c>
      <c r="L159" t="s">
        <v>78</v>
      </c>
      <c r="M159" t="s">
        <v>43</v>
      </c>
      <c r="N159">
        <v>2</v>
      </c>
      <c r="O159" t="s">
        <v>111</v>
      </c>
      <c r="P159" s="48">
        <v>80092.44</v>
      </c>
      <c r="Q159" s="48">
        <v>21930.240000000002</v>
      </c>
      <c r="R159" s="48">
        <v>3601.91</v>
      </c>
      <c r="S159" s="48">
        <v>994.73</v>
      </c>
      <c r="T159" s="48">
        <v>800.92</v>
      </c>
      <c r="U159" s="48">
        <v>780.68</v>
      </c>
      <c r="V159" s="48">
        <v>824.86</v>
      </c>
      <c r="W159" s="48">
        <v>51159.1</v>
      </c>
      <c r="X159">
        <v>48</v>
      </c>
      <c r="Y159" t="s">
        <v>135</v>
      </c>
      <c r="Z159">
        <v>182.75</v>
      </c>
      <c r="AA159" t="s">
        <v>91</v>
      </c>
      <c r="AB159" t="s">
        <v>92</v>
      </c>
      <c r="AC159" t="s">
        <v>48</v>
      </c>
      <c r="AD159" t="s">
        <v>93</v>
      </c>
      <c r="AE159" t="s">
        <v>50</v>
      </c>
      <c r="AF159" s="5">
        <f>DATE(YEAR(C159),MONTH(C159),1)</f>
        <v>45748</v>
      </c>
      <c r="AG159">
        <f>E159-D159</f>
        <v>19</v>
      </c>
      <c r="AH159" s="6">
        <f t="shared" si="2"/>
        <v>63.875067359665906</v>
      </c>
    </row>
    <row r="160" spans="1:34">
      <c r="A160" t="s">
        <v>433</v>
      </c>
      <c r="B160" t="s">
        <v>434</v>
      </c>
      <c r="C160" s="1">
        <v>45666</v>
      </c>
      <c r="D160" s="1">
        <v>45667</v>
      </c>
      <c r="E160" s="1">
        <v>45691</v>
      </c>
      <c r="F160" t="s">
        <v>149</v>
      </c>
      <c r="G160" t="s">
        <v>111</v>
      </c>
      <c r="H160" t="s">
        <v>150</v>
      </c>
      <c r="I160" t="s">
        <v>86</v>
      </c>
      <c r="J160" t="s">
        <v>87</v>
      </c>
      <c r="K160" t="s">
        <v>88</v>
      </c>
      <c r="L160" t="s">
        <v>127</v>
      </c>
      <c r="M160" t="s">
        <v>43</v>
      </c>
      <c r="N160">
        <v>4</v>
      </c>
      <c r="O160" t="s">
        <v>89</v>
      </c>
      <c r="P160" s="48">
        <v>133156.73000000001</v>
      </c>
      <c r="Q160" s="48">
        <v>21821.82</v>
      </c>
      <c r="R160" s="48">
        <v>9515.2999999999993</v>
      </c>
      <c r="S160" s="48">
        <v>1673.12</v>
      </c>
      <c r="T160" s="48">
        <v>1331.57</v>
      </c>
      <c r="U160" s="48">
        <v>222.6</v>
      </c>
      <c r="V160" s="48">
        <v>2430.75</v>
      </c>
      <c r="W160" s="48">
        <v>96161.57</v>
      </c>
      <c r="X160">
        <v>0</v>
      </c>
      <c r="Y160" t="s">
        <v>45</v>
      </c>
      <c r="Z160">
        <v>181.85</v>
      </c>
      <c r="AA160" t="s">
        <v>46</v>
      </c>
      <c r="AB160" t="s">
        <v>92</v>
      </c>
      <c r="AC160" t="s">
        <v>60</v>
      </c>
      <c r="AD160" t="s">
        <v>49</v>
      </c>
      <c r="AE160" t="s">
        <v>102</v>
      </c>
      <c r="AF160" s="5">
        <f>DATE(YEAR(C160),MONTH(C160),1)</f>
        <v>45658</v>
      </c>
      <c r="AG160">
        <f>E160-D160</f>
        <v>24</v>
      </c>
      <c r="AH160" s="6">
        <f t="shared" si="2"/>
        <v>72.216830497414591</v>
      </c>
    </row>
    <row r="161" spans="1:34">
      <c r="A161" t="s">
        <v>435</v>
      </c>
      <c r="B161" t="s">
        <v>436</v>
      </c>
      <c r="C161" s="1">
        <v>45853</v>
      </c>
      <c r="D161" s="1">
        <v>45854</v>
      </c>
      <c r="E161" s="1">
        <v>45868</v>
      </c>
      <c r="F161" t="s">
        <v>138</v>
      </c>
      <c r="G161" t="s">
        <v>139</v>
      </c>
      <c r="H161" t="s">
        <v>76</v>
      </c>
      <c r="I161" t="s">
        <v>115</v>
      </c>
      <c r="J161" t="s">
        <v>98</v>
      </c>
      <c r="K161" t="s">
        <v>41</v>
      </c>
      <c r="L161" t="s">
        <v>155</v>
      </c>
      <c r="M161" t="s">
        <v>108</v>
      </c>
      <c r="N161">
        <v>4</v>
      </c>
      <c r="O161" t="s">
        <v>69</v>
      </c>
      <c r="P161" s="48">
        <v>86816.52</v>
      </c>
      <c r="Q161" s="48">
        <v>21818.880000000001</v>
      </c>
      <c r="R161" s="48">
        <v>3615.75</v>
      </c>
      <c r="S161" s="48">
        <v>1558.06</v>
      </c>
      <c r="T161" s="48">
        <v>868.17</v>
      </c>
      <c r="U161" s="48">
        <v>252.34</v>
      </c>
      <c r="V161" s="48">
        <v>2192.31</v>
      </c>
      <c r="W161" s="48">
        <v>56511.01</v>
      </c>
      <c r="X161">
        <v>0</v>
      </c>
      <c r="Y161" t="s">
        <v>45</v>
      </c>
      <c r="Z161">
        <v>181.82</v>
      </c>
      <c r="AA161" t="s">
        <v>46</v>
      </c>
      <c r="AB161" t="s">
        <v>92</v>
      </c>
      <c r="AC161" t="s">
        <v>70</v>
      </c>
      <c r="AD161" t="s">
        <v>49</v>
      </c>
      <c r="AE161" t="s">
        <v>71</v>
      </c>
      <c r="AF161" s="5">
        <f>DATE(YEAR(C161),MONTH(C161),1)</f>
        <v>45839</v>
      </c>
      <c r="AG161">
        <f>E161-D161</f>
        <v>14</v>
      </c>
      <c r="AH161" s="6">
        <f t="shared" si="2"/>
        <v>65.092461665130102</v>
      </c>
    </row>
    <row r="162" spans="1:34">
      <c r="A162" t="s">
        <v>437</v>
      </c>
      <c r="B162" t="s">
        <v>438</v>
      </c>
      <c r="C162" s="1">
        <v>45662</v>
      </c>
      <c r="D162" s="1">
        <v>45666</v>
      </c>
      <c r="E162" s="1">
        <v>45692</v>
      </c>
      <c r="F162" t="s">
        <v>74</v>
      </c>
      <c r="G162" t="s">
        <v>75</v>
      </c>
      <c r="H162" t="s">
        <v>76</v>
      </c>
      <c r="I162" t="s">
        <v>77</v>
      </c>
      <c r="J162" t="s">
        <v>115</v>
      </c>
      <c r="K162" t="s">
        <v>41</v>
      </c>
      <c r="L162" t="s">
        <v>116</v>
      </c>
      <c r="M162" t="s">
        <v>68</v>
      </c>
      <c r="N162">
        <v>2</v>
      </c>
      <c r="O162" t="s">
        <v>44</v>
      </c>
      <c r="P162" s="48">
        <v>86599.81</v>
      </c>
      <c r="Q162" s="48">
        <v>21816.959999999999</v>
      </c>
      <c r="R162" s="48">
        <v>4106.08</v>
      </c>
      <c r="S162" s="48">
        <v>1794.54</v>
      </c>
      <c r="T162" s="48">
        <v>866</v>
      </c>
      <c r="U162" s="48">
        <v>486.26</v>
      </c>
      <c r="V162" s="48">
        <v>825.28</v>
      </c>
      <c r="W162" s="48">
        <v>56704.69</v>
      </c>
      <c r="X162">
        <v>12</v>
      </c>
      <c r="Y162" t="s">
        <v>90</v>
      </c>
      <c r="Z162">
        <v>181.81</v>
      </c>
      <c r="AA162" t="s">
        <v>91</v>
      </c>
      <c r="AB162" t="s">
        <v>47</v>
      </c>
      <c r="AC162" t="s">
        <v>48</v>
      </c>
      <c r="AD162" t="s">
        <v>61</v>
      </c>
      <c r="AE162" t="s">
        <v>71</v>
      </c>
      <c r="AF162" s="5">
        <f>DATE(YEAR(C162),MONTH(C162),1)</f>
        <v>45658</v>
      </c>
      <c r="AG162">
        <f>E162-D162</f>
        <v>26</v>
      </c>
      <c r="AH162" s="6">
        <f t="shared" si="2"/>
        <v>65.479000473557619</v>
      </c>
    </row>
    <row r="163" spans="1:34">
      <c r="A163" t="s">
        <v>439</v>
      </c>
      <c r="B163" t="s">
        <v>440</v>
      </c>
      <c r="C163" s="1">
        <v>45926</v>
      </c>
      <c r="D163" s="1">
        <v>45929</v>
      </c>
      <c r="E163" s="1">
        <v>45947</v>
      </c>
      <c r="F163" t="s">
        <v>65</v>
      </c>
      <c r="G163" t="s">
        <v>66</v>
      </c>
      <c r="H163" t="s">
        <v>67</v>
      </c>
      <c r="I163" t="s">
        <v>115</v>
      </c>
      <c r="J163" t="s">
        <v>98</v>
      </c>
      <c r="K163" t="s">
        <v>99</v>
      </c>
      <c r="L163" t="s">
        <v>42</v>
      </c>
      <c r="M163" t="s">
        <v>79</v>
      </c>
      <c r="N163">
        <v>2</v>
      </c>
      <c r="O163" t="s">
        <v>105</v>
      </c>
      <c r="P163" s="48">
        <v>86220.26</v>
      </c>
      <c r="Q163" s="48">
        <v>21669.4</v>
      </c>
      <c r="R163" s="48">
        <v>4826.51</v>
      </c>
      <c r="S163" s="48">
        <v>1688.5</v>
      </c>
      <c r="T163" s="48">
        <v>862.2</v>
      </c>
      <c r="U163" s="48">
        <v>296.22000000000003</v>
      </c>
      <c r="V163" s="48">
        <v>782.93</v>
      </c>
      <c r="W163" s="48">
        <v>56094.5</v>
      </c>
      <c r="X163">
        <v>0</v>
      </c>
      <c r="Y163" t="s">
        <v>45</v>
      </c>
      <c r="Z163">
        <v>180.58</v>
      </c>
      <c r="AA163" t="s">
        <v>46</v>
      </c>
      <c r="AB163" t="s">
        <v>47</v>
      </c>
      <c r="AC163" t="s">
        <v>60</v>
      </c>
      <c r="AD163" t="s">
        <v>61</v>
      </c>
      <c r="AE163" t="s">
        <v>50</v>
      </c>
      <c r="AF163" s="5">
        <f>DATE(YEAR(C163),MONTH(C163),1)</f>
        <v>45901</v>
      </c>
      <c r="AG163">
        <f>E163-D163</f>
        <v>18</v>
      </c>
      <c r="AH163" s="6">
        <f t="shared" si="2"/>
        <v>65.059534731164121</v>
      </c>
    </row>
    <row r="164" spans="1:34">
      <c r="A164" t="s">
        <v>441</v>
      </c>
      <c r="B164" t="s">
        <v>442</v>
      </c>
      <c r="C164" s="1">
        <v>45779</v>
      </c>
      <c r="D164" s="1">
        <v>45781</v>
      </c>
      <c r="E164" s="1">
        <v>45796</v>
      </c>
      <c r="F164" t="s">
        <v>36</v>
      </c>
      <c r="G164" t="s">
        <v>37</v>
      </c>
      <c r="H164" t="s">
        <v>38</v>
      </c>
      <c r="I164" t="s">
        <v>40</v>
      </c>
      <c r="J164" t="s">
        <v>122</v>
      </c>
      <c r="K164" t="s">
        <v>123</v>
      </c>
      <c r="L164" t="s">
        <v>100</v>
      </c>
      <c r="M164" t="s">
        <v>43</v>
      </c>
      <c r="N164">
        <v>2</v>
      </c>
      <c r="O164" t="s">
        <v>44</v>
      </c>
      <c r="P164" s="48">
        <v>77204.95</v>
      </c>
      <c r="Q164" s="48">
        <v>21619.59</v>
      </c>
      <c r="R164" s="48">
        <v>4070.59</v>
      </c>
      <c r="S164" s="48">
        <v>1344.02</v>
      </c>
      <c r="T164" s="48">
        <v>772.05</v>
      </c>
      <c r="U164" s="48">
        <v>612.01</v>
      </c>
      <c r="V164" s="48">
        <v>1254.8</v>
      </c>
      <c r="W164" s="48">
        <v>47531.89</v>
      </c>
      <c r="X164">
        <v>12</v>
      </c>
      <c r="Y164" t="s">
        <v>135</v>
      </c>
      <c r="Z164">
        <v>180.16</v>
      </c>
      <c r="AA164" t="s">
        <v>91</v>
      </c>
      <c r="AB164" t="s">
        <v>47</v>
      </c>
      <c r="AC164" t="s">
        <v>60</v>
      </c>
      <c r="AD164" t="s">
        <v>130</v>
      </c>
      <c r="AE164" t="s">
        <v>71</v>
      </c>
      <c r="AF164" s="5">
        <f>DATE(YEAR(C164),MONTH(C164),1)</f>
        <v>45778</v>
      </c>
      <c r="AG164">
        <f>E164-D164</f>
        <v>15</v>
      </c>
      <c r="AH164" s="6">
        <f t="shared" si="2"/>
        <v>61.565858147696495</v>
      </c>
    </row>
    <row r="165" spans="1:34">
      <c r="A165" t="s">
        <v>443</v>
      </c>
      <c r="B165" t="s">
        <v>444</v>
      </c>
      <c r="C165" s="1">
        <v>45905</v>
      </c>
      <c r="D165" s="1">
        <v>45907</v>
      </c>
      <c r="E165" s="1">
        <v>45918</v>
      </c>
      <c r="F165" t="s">
        <v>96</v>
      </c>
      <c r="G165" t="s">
        <v>97</v>
      </c>
      <c r="H165" t="s">
        <v>76</v>
      </c>
      <c r="I165" t="s">
        <v>115</v>
      </c>
      <c r="J165" t="s">
        <v>98</v>
      </c>
      <c r="K165" t="s">
        <v>99</v>
      </c>
      <c r="L165" t="s">
        <v>100</v>
      </c>
      <c r="M165" t="s">
        <v>43</v>
      </c>
      <c r="N165">
        <v>4</v>
      </c>
      <c r="O165" t="s">
        <v>89</v>
      </c>
      <c r="P165" s="48">
        <v>116630.06</v>
      </c>
      <c r="Q165" s="48">
        <v>21611.02</v>
      </c>
      <c r="R165" s="48">
        <v>8418.2800000000007</v>
      </c>
      <c r="S165" s="48">
        <v>2225.12</v>
      </c>
      <c r="T165" s="48">
        <v>1166.3</v>
      </c>
      <c r="U165" s="48">
        <v>127.93</v>
      </c>
      <c r="V165" s="48">
        <v>1031.17</v>
      </c>
      <c r="W165" s="48">
        <v>82050.240000000005</v>
      </c>
      <c r="X165">
        <v>0</v>
      </c>
      <c r="Y165" t="s">
        <v>45</v>
      </c>
      <c r="Z165">
        <v>180.09</v>
      </c>
      <c r="AA165" t="s">
        <v>46</v>
      </c>
      <c r="AB165" t="s">
        <v>92</v>
      </c>
      <c r="AC165" t="s">
        <v>70</v>
      </c>
      <c r="AD165" t="s">
        <v>130</v>
      </c>
      <c r="AE165" t="s">
        <v>102</v>
      </c>
      <c r="AF165" s="5">
        <f>DATE(YEAR(C165),MONTH(C165),1)</f>
        <v>45901</v>
      </c>
      <c r="AG165">
        <f>E165-D165</f>
        <v>11</v>
      </c>
      <c r="AH165" s="6">
        <f t="shared" si="2"/>
        <v>70.350851229948788</v>
      </c>
    </row>
    <row r="166" spans="1:34">
      <c r="A166" t="s">
        <v>445</v>
      </c>
      <c r="B166" t="s">
        <v>446</v>
      </c>
      <c r="C166" s="1">
        <v>45796</v>
      </c>
      <c r="D166" s="1">
        <v>45797</v>
      </c>
      <c r="E166" s="1">
        <v>45817</v>
      </c>
      <c r="F166" t="s">
        <v>65</v>
      </c>
      <c r="G166" t="s">
        <v>66</v>
      </c>
      <c r="H166" t="s">
        <v>67</v>
      </c>
      <c r="I166" t="s">
        <v>39</v>
      </c>
      <c r="J166" t="s">
        <v>98</v>
      </c>
      <c r="K166" t="s">
        <v>41</v>
      </c>
      <c r="L166" t="s">
        <v>116</v>
      </c>
      <c r="M166" t="s">
        <v>68</v>
      </c>
      <c r="N166">
        <v>2</v>
      </c>
      <c r="O166" t="s">
        <v>80</v>
      </c>
      <c r="P166" s="48">
        <v>87171.5</v>
      </c>
      <c r="Q166" s="48">
        <v>21570.34</v>
      </c>
      <c r="R166" s="48">
        <v>4698.54</v>
      </c>
      <c r="S166" s="48">
        <v>1310.82</v>
      </c>
      <c r="T166" s="48">
        <v>871.72</v>
      </c>
      <c r="U166" s="48">
        <v>112.78</v>
      </c>
      <c r="V166" s="48">
        <v>1445.93</v>
      </c>
      <c r="W166" s="48">
        <v>57161.37</v>
      </c>
      <c r="X166">
        <v>0</v>
      </c>
      <c r="Y166" t="s">
        <v>45</v>
      </c>
      <c r="Z166">
        <v>179.75</v>
      </c>
      <c r="AA166" t="s">
        <v>46</v>
      </c>
      <c r="AB166" t="s">
        <v>92</v>
      </c>
      <c r="AC166" t="s">
        <v>70</v>
      </c>
      <c r="AD166" t="s">
        <v>61</v>
      </c>
      <c r="AE166" t="s">
        <v>71</v>
      </c>
      <c r="AF166" s="5">
        <f>DATE(YEAR(C166),MONTH(C166),1)</f>
        <v>45778</v>
      </c>
      <c r="AG166">
        <f>E166-D166</f>
        <v>20</v>
      </c>
      <c r="AH166" s="6">
        <f t="shared" si="2"/>
        <v>65.573461509782433</v>
      </c>
    </row>
    <row r="167" spans="1:34">
      <c r="A167" t="s">
        <v>447</v>
      </c>
      <c r="B167" t="s">
        <v>448</v>
      </c>
      <c r="C167" s="1">
        <v>45726</v>
      </c>
      <c r="D167" s="1">
        <v>45728</v>
      </c>
      <c r="E167" s="1">
        <v>45750</v>
      </c>
      <c r="F167" t="s">
        <v>83</v>
      </c>
      <c r="G167" t="s">
        <v>84</v>
      </c>
      <c r="H167" t="s">
        <v>85</v>
      </c>
      <c r="I167" t="s">
        <v>57</v>
      </c>
      <c r="J167" t="s">
        <v>98</v>
      </c>
      <c r="K167" t="s">
        <v>99</v>
      </c>
      <c r="L167" t="s">
        <v>116</v>
      </c>
      <c r="M167" t="s">
        <v>43</v>
      </c>
      <c r="N167">
        <v>4</v>
      </c>
      <c r="O167" t="s">
        <v>105</v>
      </c>
      <c r="P167" s="48">
        <v>105671.76</v>
      </c>
      <c r="Q167" s="48">
        <v>21498.9</v>
      </c>
      <c r="R167" s="48">
        <v>8301.26</v>
      </c>
      <c r="S167" s="48">
        <v>3091.31</v>
      </c>
      <c r="T167" s="48">
        <v>1056.72</v>
      </c>
      <c r="U167" s="48">
        <v>123.56</v>
      </c>
      <c r="V167" s="48">
        <v>2183.75</v>
      </c>
      <c r="W167" s="48">
        <v>69416.259999999995</v>
      </c>
      <c r="X167">
        <v>36</v>
      </c>
      <c r="Y167" t="s">
        <v>90</v>
      </c>
      <c r="Z167">
        <v>179.16</v>
      </c>
      <c r="AA167" t="s">
        <v>91</v>
      </c>
      <c r="AB167" t="s">
        <v>92</v>
      </c>
      <c r="AC167" t="s">
        <v>70</v>
      </c>
      <c r="AD167" t="s">
        <v>61</v>
      </c>
      <c r="AE167" t="s">
        <v>71</v>
      </c>
      <c r="AF167" s="5">
        <f>DATE(YEAR(C167),MONTH(C167),1)</f>
        <v>45717</v>
      </c>
      <c r="AG167">
        <f>E167-D167</f>
        <v>22</v>
      </c>
      <c r="AH167" s="6">
        <f t="shared" si="2"/>
        <v>65.690455046835595</v>
      </c>
    </row>
    <row r="168" spans="1:34">
      <c r="A168" t="s">
        <v>449</v>
      </c>
      <c r="B168" t="s">
        <v>450</v>
      </c>
      <c r="C168" s="1">
        <v>45829</v>
      </c>
      <c r="D168" s="1">
        <v>45832</v>
      </c>
      <c r="E168" s="1">
        <v>45851</v>
      </c>
      <c r="F168" t="s">
        <v>153</v>
      </c>
      <c r="G168" t="s">
        <v>75</v>
      </c>
      <c r="H168" t="s">
        <v>154</v>
      </c>
      <c r="I168" t="s">
        <v>57</v>
      </c>
      <c r="J168" t="s">
        <v>98</v>
      </c>
      <c r="K168" t="s">
        <v>99</v>
      </c>
      <c r="L168" t="s">
        <v>100</v>
      </c>
      <c r="M168" t="s">
        <v>43</v>
      </c>
      <c r="N168">
        <v>4</v>
      </c>
      <c r="O168" t="s">
        <v>54</v>
      </c>
      <c r="P168" s="48">
        <v>102926.17</v>
      </c>
      <c r="Q168" s="48">
        <v>21489.62</v>
      </c>
      <c r="R168" s="48">
        <v>5406.35</v>
      </c>
      <c r="S168" s="48">
        <v>1192.24</v>
      </c>
      <c r="T168" s="48">
        <v>1029.26</v>
      </c>
      <c r="U168" s="48">
        <v>575.36</v>
      </c>
      <c r="V168" s="48">
        <v>1370.7</v>
      </c>
      <c r="W168" s="48">
        <v>71862.64</v>
      </c>
      <c r="X168">
        <v>0</v>
      </c>
      <c r="Y168" t="s">
        <v>45</v>
      </c>
      <c r="Z168">
        <v>179.08</v>
      </c>
      <c r="AA168" t="s">
        <v>46</v>
      </c>
      <c r="AB168" t="s">
        <v>92</v>
      </c>
      <c r="AC168" t="s">
        <v>48</v>
      </c>
      <c r="AD168" t="s">
        <v>130</v>
      </c>
      <c r="AE168" t="s">
        <v>50</v>
      </c>
      <c r="AF168" s="5">
        <f>DATE(YEAR(C168),MONTH(C168),1)</f>
        <v>45809</v>
      </c>
      <c r="AG168">
        <f>E168-D168</f>
        <v>19</v>
      </c>
      <c r="AH168" s="6">
        <f t="shared" si="2"/>
        <v>69.819599816062322</v>
      </c>
    </row>
    <row r="169" spans="1:34">
      <c r="A169" t="s">
        <v>451</v>
      </c>
      <c r="B169" t="s">
        <v>452</v>
      </c>
      <c r="C169" s="1">
        <v>45955</v>
      </c>
      <c r="D169" s="1">
        <v>45956</v>
      </c>
      <c r="E169" s="1">
        <v>45981</v>
      </c>
      <c r="F169" t="s">
        <v>153</v>
      </c>
      <c r="G169" t="s">
        <v>75</v>
      </c>
      <c r="H169" t="s">
        <v>154</v>
      </c>
      <c r="I169" t="s">
        <v>40</v>
      </c>
      <c r="J169" t="s">
        <v>122</v>
      </c>
      <c r="K169" t="s">
        <v>123</v>
      </c>
      <c r="L169" t="s">
        <v>59</v>
      </c>
      <c r="M169" t="s">
        <v>68</v>
      </c>
      <c r="N169">
        <v>4</v>
      </c>
      <c r="O169" t="s">
        <v>80</v>
      </c>
      <c r="P169" s="48">
        <v>84506.99</v>
      </c>
      <c r="Q169" s="48">
        <v>21382.03</v>
      </c>
      <c r="R169" s="48">
        <v>5501.23</v>
      </c>
      <c r="S169" s="48">
        <v>1093.19</v>
      </c>
      <c r="T169" s="48">
        <v>845.07</v>
      </c>
      <c r="U169" s="48">
        <v>533.91</v>
      </c>
      <c r="V169" s="48">
        <v>371.72</v>
      </c>
      <c r="W169" s="48">
        <v>54779.839999999997</v>
      </c>
      <c r="X169">
        <v>36</v>
      </c>
      <c r="Y169" t="s">
        <v>101</v>
      </c>
      <c r="Z169">
        <v>178.18</v>
      </c>
      <c r="AA169" t="s">
        <v>91</v>
      </c>
      <c r="AB169" t="s">
        <v>92</v>
      </c>
      <c r="AC169" t="s">
        <v>60</v>
      </c>
      <c r="AD169" t="s">
        <v>49</v>
      </c>
      <c r="AE169" t="s">
        <v>71</v>
      </c>
      <c r="AF169" s="5">
        <f>DATE(YEAR(C169),MONTH(C169),1)</f>
        <v>45931</v>
      </c>
      <c r="AG169">
        <f>E169-D169</f>
        <v>25</v>
      </c>
      <c r="AH169" s="6">
        <f t="shared" si="2"/>
        <v>64.822850748796029</v>
      </c>
    </row>
    <row r="170" spans="1:34">
      <c r="A170" t="s">
        <v>453</v>
      </c>
      <c r="B170" t="s">
        <v>454</v>
      </c>
      <c r="C170" s="1">
        <v>45736</v>
      </c>
      <c r="D170" s="1">
        <v>45737</v>
      </c>
      <c r="E170" s="1">
        <v>45756</v>
      </c>
      <c r="F170" t="s">
        <v>149</v>
      </c>
      <c r="G170" t="s">
        <v>111</v>
      </c>
      <c r="H170" t="s">
        <v>150</v>
      </c>
      <c r="I170" t="s">
        <v>86</v>
      </c>
      <c r="J170" t="s">
        <v>87</v>
      </c>
      <c r="K170" t="s">
        <v>88</v>
      </c>
      <c r="L170" t="s">
        <v>116</v>
      </c>
      <c r="M170" t="s">
        <v>108</v>
      </c>
      <c r="N170">
        <v>4</v>
      </c>
      <c r="O170" t="s">
        <v>80</v>
      </c>
      <c r="P170" s="48">
        <v>92653.97</v>
      </c>
      <c r="Q170" s="48">
        <v>21113.33</v>
      </c>
      <c r="R170" s="48">
        <v>6846.98</v>
      </c>
      <c r="S170" s="48">
        <v>2688.43</v>
      </c>
      <c r="T170" s="48">
        <v>926.54</v>
      </c>
      <c r="U170" s="48">
        <v>308.85000000000002</v>
      </c>
      <c r="V170" s="48">
        <v>483.29</v>
      </c>
      <c r="W170" s="48">
        <v>60286.55</v>
      </c>
      <c r="X170">
        <v>12</v>
      </c>
      <c r="Y170" t="s">
        <v>112</v>
      </c>
      <c r="Z170">
        <v>175.94</v>
      </c>
      <c r="AA170" t="s">
        <v>91</v>
      </c>
      <c r="AB170" t="s">
        <v>92</v>
      </c>
      <c r="AC170" t="s">
        <v>48</v>
      </c>
      <c r="AD170" t="s">
        <v>49</v>
      </c>
      <c r="AE170" t="s">
        <v>71</v>
      </c>
      <c r="AF170" s="5">
        <f>DATE(YEAR(C170),MONTH(C170),1)</f>
        <v>45717</v>
      </c>
      <c r="AG170">
        <f>E170-D170</f>
        <v>19</v>
      </c>
      <c r="AH170" s="6">
        <f t="shared" si="2"/>
        <v>65.066343082762671</v>
      </c>
    </row>
    <row r="171" spans="1:34">
      <c r="A171" t="s">
        <v>455</v>
      </c>
      <c r="B171" t="s">
        <v>456</v>
      </c>
      <c r="C171" s="1">
        <v>45672</v>
      </c>
      <c r="D171" s="1">
        <v>45675</v>
      </c>
      <c r="E171" s="1">
        <v>45703</v>
      </c>
      <c r="F171" t="s">
        <v>234</v>
      </c>
      <c r="G171" t="s">
        <v>111</v>
      </c>
      <c r="H171" t="s">
        <v>150</v>
      </c>
      <c r="I171" t="s">
        <v>115</v>
      </c>
      <c r="J171" t="s">
        <v>98</v>
      </c>
      <c r="K171" t="s">
        <v>99</v>
      </c>
      <c r="L171" t="s">
        <v>59</v>
      </c>
      <c r="M171" t="s">
        <v>43</v>
      </c>
      <c r="N171">
        <v>4</v>
      </c>
      <c r="O171" t="s">
        <v>69</v>
      </c>
      <c r="P171" s="48">
        <v>70534.16</v>
      </c>
      <c r="Q171" s="48">
        <v>21110.48</v>
      </c>
      <c r="R171" s="48">
        <v>3187.64</v>
      </c>
      <c r="S171" s="48">
        <v>1486.7</v>
      </c>
      <c r="T171" s="48">
        <v>705.34</v>
      </c>
      <c r="U171" s="48">
        <v>256.98</v>
      </c>
      <c r="V171" s="48">
        <v>627.32000000000005</v>
      </c>
      <c r="W171" s="48">
        <v>43159.7</v>
      </c>
      <c r="X171">
        <v>0</v>
      </c>
      <c r="Y171" t="s">
        <v>45</v>
      </c>
      <c r="Z171">
        <v>175.92</v>
      </c>
      <c r="AA171" t="s">
        <v>46</v>
      </c>
      <c r="AB171" t="s">
        <v>47</v>
      </c>
      <c r="AC171" t="s">
        <v>60</v>
      </c>
      <c r="AD171" t="s">
        <v>93</v>
      </c>
      <c r="AE171" t="s">
        <v>102</v>
      </c>
      <c r="AF171" s="5">
        <f>DATE(YEAR(C171),MONTH(C171),1)</f>
        <v>45658</v>
      </c>
      <c r="AG171">
        <f>E171-D171</f>
        <v>28</v>
      </c>
      <c r="AH171" s="6">
        <f t="shared" si="2"/>
        <v>61.189783787033114</v>
      </c>
    </row>
    <row r="172" spans="1:34">
      <c r="A172" t="s">
        <v>457</v>
      </c>
      <c r="B172" t="s">
        <v>458</v>
      </c>
      <c r="C172" s="1">
        <v>45946</v>
      </c>
      <c r="D172" s="1">
        <v>45950</v>
      </c>
      <c r="E172" s="1">
        <v>45962</v>
      </c>
      <c r="F172" t="s">
        <v>149</v>
      </c>
      <c r="G172" t="s">
        <v>111</v>
      </c>
      <c r="H172" t="s">
        <v>150</v>
      </c>
      <c r="I172" t="s">
        <v>86</v>
      </c>
      <c r="J172" t="s">
        <v>87</v>
      </c>
      <c r="K172" t="s">
        <v>88</v>
      </c>
      <c r="L172" t="s">
        <v>78</v>
      </c>
      <c r="M172" t="s">
        <v>79</v>
      </c>
      <c r="N172">
        <v>4</v>
      </c>
      <c r="O172" t="s">
        <v>111</v>
      </c>
      <c r="P172" s="48">
        <v>125279.39</v>
      </c>
      <c r="Q172" s="48">
        <v>21055.21</v>
      </c>
      <c r="R172" s="48">
        <v>6620.38</v>
      </c>
      <c r="S172" s="48">
        <v>1597.53</v>
      </c>
      <c r="T172" s="48">
        <v>1252.79</v>
      </c>
      <c r="U172" s="48">
        <v>418.01</v>
      </c>
      <c r="V172" s="48">
        <v>1171.52</v>
      </c>
      <c r="W172" s="48">
        <v>93163.95</v>
      </c>
      <c r="X172">
        <v>12</v>
      </c>
      <c r="Y172" t="s">
        <v>112</v>
      </c>
      <c r="Z172">
        <v>175.46</v>
      </c>
      <c r="AA172" t="s">
        <v>91</v>
      </c>
      <c r="AB172" t="s">
        <v>92</v>
      </c>
      <c r="AC172" t="s">
        <v>60</v>
      </c>
      <c r="AD172" t="s">
        <v>130</v>
      </c>
      <c r="AE172" t="s">
        <v>50</v>
      </c>
      <c r="AF172" s="5">
        <f>DATE(YEAR(C172),MONTH(C172),1)</f>
        <v>45931</v>
      </c>
      <c r="AG172">
        <f>E172-D172</f>
        <v>12</v>
      </c>
      <c r="AH172" s="6">
        <f t="shared" si="2"/>
        <v>74.364945423185731</v>
      </c>
    </row>
    <row r="173" spans="1:34">
      <c r="A173" t="s">
        <v>459</v>
      </c>
      <c r="B173" t="s">
        <v>460</v>
      </c>
      <c r="C173" s="1">
        <v>46017</v>
      </c>
      <c r="D173" s="1">
        <v>46018</v>
      </c>
      <c r="E173" s="1">
        <v>46041</v>
      </c>
      <c r="F173" t="s">
        <v>120</v>
      </c>
      <c r="G173" t="s">
        <v>75</v>
      </c>
      <c r="H173" t="s">
        <v>121</v>
      </c>
      <c r="I173" t="s">
        <v>77</v>
      </c>
      <c r="J173" t="s">
        <v>57</v>
      </c>
      <c r="K173" t="s">
        <v>41</v>
      </c>
      <c r="L173" t="s">
        <v>127</v>
      </c>
      <c r="M173" t="s">
        <v>108</v>
      </c>
      <c r="N173">
        <v>2</v>
      </c>
      <c r="O173" t="s">
        <v>69</v>
      </c>
      <c r="P173" s="48">
        <v>89731.57</v>
      </c>
      <c r="Q173" s="48">
        <v>20946.25</v>
      </c>
      <c r="R173" s="48">
        <v>4334.78</v>
      </c>
      <c r="S173" s="48">
        <v>1357.46</v>
      </c>
      <c r="T173" s="48">
        <v>897.32</v>
      </c>
      <c r="U173" s="48">
        <v>645.1</v>
      </c>
      <c r="V173" s="48">
        <v>1161.3</v>
      </c>
      <c r="W173" s="48">
        <v>60389.36</v>
      </c>
      <c r="X173">
        <v>0</v>
      </c>
      <c r="Y173" t="s">
        <v>45</v>
      </c>
      <c r="Z173">
        <v>174.55</v>
      </c>
      <c r="AA173" t="s">
        <v>46</v>
      </c>
      <c r="AB173" t="s">
        <v>92</v>
      </c>
      <c r="AC173" t="s">
        <v>70</v>
      </c>
      <c r="AD173" t="s">
        <v>49</v>
      </c>
      <c r="AE173" t="s">
        <v>62</v>
      </c>
      <c r="AF173" s="5">
        <f>DATE(YEAR(C173),MONTH(C173),1)</f>
        <v>45992</v>
      </c>
      <c r="AG173">
        <f>E173-D173</f>
        <v>23</v>
      </c>
      <c r="AH173" s="6">
        <f t="shared" si="2"/>
        <v>67.300014922284319</v>
      </c>
    </row>
    <row r="174" spans="1:34">
      <c r="A174" t="s">
        <v>461</v>
      </c>
      <c r="B174" t="s">
        <v>462</v>
      </c>
      <c r="C174" s="1">
        <v>45784</v>
      </c>
      <c r="D174" s="1">
        <v>45788</v>
      </c>
      <c r="E174" s="1">
        <v>45810</v>
      </c>
      <c r="F174" t="s">
        <v>180</v>
      </c>
      <c r="G174" t="s">
        <v>181</v>
      </c>
      <c r="H174" t="s">
        <v>38</v>
      </c>
      <c r="I174" t="s">
        <v>86</v>
      </c>
      <c r="J174" t="s">
        <v>87</v>
      </c>
      <c r="K174" t="s">
        <v>88</v>
      </c>
      <c r="L174" t="s">
        <v>155</v>
      </c>
      <c r="M174" t="s">
        <v>79</v>
      </c>
      <c r="N174">
        <v>2</v>
      </c>
      <c r="O174" t="s">
        <v>54</v>
      </c>
      <c r="P174" s="48">
        <v>81859.27</v>
      </c>
      <c r="Q174" s="48">
        <v>20936.12</v>
      </c>
      <c r="R174" s="48">
        <v>5475.35</v>
      </c>
      <c r="S174" s="48">
        <v>1921.85</v>
      </c>
      <c r="T174" s="48">
        <v>818.59</v>
      </c>
      <c r="U174" s="48">
        <v>340.55</v>
      </c>
      <c r="V174" s="48">
        <v>2370.31</v>
      </c>
      <c r="W174" s="48">
        <v>49996.5</v>
      </c>
      <c r="X174">
        <v>0</v>
      </c>
      <c r="Y174" t="s">
        <v>45</v>
      </c>
      <c r="Z174">
        <v>174.47</v>
      </c>
      <c r="AA174" t="s">
        <v>46</v>
      </c>
      <c r="AB174" t="s">
        <v>47</v>
      </c>
      <c r="AC174" t="s">
        <v>60</v>
      </c>
      <c r="AD174" t="s">
        <v>61</v>
      </c>
      <c r="AE174" t="s">
        <v>71</v>
      </c>
      <c r="AF174" s="5">
        <f>DATE(YEAR(C174),MONTH(C174),1)</f>
        <v>45778</v>
      </c>
      <c r="AG174">
        <f>E174-D174</f>
        <v>22</v>
      </c>
      <c r="AH174" s="6">
        <f t="shared" si="2"/>
        <v>61.076161563620104</v>
      </c>
    </row>
    <row r="175" spans="1:34">
      <c r="A175" t="s">
        <v>463</v>
      </c>
      <c r="B175" t="s">
        <v>464</v>
      </c>
      <c r="C175" s="1">
        <v>45702</v>
      </c>
      <c r="D175" s="1">
        <v>45703</v>
      </c>
      <c r="E175" s="1">
        <v>45724</v>
      </c>
      <c r="F175" t="s">
        <v>234</v>
      </c>
      <c r="G175" t="s">
        <v>111</v>
      </c>
      <c r="H175" t="s">
        <v>150</v>
      </c>
      <c r="I175" t="s">
        <v>56</v>
      </c>
      <c r="J175" t="s">
        <v>57</v>
      </c>
      <c r="K175" t="s">
        <v>58</v>
      </c>
      <c r="L175" t="s">
        <v>59</v>
      </c>
      <c r="M175" t="s">
        <v>79</v>
      </c>
      <c r="N175">
        <v>4</v>
      </c>
      <c r="O175" t="s">
        <v>44</v>
      </c>
      <c r="P175" s="48">
        <v>102876.33</v>
      </c>
      <c r="Q175" s="48">
        <v>20802.189999999999</v>
      </c>
      <c r="R175" s="48">
        <v>7897.73</v>
      </c>
      <c r="S175" s="48">
        <v>2103.92</v>
      </c>
      <c r="T175" s="48">
        <v>1028.76</v>
      </c>
      <c r="U175" s="48">
        <v>415.68</v>
      </c>
      <c r="V175" s="48">
        <v>483.81</v>
      </c>
      <c r="W175" s="48">
        <v>70144.240000000005</v>
      </c>
      <c r="X175">
        <v>0</v>
      </c>
      <c r="Y175" t="s">
        <v>45</v>
      </c>
      <c r="Z175">
        <v>173.35</v>
      </c>
      <c r="AA175" t="s">
        <v>46</v>
      </c>
      <c r="AB175" t="s">
        <v>92</v>
      </c>
      <c r="AC175" t="s">
        <v>48</v>
      </c>
      <c r="AD175" t="s">
        <v>130</v>
      </c>
      <c r="AE175" t="s">
        <v>71</v>
      </c>
      <c r="AF175" s="5">
        <f>DATE(YEAR(C175),MONTH(C175),1)</f>
        <v>45689</v>
      </c>
      <c r="AG175">
        <f>E175-D175</f>
        <v>21</v>
      </c>
      <c r="AH175" s="6">
        <f t="shared" si="2"/>
        <v>68.183069905390298</v>
      </c>
    </row>
    <row r="176" spans="1:34">
      <c r="A176" t="s">
        <v>465</v>
      </c>
      <c r="B176" t="s">
        <v>466</v>
      </c>
      <c r="C176" s="1">
        <v>45885</v>
      </c>
      <c r="D176" s="1">
        <v>45886</v>
      </c>
      <c r="E176" s="1">
        <v>45899</v>
      </c>
      <c r="F176" t="s">
        <v>153</v>
      </c>
      <c r="G176" t="s">
        <v>75</v>
      </c>
      <c r="H176" t="s">
        <v>154</v>
      </c>
      <c r="I176" t="s">
        <v>87</v>
      </c>
      <c r="J176" t="s">
        <v>56</v>
      </c>
      <c r="K176" t="s">
        <v>41</v>
      </c>
      <c r="L176" t="s">
        <v>124</v>
      </c>
      <c r="M176" t="s">
        <v>43</v>
      </c>
      <c r="N176">
        <v>2</v>
      </c>
      <c r="O176" t="s">
        <v>89</v>
      </c>
      <c r="P176" s="48">
        <v>80356.5</v>
      </c>
      <c r="Q176" s="48">
        <v>20784.830000000002</v>
      </c>
      <c r="R176" s="48">
        <v>5052.78</v>
      </c>
      <c r="S176" s="48">
        <v>1612.4</v>
      </c>
      <c r="T176" s="48">
        <v>803.57</v>
      </c>
      <c r="U176" s="48">
        <v>485.33</v>
      </c>
      <c r="V176" s="48">
        <v>1143.2</v>
      </c>
      <c r="W176" s="48">
        <v>50474.39</v>
      </c>
      <c r="X176">
        <v>0</v>
      </c>
      <c r="Y176" t="s">
        <v>45</v>
      </c>
      <c r="Z176">
        <v>173.21</v>
      </c>
      <c r="AA176" t="s">
        <v>46</v>
      </c>
      <c r="AB176" t="s">
        <v>47</v>
      </c>
      <c r="AC176" t="s">
        <v>70</v>
      </c>
      <c r="AD176" t="s">
        <v>144</v>
      </c>
      <c r="AE176" t="s">
        <v>50</v>
      </c>
      <c r="AF176" s="5">
        <f>DATE(YEAR(C176),MONTH(C176),1)</f>
        <v>45870</v>
      </c>
      <c r="AG176">
        <f>E176-D176</f>
        <v>13</v>
      </c>
      <c r="AH176" s="6">
        <f t="shared" si="2"/>
        <v>62.813076726836037</v>
      </c>
    </row>
    <row r="177" spans="1:34">
      <c r="A177" t="s">
        <v>467</v>
      </c>
      <c r="B177" t="s">
        <v>468</v>
      </c>
      <c r="C177" s="1">
        <v>45778</v>
      </c>
      <c r="D177" s="1">
        <v>45782</v>
      </c>
      <c r="E177" s="1">
        <v>45805</v>
      </c>
      <c r="F177" t="s">
        <v>74</v>
      </c>
      <c r="G177" t="s">
        <v>75</v>
      </c>
      <c r="H177" t="s">
        <v>76</v>
      </c>
      <c r="I177" t="s">
        <v>86</v>
      </c>
      <c r="J177" t="s">
        <v>87</v>
      </c>
      <c r="K177" t="s">
        <v>88</v>
      </c>
      <c r="L177" t="s">
        <v>116</v>
      </c>
      <c r="M177" t="s">
        <v>43</v>
      </c>
      <c r="N177">
        <v>2</v>
      </c>
      <c r="O177" t="s">
        <v>111</v>
      </c>
      <c r="P177" s="48">
        <v>80639.13</v>
      </c>
      <c r="Q177" s="48">
        <v>20755.32</v>
      </c>
      <c r="R177" s="48">
        <v>4994.09</v>
      </c>
      <c r="S177" s="48">
        <v>1392.54</v>
      </c>
      <c r="T177" s="48">
        <v>806.39</v>
      </c>
      <c r="U177" s="48">
        <v>324.22000000000003</v>
      </c>
      <c r="V177" s="48">
        <v>1970.27</v>
      </c>
      <c r="W177" s="48">
        <v>50396.3</v>
      </c>
      <c r="X177">
        <v>12</v>
      </c>
      <c r="Y177" t="s">
        <v>101</v>
      </c>
      <c r="Z177">
        <v>172.96</v>
      </c>
      <c r="AA177" t="s">
        <v>91</v>
      </c>
      <c r="AB177" t="s">
        <v>47</v>
      </c>
      <c r="AC177" t="s">
        <v>48</v>
      </c>
      <c r="AD177" t="s">
        <v>130</v>
      </c>
      <c r="AE177" t="s">
        <v>102</v>
      </c>
      <c r="AF177" s="5">
        <f>DATE(YEAR(C177),MONTH(C177),1)</f>
        <v>45778</v>
      </c>
      <c r="AG177">
        <f>E177-D177</f>
        <v>23</v>
      </c>
      <c r="AH177" s="6">
        <f t="shared" si="2"/>
        <v>62.49608595727657</v>
      </c>
    </row>
    <row r="178" spans="1:34">
      <c r="A178" t="s">
        <v>469</v>
      </c>
      <c r="B178" t="s">
        <v>470</v>
      </c>
      <c r="C178" s="1">
        <v>45823</v>
      </c>
      <c r="D178" s="1">
        <v>45825</v>
      </c>
      <c r="E178" s="1">
        <v>45851</v>
      </c>
      <c r="F178" t="s">
        <v>36</v>
      </c>
      <c r="G178" t="s">
        <v>37</v>
      </c>
      <c r="H178" t="s">
        <v>38</v>
      </c>
      <c r="I178" t="s">
        <v>115</v>
      </c>
      <c r="J178" t="s">
        <v>87</v>
      </c>
      <c r="K178" t="s">
        <v>41</v>
      </c>
      <c r="L178" t="s">
        <v>124</v>
      </c>
      <c r="M178" t="s">
        <v>43</v>
      </c>
      <c r="N178">
        <v>2</v>
      </c>
      <c r="O178" t="s">
        <v>80</v>
      </c>
      <c r="P178" s="48">
        <v>87751.8</v>
      </c>
      <c r="Q178" s="48">
        <v>20733.349999999999</v>
      </c>
      <c r="R178" s="48">
        <v>4954.8599999999997</v>
      </c>
      <c r="S178" s="48">
        <v>2204.13</v>
      </c>
      <c r="T178" s="48">
        <v>877.52</v>
      </c>
      <c r="U178" s="48">
        <v>551</v>
      </c>
      <c r="V178" s="48">
        <v>1170.6300000000001</v>
      </c>
      <c r="W178" s="48">
        <v>57260.31</v>
      </c>
      <c r="X178">
        <v>24</v>
      </c>
      <c r="Y178" t="s">
        <v>135</v>
      </c>
      <c r="Z178">
        <v>172.78</v>
      </c>
      <c r="AA178" t="s">
        <v>91</v>
      </c>
      <c r="AB178" t="s">
        <v>47</v>
      </c>
      <c r="AC178" t="s">
        <v>48</v>
      </c>
      <c r="AD178" t="s">
        <v>93</v>
      </c>
      <c r="AE178" t="s">
        <v>71</v>
      </c>
      <c r="AF178" s="5">
        <f>DATE(YEAR(C178),MONTH(C178),1)</f>
        <v>45809</v>
      </c>
      <c r="AG178">
        <f>E178-D178</f>
        <v>26</v>
      </c>
      <c r="AH178" s="6">
        <f t="shared" si="2"/>
        <v>65.252576015534729</v>
      </c>
    </row>
    <row r="179" spans="1:34">
      <c r="A179" t="s">
        <v>471</v>
      </c>
      <c r="B179" t="s">
        <v>472</v>
      </c>
      <c r="C179" s="1">
        <v>45793</v>
      </c>
      <c r="D179" s="1">
        <v>45794</v>
      </c>
      <c r="E179" s="1">
        <v>45820</v>
      </c>
      <c r="F179" t="s">
        <v>83</v>
      </c>
      <c r="G179" t="s">
        <v>84</v>
      </c>
      <c r="H179" t="s">
        <v>85</v>
      </c>
      <c r="I179" t="s">
        <v>57</v>
      </c>
      <c r="J179" t="s">
        <v>98</v>
      </c>
      <c r="K179" t="s">
        <v>99</v>
      </c>
      <c r="L179" t="s">
        <v>78</v>
      </c>
      <c r="M179" t="s">
        <v>43</v>
      </c>
      <c r="N179">
        <v>4</v>
      </c>
      <c r="O179" t="s">
        <v>80</v>
      </c>
      <c r="P179" s="48">
        <v>108258.86</v>
      </c>
      <c r="Q179" s="48">
        <v>20667.05</v>
      </c>
      <c r="R179" s="48">
        <v>5793.96</v>
      </c>
      <c r="S179" s="48">
        <v>2548.6</v>
      </c>
      <c r="T179" s="48">
        <v>1082.5899999999999</v>
      </c>
      <c r="U179" s="48">
        <v>785.06</v>
      </c>
      <c r="V179" s="48">
        <v>1138.8499999999999</v>
      </c>
      <c r="W179" s="48">
        <v>76242.75</v>
      </c>
      <c r="X179">
        <v>0</v>
      </c>
      <c r="Y179" t="s">
        <v>45</v>
      </c>
      <c r="Z179">
        <v>172.23</v>
      </c>
      <c r="AA179" t="s">
        <v>46</v>
      </c>
      <c r="AB179" t="s">
        <v>92</v>
      </c>
      <c r="AC179" t="s">
        <v>70</v>
      </c>
      <c r="AD179" t="s">
        <v>144</v>
      </c>
      <c r="AE179" t="s">
        <v>62</v>
      </c>
      <c r="AF179" s="5">
        <f>DATE(YEAR(C179),MONTH(C179),1)</f>
        <v>45778</v>
      </c>
      <c r="AG179">
        <f>E179-D179</f>
        <v>26</v>
      </c>
      <c r="AH179" s="6">
        <f t="shared" si="2"/>
        <v>70.426337391692456</v>
      </c>
    </row>
    <row r="180" spans="1:34">
      <c r="A180" t="s">
        <v>473</v>
      </c>
      <c r="B180" t="s">
        <v>474</v>
      </c>
      <c r="C180" s="1">
        <v>46017</v>
      </c>
      <c r="D180" s="1">
        <v>46018</v>
      </c>
      <c r="E180" s="1">
        <v>46044</v>
      </c>
      <c r="F180" t="s">
        <v>153</v>
      </c>
      <c r="G180" t="s">
        <v>75</v>
      </c>
      <c r="H180" t="s">
        <v>154</v>
      </c>
      <c r="I180" t="s">
        <v>122</v>
      </c>
      <c r="J180" t="s">
        <v>39</v>
      </c>
      <c r="K180" t="s">
        <v>41</v>
      </c>
      <c r="L180" t="s">
        <v>124</v>
      </c>
      <c r="M180" t="s">
        <v>68</v>
      </c>
      <c r="N180">
        <v>2</v>
      </c>
      <c r="O180" t="s">
        <v>44</v>
      </c>
      <c r="P180" s="48">
        <v>70553.78</v>
      </c>
      <c r="Q180" s="48">
        <v>20639.52</v>
      </c>
      <c r="R180" s="48">
        <v>4763.5200000000004</v>
      </c>
      <c r="S180" s="48">
        <v>2090.65</v>
      </c>
      <c r="T180" s="48">
        <v>705.54</v>
      </c>
      <c r="U180" s="48">
        <v>492.28</v>
      </c>
      <c r="V180" s="48">
        <v>1229.8399999999999</v>
      </c>
      <c r="W180" s="48">
        <v>40632.43</v>
      </c>
      <c r="X180">
        <v>0</v>
      </c>
      <c r="Y180" t="s">
        <v>45</v>
      </c>
      <c r="Z180">
        <v>172</v>
      </c>
      <c r="AA180" t="s">
        <v>46</v>
      </c>
      <c r="AB180" t="s">
        <v>92</v>
      </c>
      <c r="AC180" t="s">
        <v>60</v>
      </c>
      <c r="AD180" t="s">
        <v>61</v>
      </c>
      <c r="AE180" t="s">
        <v>50</v>
      </c>
      <c r="AF180" s="5">
        <f>DATE(YEAR(C180),MONTH(C180),1)</f>
        <v>45992</v>
      </c>
      <c r="AG180">
        <f>E180-D180</f>
        <v>26</v>
      </c>
      <c r="AH180" s="6">
        <f t="shared" si="2"/>
        <v>57.590720157020648</v>
      </c>
    </row>
    <row r="181" spans="1:34">
      <c r="A181" t="s">
        <v>475</v>
      </c>
      <c r="B181" t="s">
        <v>476</v>
      </c>
      <c r="C181" s="1">
        <v>45965</v>
      </c>
      <c r="D181" s="1">
        <v>45968</v>
      </c>
      <c r="E181" s="1">
        <v>45979</v>
      </c>
      <c r="F181" t="s">
        <v>96</v>
      </c>
      <c r="G181" t="s">
        <v>97</v>
      </c>
      <c r="H181" t="s">
        <v>76</v>
      </c>
      <c r="I181" t="s">
        <v>56</v>
      </c>
      <c r="J181" t="s">
        <v>57</v>
      </c>
      <c r="K181" t="s">
        <v>58</v>
      </c>
      <c r="L181" t="s">
        <v>100</v>
      </c>
      <c r="M181" t="s">
        <v>68</v>
      </c>
      <c r="N181">
        <v>4</v>
      </c>
      <c r="O181" t="s">
        <v>44</v>
      </c>
      <c r="P181" s="48">
        <v>115671.54</v>
      </c>
      <c r="Q181" s="48">
        <v>20466.560000000001</v>
      </c>
      <c r="R181" s="48">
        <v>6949.21</v>
      </c>
      <c r="S181" s="48">
        <v>1298.6300000000001</v>
      </c>
      <c r="T181" s="48">
        <v>1156.72</v>
      </c>
      <c r="U181" s="48">
        <v>291.74</v>
      </c>
      <c r="V181" s="48">
        <v>1757.43</v>
      </c>
      <c r="W181" s="48">
        <v>83751.25</v>
      </c>
      <c r="X181">
        <v>36</v>
      </c>
      <c r="Y181" t="s">
        <v>112</v>
      </c>
      <c r="Z181">
        <v>170.55</v>
      </c>
      <c r="AA181" t="s">
        <v>91</v>
      </c>
      <c r="AB181" t="s">
        <v>47</v>
      </c>
      <c r="AC181" t="s">
        <v>48</v>
      </c>
      <c r="AD181" t="s">
        <v>93</v>
      </c>
      <c r="AE181" t="s">
        <v>102</v>
      </c>
      <c r="AF181" s="5">
        <f>DATE(YEAR(C181),MONTH(C181),1)</f>
        <v>45962</v>
      </c>
      <c r="AG181">
        <f>E181-D181</f>
        <v>11</v>
      </c>
      <c r="AH181" s="6">
        <f t="shared" si="2"/>
        <v>72.404370167458652</v>
      </c>
    </row>
    <row r="182" spans="1:34">
      <c r="A182" t="s">
        <v>477</v>
      </c>
      <c r="B182" t="s">
        <v>478</v>
      </c>
      <c r="C182" s="1">
        <v>45658</v>
      </c>
      <c r="D182" s="1">
        <v>45661</v>
      </c>
      <c r="E182" s="1">
        <v>45688</v>
      </c>
      <c r="F182" t="s">
        <v>149</v>
      </c>
      <c r="G182" t="s">
        <v>111</v>
      </c>
      <c r="H182" t="s">
        <v>150</v>
      </c>
      <c r="I182" t="s">
        <v>56</v>
      </c>
      <c r="J182" t="s">
        <v>57</v>
      </c>
      <c r="K182" t="s">
        <v>58</v>
      </c>
      <c r="L182" t="s">
        <v>100</v>
      </c>
      <c r="M182" t="s">
        <v>79</v>
      </c>
      <c r="N182">
        <v>4</v>
      </c>
      <c r="O182" t="s">
        <v>80</v>
      </c>
      <c r="P182" s="48">
        <v>99903.31</v>
      </c>
      <c r="Q182" s="48">
        <v>20419.93</v>
      </c>
      <c r="R182" s="48">
        <v>6411.95</v>
      </c>
      <c r="S182" s="48">
        <v>2599.85</v>
      </c>
      <c r="T182" s="48">
        <v>999.03</v>
      </c>
      <c r="U182" s="48">
        <v>183.37</v>
      </c>
      <c r="V182" s="48">
        <v>739.94</v>
      </c>
      <c r="W182" s="48">
        <v>68549.240000000005</v>
      </c>
      <c r="X182">
        <v>48</v>
      </c>
      <c r="Y182" t="s">
        <v>135</v>
      </c>
      <c r="Z182">
        <v>170.17</v>
      </c>
      <c r="AA182" t="s">
        <v>91</v>
      </c>
      <c r="AB182" t="s">
        <v>47</v>
      </c>
      <c r="AC182" t="s">
        <v>60</v>
      </c>
      <c r="AD182" t="s">
        <v>144</v>
      </c>
      <c r="AE182" t="s">
        <v>50</v>
      </c>
      <c r="AF182" s="5">
        <f>DATE(YEAR(C182),MONTH(C182),1)</f>
        <v>45658</v>
      </c>
      <c r="AG182">
        <f>E182-D182</f>
        <v>27</v>
      </c>
      <c r="AH182" s="6">
        <f t="shared" si="2"/>
        <v>68.615584408564644</v>
      </c>
    </row>
    <row r="183" spans="1:34">
      <c r="A183" t="s">
        <v>479</v>
      </c>
      <c r="B183" t="s">
        <v>480</v>
      </c>
      <c r="C183" s="1">
        <v>45965</v>
      </c>
      <c r="D183" s="1">
        <v>45967</v>
      </c>
      <c r="E183" s="1">
        <v>45980</v>
      </c>
      <c r="F183" t="s">
        <v>74</v>
      </c>
      <c r="G183" t="s">
        <v>75</v>
      </c>
      <c r="H183" t="s">
        <v>76</v>
      </c>
      <c r="I183" t="s">
        <v>40</v>
      </c>
      <c r="J183" t="s">
        <v>86</v>
      </c>
      <c r="K183" t="s">
        <v>41</v>
      </c>
      <c r="L183" t="s">
        <v>124</v>
      </c>
      <c r="M183" t="s">
        <v>108</v>
      </c>
      <c r="N183">
        <v>2</v>
      </c>
      <c r="O183" t="s">
        <v>105</v>
      </c>
      <c r="P183" s="48">
        <v>72641.98</v>
      </c>
      <c r="Q183" s="48">
        <v>20418.66</v>
      </c>
      <c r="R183" s="48">
        <v>4240.8500000000004</v>
      </c>
      <c r="S183" s="48">
        <v>750.52</v>
      </c>
      <c r="T183" s="48">
        <v>726.42</v>
      </c>
      <c r="U183" s="48">
        <v>151.80000000000001</v>
      </c>
      <c r="V183" s="48">
        <v>1465.25</v>
      </c>
      <c r="W183" s="48">
        <v>44888.480000000003</v>
      </c>
      <c r="X183">
        <v>4</v>
      </c>
      <c r="Y183" t="s">
        <v>90</v>
      </c>
      <c r="Z183">
        <v>170.16</v>
      </c>
      <c r="AA183" t="s">
        <v>91</v>
      </c>
      <c r="AB183" t="s">
        <v>92</v>
      </c>
      <c r="AC183" t="s">
        <v>60</v>
      </c>
      <c r="AD183" t="s">
        <v>61</v>
      </c>
      <c r="AE183" t="s">
        <v>102</v>
      </c>
      <c r="AF183" s="5">
        <f>DATE(YEAR(C183),MONTH(C183),1)</f>
        <v>45962</v>
      </c>
      <c r="AG183">
        <f>E183-D183</f>
        <v>13</v>
      </c>
      <c r="AH183" s="6">
        <f t="shared" si="2"/>
        <v>61.79413061152794</v>
      </c>
    </row>
    <row r="184" spans="1:34">
      <c r="A184" t="s">
        <v>481</v>
      </c>
      <c r="B184" t="s">
        <v>482</v>
      </c>
      <c r="C184" s="1">
        <v>45680</v>
      </c>
      <c r="D184" s="1">
        <v>45681</v>
      </c>
      <c r="E184" s="1">
        <v>45699</v>
      </c>
      <c r="F184" t="s">
        <v>74</v>
      </c>
      <c r="G184" t="s">
        <v>75</v>
      </c>
      <c r="H184" t="s">
        <v>76</v>
      </c>
      <c r="I184" t="s">
        <v>98</v>
      </c>
      <c r="J184" t="s">
        <v>87</v>
      </c>
      <c r="K184" t="s">
        <v>41</v>
      </c>
      <c r="L184" t="s">
        <v>116</v>
      </c>
      <c r="M184" t="s">
        <v>68</v>
      </c>
      <c r="N184">
        <v>4</v>
      </c>
      <c r="O184" t="s">
        <v>89</v>
      </c>
      <c r="P184" s="48">
        <v>92211.38</v>
      </c>
      <c r="Q184" s="48">
        <v>20412.38</v>
      </c>
      <c r="R184" s="48">
        <v>5067.6099999999997</v>
      </c>
      <c r="S184" s="48">
        <v>2283.7199999999998</v>
      </c>
      <c r="T184" s="48">
        <v>922.11</v>
      </c>
      <c r="U184" s="48">
        <v>294.20999999999998</v>
      </c>
      <c r="V184" s="48">
        <v>2246.8200000000002</v>
      </c>
      <c r="W184" s="48">
        <v>60984.53</v>
      </c>
      <c r="X184">
        <v>0</v>
      </c>
      <c r="Y184" t="s">
        <v>45</v>
      </c>
      <c r="Z184">
        <v>170.1</v>
      </c>
      <c r="AA184" t="s">
        <v>46</v>
      </c>
      <c r="AB184" t="s">
        <v>47</v>
      </c>
      <c r="AC184" t="s">
        <v>70</v>
      </c>
      <c r="AD184" t="s">
        <v>130</v>
      </c>
      <c r="AE184" t="s">
        <v>62</v>
      </c>
      <c r="AF184" s="5">
        <f>DATE(YEAR(C184),MONTH(C184),1)</f>
        <v>45658</v>
      </c>
      <c r="AG184">
        <f>E184-D184</f>
        <v>18</v>
      </c>
      <c r="AH184" s="6">
        <f t="shared" si="2"/>
        <v>66.135578927459932</v>
      </c>
    </row>
    <row r="185" spans="1:34">
      <c r="A185" t="s">
        <v>483</v>
      </c>
      <c r="B185" t="s">
        <v>484</v>
      </c>
      <c r="C185" s="1">
        <v>45914</v>
      </c>
      <c r="D185" s="1">
        <v>45918</v>
      </c>
      <c r="E185" s="1">
        <v>45944</v>
      </c>
      <c r="F185" t="s">
        <v>83</v>
      </c>
      <c r="G185" t="s">
        <v>84</v>
      </c>
      <c r="H185" t="s">
        <v>85</v>
      </c>
      <c r="I185" t="s">
        <v>56</v>
      </c>
      <c r="J185" t="s">
        <v>57</v>
      </c>
      <c r="K185" t="s">
        <v>58</v>
      </c>
      <c r="L185" t="s">
        <v>59</v>
      </c>
      <c r="M185" t="s">
        <v>108</v>
      </c>
      <c r="N185">
        <v>4</v>
      </c>
      <c r="O185" t="s">
        <v>80</v>
      </c>
      <c r="P185" s="48">
        <v>78091.63</v>
      </c>
      <c r="Q185" s="48">
        <v>20392.39</v>
      </c>
      <c r="R185" s="48">
        <v>5231.45</v>
      </c>
      <c r="S185" s="48">
        <v>1931.07</v>
      </c>
      <c r="T185" s="48">
        <v>780.92</v>
      </c>
      <c r="U185" s="48">
        <v>499.2</v>
      </c>
      <c r="V185" s="48">
        <v>449.74</v>
      </c>
      <c r="W185" s="48">
        <v>48806.86</v>
      </c>
      <c r="X185">
        <v>36</v>
      </c>
      <c r="Y185" t="s">
        <v>90</v>
      </c>
      <c r="Z185">
        <v>169.94</v>
      </c>
      <c r="AA185" t="s">
        <v>91</v>
      </c>
      <c r="AB185" t="s">
        <v>92</v>
      </c>
      <c r="AC185" t="s">
        <v>48</v>
      </c>
      <c r="AD185" t="s">
        <v>49</v>
      </c>
      <c r="AE185" t="s">
        <v>102</v>
      </c>
      <c r="AF185" s="5">
        <f>DATE(YEAR(C185),MONTH(C185),1)</f>
        <v>45901</v>
      </c>
      <c r="AG185">
        <f>E185-D185</f>
        <v>26</v>
      </c>
      <c r="AH185" s="6">
        <f t="shared" si="2"/>
        <v>62.49947657642695</v>
      </c>
    </row>
    <row r="186" spans="1:34">
      <c r="A186" t="s">
        <v>485</v>
      </c>
      <c r="B186" t="s">
        <v>486</v>
      </c>
      <c r="C186" s="1">
        <v>45768</v>
      </c>
      <c r="D186" s="1">
        <v>45771</v>
      </c>
      <c r="E186" s="1">
        <v>45801</v>
      </c>
      <c r="F186" t="s">
        <v>153</v>
      </c>
      <c r="G186" t="s">
        <v>75</v>
      </c>
      <c r="H186" t="s">
        <v>154</v>
      </c>
      <c r="I186" t="s">
        <v>56</v>
      </c>
      <c r="J186" t="s">
        <v>57</v>
      </c>
      <c r="K186" t="s">
        <v>58</v>
      </c>
      <c r="L186" t="s">
        <v>127</v>
      </c>
      <c r="M186" t="s">
        <v>108</v>
      </c>
      <c r="N186">
        <v>2</v>
      </c>
      <c r="O186" t="s">
        <v>89</v>
      </c>
      <c r="P186" s="48">
        <v>80432.009999999995</v>
      </c>
      <c r="Q186" s="48">
        <v>20369.060000000001</v>
      </c>
      <c r="R186" s="48">
        <v>4901.46</v>
      </c>
      <c r="S186" s="48">
        <v>2322.59</v>
      </c>
      <c r="T186" s="48">
        <v>804.32</v>
      </c>
      <c r="U186" s="48">
        <v>827.3</v>
      </c>
      <c r="V186" s="48">
        <v>1156.22</v>
      </c>
      <c r="W186" s="48">
        <v>50051.06</v>
      </c>
      <c r="X186">
        <v>48</v>
      </c>
      <c r="Y186" t="s">
        <v>101</v>
      </c>
      <c r="Z186">
        <v>169.74</v>
      </c>
      <c r="AA186" t="s">
        <v>91</v>
      </c>
      <c r="AB186" t="s">
        <v>92</v>
      </c>
      <c r="AC186" t="s">
        <v>60</v>
      </c>
      <c r="AD186" t="s">
        <v>93</v>
      </c>
      <c r="AE186" t="s">
        <v>50</v>
      </c>
      <c r="AF186" s="5">
        <f>DATE(YEAR(C186),MONTH(C186),1)</f>
        <v>45748</v>
      </c>
      <c r="AG186">
        <f>E186-D186</f>
        <v>30</v>
      </c>
      <c r="AH186" s="6">
        <f t="shared" si="2"/>
        <v>62.227787170804262</v>
      </c>
    </row>
    <row r="187" spans="1:34">
      <c r="A187" t="s">
        <v>487</v>
      </c>
      <c r="B187" t="s">
        <v>488</v>
      </c>
      <c r="C187" s="1">
        <v>45915</v>
      </c>
      <c r="D187" s="1">
        <v>45916</v>
      </c>
      <c r="E187" s="1">
        <v>45942</v>
      </c>
      <c r="F187" t="s">
        <v>65</v>
      </c>
      <c r="G187" t="s">
        <v>66</v>
      </c>
      <c r="H187" t="s">
        <v>67</v>
      </c>
      <c r="I187" t="s">
        <v>40</v>
      </c>
      <c r="J187" t="s">
        <v>122</v>
      </c>
      <c r="K187" t="s">
        <v>123</v>
      </c>
      <c r="L187" t="s">
        <v>124</v>
      </c>
      <c r="M187" t="s">
        <v>79</v>
      </c>
      <c r="N187">
        <v>2</v>
      </c>
      <c r="O187" t="s">
        <v>44</v>
      </c>
      <c r="P187" s="48">
        <v>70293.09</v>
      </c>
      <c r="Q187" s="48">
        <v>20316.75</v>
      </c>
      <c r="R187" s="48">
        <v>5348.74</v>
      </c>
      <c r="S187" s="48">
        <v>1064.33</v>
      </c>
      <c r="T187" s="48">
        <v>702.93</v>
      </c>
      <c r="U187" s="48">
        <v>499.53</v>
      </c>
      <c r="V187" s="48">
        <v>1603.63</v>
      </c>
      <c r="W187" s="48">
        <v>40757.18</v>
      </c>
      <c r="X187">
        <v>12</v>
      </c>
      <c r="Y187" t="s">
        <v>135</v>
      </c>
      <c r="Z187">
        <v>169.31</v>
      </c>
      <c r="AA187" t="s">
        <v>91</v>
      </c>
      <c r="AB187" t="s">
        <v>92</v>
      </c>
      <c r="AC187" t="s">
        <v>60</v>
      </c>
      <c r="AD187" t="s">
        <v>61</v>
      </c>
      <c r="AE187" t="s">
        <v>102</v>
      </c>
      <c r="AF187" s="5">
        <f>DATE(YEAR(C187),MONTH(C187),1)</f>
        <v>45901</v>
      </c>
      <c r="AG187">
        <f>E187-D187</f>
        <v>26</v>
      </c>
      <c r="AH187" s="6">
        <f t="shared" si="2"/>
        <v>57.981773172868067</v>
      </c>
    </row>
    <row r="188" spans="1:34">
      <c r="A188" t="s">
        <v>489</v>
      </c>
      <c r="B188" t="s">
        <v>490</v>
      </c>
      <c r="C188" s="1">
        <v>45899</v>
      </c>
      <c r="D188" s="1">
        <v>45900</v>
      </c>
      <c r="E188" s="1">
        <v>45925</v>
      </c>
      <c r="F188" t="s">
        <v>53</v>
      </c>
      <c r="G188" t="s">
        <v>54</v>
      </c>
      <c r="H188" t="s">
        <v>55</v>
      </c>
      <c r="I188" t="s">
        <v>86</v>
      </c>
      <c r="J188" t="s">
        <v>87</v>
      </c>
      <c r="K188" t="s">
        <v>88</v>
      </c>
      <c r="L188" t="s">
        <v>42</v>
      </c>
      <c r="M188" t="s">
        <v>108</v>
      </c>
      <c r="N188">
        <v>4</v>
      </c>
      <c r="O188" t="s">
        <v>111</v>
      </c>
      <c r="P188" s="48">
        <v>70060.14</v>
      </c>
      <c r="Q188" s="48">
        <v>20294.52</v>
      </c>
      <c r="R188" s="48">
        <v>4261.67</v>
      </c>
      <c r="S188" s="48">
        <v>1010.72</v>
      </c>
      <c r="T188" s="48">
        <v>700.6</v>
      </c>
      <c r="U188" s="48">
        <v>568.77</v>
      </c>
      <c r="V188" s="48">
        <v>1913.35</v>
      </c>
      <c r="W188" s="48">
        <v>41310.51</v>
      </c>
      <c r="X188">
        <v>4</v>
      </c>
      <c r="Y188" t="s">
        <v>101</v>
      </c>
      <c r="Z188">
        <v>169.12</v>
      </c>
      <c r="AA188" t="s">
        <v>91</v>
      </c>
      <c r="AB188" t="s">
        <v>47</v>
      </c>
      <c r="AC188" t="s">
        <v>60</v>
      </c>
      <c r="AD188" t="s">
        <v>61</v>
      </c>
      <c r="AE188" t="s">
        <v>62</v>
      </c>
      <c r="AF188" s="5">
        <f>DATE(YEAR(C188),MONTH(C188),1)</f>
        <v>45870</v>
      </c>
      <c r="AG188">
        <f>E188-D188</f>
        <v>25</v>
      </c>
      <c r="AH188" s="6">
        <f t="shared" si="2"/>
        <v>58.964355480876861</v>
      </c>
    </row>
    <row r="189" spans="1:34">
      <c r="A189" t="s">
        <v>491</v>
      </c>
      <c r="B189" t="s">
        <v>492</v>
      </c>
      <c r="C189" s="1">
        <v>45830</v>
      </c>
      <c r="D189" s="1">
        <v>45831</v>
      </c>
      <c r="E189" s="1">
        <v>45850</v>
      </c>
      <c r="F189" t="s">
        <v>120</v>
      </c>
      <c r="G189" t="s">
        <v>75</v>
      </c>
      <c r="H189" t="s">
        <v>121</v>
      </c>
      <c r="I189" t="s">
        <v>115</v>
      </c>
      <c r="J189" t="s">
        <v>98</v>
      </c>
      <c r="K189" t="s">
        <v>99</v>
      </c>
      <c r="L189" t="s">
        <v>78</v>
      </c>
      <c r="M189" t="s">
        <v>68</v>
      </c>
      <c r="N189">
        <v>2</v>
      </c>
      <c r="O189" t="s">
        <v>105</v>
      </c>
      <c r="P189" s="48">
        <v>82704.679999999993</v>
      </c>
      <c r="Q189" s="48">
        <v>20204.86</v>
      </c>
      <c r="R189" s="48">
        <v>4719.46</v>
      </c>
      <c r="S189" s="48">
        <v>2409.8000000000002</v>
      </c>
      <c r="T189" s="48">
        <v>827.05</v>
      </c>
      <c r="U189" s="48">
        <v>774.81</v>
      </c>
      <c r="V189" s="48">
        <v>1838.95</v>
      </c>
      <c r="W189" s="48">
        <v>51929.75</v>
      </c>
      <c r="X189">
        <v>0</v>
      </c>
      <c r="Y189" t="s">
        <v>45</v>
      </c>
      <c r="Z189">
        <v>168.37</v>
      </c>
      <c r="AA189" t="s">
        <v>46</v>
      </c>
      <c r="AB189" t="s">
        <v>92</v>
      </c>
      <c r="AC189" t="s">
        <v>70</v>
      </c>
      <c r="AD189" t="s">
        <v>144</v>
      </c>
      <c r="AE189" t="s">
        <v>62</v>
      </c>
      <c r="AF189" s="5">
        <f>DATE(YEAR(C189),MONTH(C189),1)</f>
        <v>45809</v>
      </c>
      <c r="AG189">
        <f>E189-D189</f>
        <v>19</v>
      </c>
      <c r="AH189" s="6">
        <f t="shared" si="2"/>
        <v>62.789372983487759</v>
      </c>
    </row>
    <row r="190" spans="1:34">
      <c r="A190" t="s">
        <v>493</v>
      </c>
      <c r="B190" t="s">
        <v>494</v>
      </c>
      <c r="C190" s="1">
        <v>45804</v>
      </c>
      <c r="D190" s="1">
        <v>45806</v>
      </c>
      <c r="E190" s="1">
        <v>45829</v>
      </c>
      <c r="F190" t="s">
        <v>180</v>
      </c>
      <c r="G190" t="s">
        <v>181</v>
      </c>
      <c r="H190" t="s">
        <v>38</v>
      </c>
      <c r="I190" t="s">
        <v>56</v>
      </c>
      <c r="J190" t="s">
        <v>57</v>
      </c>
      <c r="K190" t="s">
        <v>58</v>
      </c>
      <c r="L190" t="s">
        <v>59</v>
      </c>
      <c r="M190" t="s">
        <v>43</v>
      </c>
      <c r="N190">
        <v>2</v>
      </c>
      <c r="O190" t="s">
        <v>105</v>
      </c>
      <c r="P190" s="48">
        <v>88069.440000000002</v>
      </c>
      <c r="Q190" s="48">
        <v>20188.23</v>
      </c>
      <c r="R190" s="48">
        <v>5948.32</v>
      </c>
      <c r="S190" s="48">
        <v>1327.03</v>
      </c>
      <c r="T190" s="48">
        <v>880.69</v>
      </c>
      <c r="U190" s="48">
        <v>325.64999999999998</v>
      </c>
      <c r="V190" s="48">
        <v>1511.14</v>
      </c>
      <c r="W190" s="48">
        <v>57888.38</v>
      </c>
      <c r="X190">
        <v>0</v>
      </c>
      <c r="Y190" t="s">
        <v>45</v>
      </c>
      <c r="Z190">
        <v>168.24</v>
      </c>
      <c r="AA190" t="s">
        <v>46</v>
      </c>
      <c r="AB190" t="s">
        <v>47</v>
      </c>
      <c r="AC190" t="s">
        <v>70</v>
      </c>
      <c r="AD190" t="s">
        <v>61</v>
      </c>
      <c r="AE190" t="s">
        <v>71</v>
      </c>
      <c r="AF190" s="5">
        <f>DATE(YEAR(C190),MONTH(C190),1)</f>
        <v>45778</v>
      </c>
      <c r="AG190">
        <f>E190-D190</f>
        <v>23</v>
      </c>
      <c r="AH190" s="6">
        <f t="shared" si="2"/>
        <v>65.730382752518906</v>
      </c>
    </row>
    <row r="191" spans="1:34">
      <c r="A191" t="s">
        <v>495</v>
      </c>
      <c r="B191" t="s">
        <v>496</v>
      </c>
      <c r="C191" s="1">
        <v>45889</v>
      </c>
      <c r="D191" s="1">
        <v>45893</v>
      </c>
      <c r="E191" s="1">
        <v>45904</v>
      </c>
      <c r="F191" t="s">
        <v>65</v>
      </c>
      <c r="G191" t="s">
        <v>66</v>
      </c>
      <c r="H191" t="s">
        <v>67</v>
      </c>
      <c r="I191" t="s">
        <v>86</v>
      </c>
      <c r="J191" t="s">
        <v>87</v>
      </c>
      <c r="K191" t="s">
        <v>88</v>
      </c>
      <c r="L191" t="s">
        <v>42</v>
      </c>
      <c r="M191" t="s">
        <v>68</v>
      </c>
      <c r="N191">
        <v>2</v>
      </c>
      <c r="O191" t="s">
        <v>44</v>
      </c>
      <c r="P191" s="48">
        <v>73451.37</v>
      </c>
      <c r="Q191" s="48">
        <v>20003.080000000002</v>
      </c>
      <c r="R191" s="48">
        <v>5509.57</v>
      </c>
      <c r="S191" s="48">
        <v>1926.29</v>
      </c>
      <c r="T191" s="48">
        <v>734.51</v>
      </c>
      <c r="U191" s="48">
        <v>409.82</v>
      </c>
      <c r="V191" s="48">
        <v>1644.18</v>
      </c>
      <c r="W191" s="48">
        <v>43223.92</v>
      </c>
      <c r="X191">
        <v>0</v>
      </c>
      <c r="Y191" t="s">
        <v>45</v>
      </c>
      <c r="Z191">
        <v>166.69</v>
      </c>
      <c r="AA191" t="s">
        <v>46</v>
      </c>
      <c r="AB191" t="s">
        <v>47</v>
      </c>
      <c r="AC191" t="s">
        <v>70</v>
      </c>
      <c r="AD191" t="s">
        <v>93</v>
      </c>
      <c r="AE191" t="s">
        <v>102</v>
      </c>
      <c r="AF191" s="5">
        <f>DATE(YEAR(C191),MONTH(C191),1)</f>
        <v>45870</v>
      </c>
      <c r="AG191">
        <f>E191-D191</f>
        <v>11</v>
      </c>
      <c r="AH191" s="6">
        <f t="shared" si="2"/>
        <v>58.846989511563905</v>
      </c>
    </row>
    <row r="192" spans="1:34">
      <c r="A192" t="s">
        <v>497</v>
      </c>
      <c r="B192" t="s">
        <v>498</v>
      </c>
      <c r="C192" s="1">
        <v>45894</v>
      </c>
      <c r="D192" s="1">
        <v>45895</v>
      </c>
      <c r="E192" s="1">
        <v>45917</v>
      </c>
      <c r="F192" t="s">
        <v>153</v>
      </c>
      <c r="G192" t="s">
        <v>75</v>
      </c>
      <c r="H192" t="s">
        <v>154</v>
      </c>
      <c r="I192" t="s">
        <v>86</v>
      </c>
      <c r="J192" t="s">
        <v>57</v>
      </c>
      <c r="K192" t="s">
        <v>41</v>
      </c>
      <c r="L192" t="s">
        <v>127</v>
      </c>
      <c r="M192" t="s">
        <v>68</v>
      </c>
      <c r="N192">
        <v>4</v>
      </c>
      <c r="O192" t="s">
        <v>80</v>
      </c>
      <c r="P192" s="48">
        <v>124720.57</v>
      </c>
      <c r="Q192" s="48">
        <v>19998.34</v>
      </c>
      <c r="R192" s="48">
        <v>7632.16</v>
      </c>
      <c r="S192" s="48">
        <v>2054.92</v>
      </c>
      <c r="T192" s="48">
        <v>1247.21</v>
      </c>
      <c r="U192" s="48">
        <v>173.29</v>
      </c>
      <c r="V192" s="48">
        <v>1624.61</v>
      </c>
      <c r="W192" s="48">
        <v>91990.04</v>
      </c>
      <c r="X192">
        <v>0</v>
      </c>
      <c r="Y192" t="s">
        <v>45</v>
      </c>
      <c r="Z192">
        <v>166.65</v>
      </c>
      <c r="AA192" t="s">
        <v>46</v>
      </c>
      <c r="AB192" t="s">
        <v>47</v>
      </c>
      <c r="AC192" t="s">
        <v>70</v>
      </c>
      <c r="AD192" t="s">
        <v>49</v>
      </c>
      <c r="AE192" t="s">
        <v>50</v>
      </c>
      <c r="AF192" s="5">
        <f>DATE(YEAR(C192),MONTH(C192),1)</f>
        <v>45870</v>
      </c>
      <c r="AG192">
        <f>E192-D192</f>
        <v>22</v>
      </c>
      <c r="AH192" s="6">
        <f t="shared" si="2"/>
        <v>73.756911149459938</v>
      </c>
    </row>
    <row r="193" spans="1:34">
      <c r="A193" t="s">
        <v>499</v>
      </c>
      <c r="B193" t="s">
        <v>500</v>
      </c>
      <c r="C193" s="1">
        <v>45711</v>
      </c>
      <c r="D193" s="1">
        <v>45712</v>
      </c>
      <c r="E193" s="1">
        <v>45740</v>
      </c>
      <c r="F193" t="s">
        <v>53</v>
      </c>
      <c r="G193" t="s">
        <v>54</v>
      </c>
      <c r="H193" t="s">
        <v>55</v>
      </c>
      <c r="I193" t="s">
        <v>57</v>
      </c>
      <c r="J193" t="s">
        <v>98</v>
      </c>
      <c r="K193" t="s">
        <v>99</v>
      </c>
      <c r="L193" t="s">
        <v>155</v>
      </c>
      <c r="M193" t="s">
        <v>79</v>
      </c>
      <c r="N193">
        <v>4</v>
      </c>
      <c r="O193" t="s">
        <v>54</v>
      </c>
      <c r="P193" s="48">
        <v>77273.14</v>
      </c>
      <c r="Q193" s="48">
        <v>19995.27</v>
      </c>
      <c r="R193" s="48">
        <v>5521.12</v>
      </c>
      <c r="S193" s="48">
        <v>2184.06</v>
      </c>
      <c r="T193" s="48">
        <v>772.73</v>
      </c>
      <c r="U193" s="48">
        <v>207.26</v>
      </c>
      <c r="V193" s="48">
        <v>1032.93</v>
      </c>
      <c r="W193" s="48">
        <v>47559.77</v>
      </c>
      <c r="X193">
        <v>0</v>
      </c>
      <c r="Y193" t="s">
        <v>45</v>
      </c>
      <c r="Z193">
        <v>166.63</v>
      </c>
      <c r="AA193" t="s">
        <v>46</v>
      </c>
      <c r="AB193" t="s">
        <v>47</v>
      </c>
      <c r="AC193" t="s">
        <v>70</v>
      </c>
      <c r="AD193" t="s">
        <v>61</v>
      </c>
      <c r="AE193" t="s">
        <v>62</v>
      </c>
      <c r="AF193" s="5">
        <f>DATE(YEAR(C193),MONTH(C193),1)</f>
        <v>45689</v>
      </c>
      <c r="AG193">
        <f>E193-D193</f>
        <v>28</v>
      </c>
      <c r="AH193" s="6">
        <f t="shared" si="2"/>
        <v>61.547608910418283</v>
      </c>
    </row>
    <row r="194" spans="1:34">
      <c r="A194" t="s">
        <v>501</v>
      </c>
      <c r="B194" t="s">
        <v>502</v>
      </c>
      <c r="C194" s="1">
        <v>45790</v>
      </c>
      <c r="D194" s="1">
        <v>45791</v>
      </c>
      <c r="E194" s="1">
        <v>45812</v>
      </c>
      <c r="F194" t="s">
        <v>83</v>
      </c>
      <c r="G194" t="s">
        <v>84</v>
      </c>
      <c r="H194" t="s">
        <v>85</v>
      </c>
      <c r="I194" t="s">
        <v>56</v>
      </c>
      <c r="J194" t="s">
        <v>57</v>
      </c>
      <c r="K194" t="s">
        <v>58</v>
      </c>
      <c r="L194" t="s">
        <v>127</v>
      </c>
      <c r="M194" t="s">
        <v>108</v>
      </c>
      <c r="N194">
        <v>2</v>
      </c>
      <c r="O194" t="s">
        <v>44</v>
      </c>
      <c r="P194" s="48">
        <v>74300.820000000007</v>
      </c>
      <c r="Q194" s="48">
        <v>19974.599999999999</v>
      </c>
      <c r="R194" s="48">
        <v>4977.54</v>
      </c>
      <c r="S194" s="48">
        <v>1395.08</v>
      </c>
      <c r="T194" s="48">
        <v>743.01</v>
      </c>
      <c r="U194" s="48">
        <v>369.35</v>
      </c>
      <c r="V194" s="48">
        <v>1473.99</v>
      </c>
      <c r="W194" s="48">
        <v>45367.25</v>
      </c>
      <c r="X194">
        <v>12</v>
      </c>
      <c r="Y194" t="s">
        <v>90</v>
      </c>
      <c r="Z194">
        <v>166.45</v>
      </c>
      <c r="AA194" t="s">
        <v>91</v>
      </c>
      <c r="AB194" t="s">
        <v>47</v>
      </c>
      <c r="AC194" t="s">
        <v>60</v>
      </c>
      <c r="AD194" t="s">
        <v>93</v>
      </c>
      <c r="AE194" t="s">
        <v>62</v>
      </c>
      <c r="AF194" s="5">
        <f>DATE(YEAR(C194),MONTH(C194),1)</f>
        <v>45778</v>
      </c>
      <c r="AG194">
        <f>E194-D194</f>
        <v>21</v>
      </c>
      <c r="AH194" s="6">
        <f t="shared" si="2"/>
        <v>61.058881988112645</v>
      </c>
    </row>
    <row r="195" spans="1:34">
      <c r="A195" t="s">
        <v>503</v>
      </c>
      <c r="B195" t="s">
        <v>504</v>
      </c>
      <c r="C195" s="1">
        <v>45812</v>
      </c>
      <c r="D195" s="1">
        <v>45816</v>
      </c>
      <c r="E195" s="1">
        <v>45843</v>
      </c>
      <c r="F195" t="s">
        <v>96</v>
      </c>
      <c r="G195" t="s">
        <v>97</v>
      </c>
      <c r="H195" t="s">
        <v>76</v>
      </c>
      <c r="I195" t="s">
        <v>87</v>
      </c>
      <c r="J195" t="s">
        <v>87</v>
      </c>
      <c r="K195" t="s">
        <v>41</v>
      </c>
      <c r="L195" t="s">
        <v>116</v>
      </c>
      <c r="M195" t="s">
        <v>108</v>
      </c>
      <c r="N195">
        <v>2</v>
      </c>
      <c r="O195" t="s">
        <v>105</v>
      </c>
      <c r="P195" s="48">
        <v>87187.6</v>
      </c>
      <c r="Q195" s="48">
        <v>19961.439999999999</v>
      </c>
      <c r="R195" s="48">
        <v>5027.3599999999997</v>
      </c>
      <c r="S195" s="48">
        <v>2038.58</v>
      </c>
      <c r="T195" s="48">
        <v>871.88</v>
      </c>
      <c r="U195" s="48">
        <v>529.42999999999995</v>
      </c>
      <c r="V195" s="48">
        <v>1541.04</v>
      </c>
      <c r="W195" s="48">
        <v>57217.87</v>
      </c>
      <c r="X195">
        <v>36</v>
      </c>
      <c r="Y195" t="s">
        <v>90</v>
      </c>
      <c r="Z195">
        <v>166.35</v>
      </c>
      <c r="AA195" t="s">
        <v>91</v>
      </c>
      <c r="AB195" t="s">
        <v>92</v>
      </c>
      <c r="AC195" t="s">
        <v>60</v>
      </c>
      <c r="AD195" t="s">
        <v>144</v>
      </c>
      <c r="AE195" t="s">
        <v>71</v>
      </c>
      <c r="AF195" s="5">
        <f>DATE(YEAR(C195),MONTH(C195),1)</f>
        <v>45809</v>
      </c>
      <c r="AG195">
        <f>E195-D195</f>
        <v>27</v>
      </c>
      <c r="AH195" s="6">
        <f t="shared" ref="AH195:AH258" si="3">W195/P195*100</f>
        <v>65.626155554230195</v>
      </c>
    </row>
    <row r="196" spans="1:34">
      <c r="A196" t="s">
        <v>505</v>
      </c>
      <c r="B196" t="s">
        <v>506</v>
      </c>
      <c r="C196" s="1">
        <v>45907</v>
      </c>
      <c r="D196" s="1">
        <v>45909</v>
      </c>
      <c r="E196" s="1">
        <v>45923</v>
      </c>
      <c r="F196" t="s">
        <v>120</v>
      </c>
      <c r="G196" t="s">
        <v>75</v>
      </c>
      <c r="H196" t="s">
        <v>121</v>
      </c>
      <c r="I196" t="s">
        <v>86</v>
      </c>
      <c r="J196" t="s">
        <v>87</v>
      </c>
      <c r="K196" t="s">
        <v>88</v>
      </c>
      <c r="L196" t="s">
        <v>78</v>
      </c>
      <c r="M196" t="s">
        <v>79</v>
      </c>
      <c r="N196">
        <v>4</v>
      </c>
      <c r="O196" t="s">
        <v>105</v>
      </c>
      <c r="P196" s="48">
        <v>88722.71</v>
      </c>
      <c r="Q196" s="48">
        <v>19810.919999999998</v>
      </c>
      <c r="R196" s="48">
        <v>6719.19</v>
      </c>
      <c r="S196" s="48">
        <v>2049.9899999999998</v>
      </c>
      <c r="T196" s="48">
        <v>887.23</v>
      </c>
      <c r="U196" s="48">
        <v>561.41</v>
      </c>
      <c r="V196" s="48">
        <v>630.85</v>
      </c>
      <c r="W196" s="48">
        <v>58063.12</v>
      </c>
      <c r="X196">
        <v>0</v>
      </c>
      <c r="Y196" t="s">
        <v>45</v>
      </c>
      <c r="Z196">
        <v>165.09</v>
      </c>
      <c r="AA196" t="s">
        <v>46</v>
      </c>
      <c r="AB196" t="s">
        <v>92</v>
      </c>
      <c r="AC196" t="s">
        <v>48</v>
      </c>
      <c r="AD196" t="s">
        <v>61</v>
      </c>
      <c r="AE196" t="s">
        <v>62</v>
      </c>
      <c r="AF196" s="5">
        <f>DATE(YEAR(C196),MONTH(C196),1)</f>
        <v>45901</v>
      </c>
      <c r="AG196">
        <f>E196-D196</f>
        <v>14</v>
      </c>
      <c r="AH196" s="6">
        <f t="shared" si="3"/>
        <v>65.443357174279285</v>
      </c>
    </row>
    <row r="197" spans="1:34">
      <c r="A197" t="s">
        <v>507</v>
      </c>
      <c r="B197" t="s">
        <v>508</v>
      </c>
      <c r="C197" s="1">
        <v>45909</v>
      </c>
      <c r="D197" s="1">
        <v>45913</v>
      </c>
      <c r="E197" s="1">
        <v>45932</v>
      </c>
      <c r="F197" t="s">
        <v>149</v>
      </c>
      <c r="G197" t="s">
        <v>111</v>
      </c>
      <c r="H197" t="s">
        <v>150</v>
      </c>
      <c r="I197" t="s">
        <v>56</v>
      </c>
      <c r="J197" t="s">
        <v>57</v>
      </c>
      <c r="K197" t="s">
        <v>58</v>
      </c>
      <c r="L197" t="s">
        <v>116</v>
      </c>
      <c r="M197" t="s">
        <v>79</v>
      </c>
      <c r="N197">
        <v>4</v>
      </c>
      <c r="O197" t="s">
        <v>80</v>
      </c>
      <c r="P197" s="48">
        <v>123186.5</v>
      </c>
      <c r="Q197" s="48">
        <v>19787.849999999999</v>
      </c>
      <c r="R197" s="48">
        <v>8608.84</v>
      </c>
      <c r="S197" s="48">
        <v>3355.19</v>
      </c>
      <c r="T197" s="48">
        <v>1231.8699999999999</v>
      </c>
      <c r="U197" s="48">
        <v>243.57</v>
      </c>
      <c r="V197" s="48">
        <v>1155.6199999999999</v>
      </c>
      <c r="W197" s="48">
        <v>88803.56</v>
      </c>
      <c r="X197">
        <v>0</v>
      </c>
      <c r="Y197" t="s">
        <v>45</v>
      </c>
      <c r="Z197">
        <v>164.9</v>
      </c>
      <c r="AA197" t="s">
        <v>46</v>
      </c>
      <c r="AB197" t="s">
        <v>92</v>
      </c>
      <c r="AC197" t="s">
        <v>70</v>
      </c>
      <c r="AD197" t="s">
        <v>144</v>
      </c>
      <c r="AE197" t="s">
        <v>71</v>
      </c>
      <c r="AF197" s="5">
        <f>DATE(YEAR(C197),MONTH(C197),1)</f>
        <v>45901</v>
      </c>
      <c r="AG197">
        <f>E197-D197</f>
        <v>19</v>
      </c>
      <c r="AH197" s="6">
        <f t="shared" si="3"/>
        <v>72.08871101947048</v>
      </c>
    </row>
    <row r="198" spans="1:34">
      <c r="A198" t="s">
        <v>509</v>
      </c>
      <c r="B198" t="s">
        <v>510</v>
      </c>
      <c r="C198" s="1">
        <v>45807</v>
      </c>
      <c r="D198" s="1">
        <v>45808</v>
      </c>
      <c r="E198" s="1">
        <v>45833</v>
      </c>
      <c r="F198" t="s">
        <v>234</v>
      </c>
      <c r="G198" t="s">
        <v>111</v>
      </c>
      <c r="H198" t="s">
        <v>150</v>
      </c>
      <c r="I198" t="s">
        <v>115</v>
      </c>
      <c r="J198" t="s">
        <v>98</v>
      </c>
      <c r="K198" t="s">
        <v>99</v>
      </c>
      <c r="L198" t="s">
        <v>155</v>
      </c>
      <c r="M198" t="s">
        <v>108</v>
      </c>
      <c r="N198">
        <v>4</v>
      </c>
      <c r="O198" t="s">
        <v>69</v>
      </c>
      <c r="P198" s="48">
        <v>101118.21</v>
      </c>
      <c r="Q198" s="48">
        <v>19706.88</v>
      </c>
      <c r="R198" s="48">
        <v>5467.26</v>
      </c>
      <c r="S198" s="48">
        <v>2948.45</v>
      </c>
      <c r="T198" s="48">
        <v>1011.18</v>
      </c>
      <c r="U198" s="48">
        <v>169.92</v>
      </c>
      <c r="V198" s="48">
        <v>2487.0300000000002</v>
      </c>
      <c r="W198" s="48">
        <v>69327.490000000005</v>
      </c>
      <c r="X198">
        <v>0</v>
      </c>
      <c r="Y198" t="s">
        <v>45</v>
      </c>
      <c r="Z198">
        <v>164.22</v>
      </c>
      <c r="AA198" t="s">
        <v>46</v>
      </c>
      <c r="AB198" t="s">
        <v>47</v>
      </c>
      <c r="AC198" t="s">
        <v>48</v>
      </c>
      <c r="AD198" t="s">
        <v>130</v>
      </c>
      <c r="AE198" t="s">
        <v>102</v>
      </c>
      <c r="AF198" s="5">
        <f>DATE(YEAR(C198),MONTH(C198),1)</f>
        <v>45778</v>
      </c>
      <c r="AG198">
        <f>E198-D198</f>
        <v>25</v>
      </c>
      <c r="AH198" s="6">
        <f t="shared" si="3"/>
        <v>68.560835877138246</v>
      </c>
    </row>
    <row r="199" spans="1:34">
      <c r="A199" t="s">
        <v>511</v>
      </c>
      <c r="B199" t="s">
        <v>512</v>
      </c>
      <c r="C199" s="1">
        <v>45663</v>
      </c>
      <c r="D199" s="1">
        <v>45667</v>
      </c>
      <c r="E199" s="1">
        <v>45679</v>
      </c>
      <c r="F199" t="s">
        <v>153</v>
      </c>
      <c r="G199" t="s">
        <v>75</v>
      </c>
      <c r="H199" t="s">
        <v>154</v>
      </c>
      <c r="I199" t="s">
        <v>40</v>
      </c>
      <c r="J199" t="s">
        <v>122</v>
      </c>
      <c r="K199" t="s">
        <v>123</v>
      </c>
      <c r="L199" t="s">
        <v>78</v>
      </c>
      <c r="M199" t="s">
        <v>108</v>
      </c>
      <c r="N199">
        <v>4</v>
      </c>
      <c r="O199" t="s">
        <v>105</v>
      </c>
      <c r="P199" s="48">
        <v>111938.22</v>
      </c>
      <c r="Q199" s="48">
        <v>19698.12</v>
      </c>
      <c r="R199" s="48">
        <v>7838.66</v>
      </c>
      <c r="S199" s="48">
        <v>1535.53</v>
      </c>
      <c r="T199" s="48">
        <v>1119.3800000000001</v>
      </c>
      <c r="U199" s="48">
        <v>770.32</v>
      </c>
      <c r="V199" s="48">
        <v>2092.4499999999998</v>
      </c>
      <c r="W199" s="48">
        <v>78883.759999999995</v>
      </c>
      <c r="X199">
        <v>12</v>
      </c>
      <c r="Y199" t="s">
        <v>112</v>
      </c>
      <c r="Z199">
        <v>164.15</v>
      </c>
      <c r="AA199" t="s">
        <v>91</v>
      </c>
      <c r="AB199" t="s">
        <v>47</v>
      </c>
      <c r="AC199" t="s">
        <v>48</v>
      </c>
      <c r="AD199" t="s">
        <v>61</v>
      </c>
      <c r="AE199" t="s">
        <v>50</v>
      </c>
      <c r="AF199" s="5">
        <f>DATE(YEAR(C199),MONTH(C199),1)</f>
        <v>45658</v>
      </c>
      <c r="AG199">
        <f>E199-D199</f>
        <v>12</v>
      </c>
      <c r="AH199" s="6">
        <f t="shared" si="3"/>
        <v>70.470800768495337</v>
      </c>
    </row>
    <row r="200" spans="1:34">
      <c r="A200" t="s">
        <v>513</v>
      </c>
      <c r="B200" t="s">
        <v>514</v>
      </c>
      <c r="C200" s="1">
        <v>45675</v>
      </c>
      <c r="D200" s="1">
        <v>45676</v>
      </c>
      <c r="E200" s="1">
        <v>45697</v>
      </c>
      <c r="F200" t="s">
        <v>53</v>
      </c>
      <c r="G200" t="s">
        <v>54</v>
      </c>
      <c r="H200" t="s">
        <v>55</v>
      </c>
      <c r="I200" t="s">
        <v>56</v>
      </c>
      <c r="J200" t="s">
        <v>57</v>
      </c>
      <c r="K200" t="s">
        <v>58</v>
      </c>
      <c r="L200" t="s">
        <v>155</v>
      </c>
      <c r="M200" t="s">
        <v>68</v>
      </c>
      <c r="N200">
        <v>2</v>
      </c>
      <c r="O200" t="s">
        <v>44</v>
      </c>
      <c r="P200" s="48">
        <v>77611.86</v>
      </c>
      <c r="Q200" s="48">
        <v>19681.89</v>
      </c>
      <c r="R200" s="48">
        <v>3768.87</v>
      </c>
      <c r="S200" s="48">
        <v>1045.43</v>
      </c>
      <c r="T200" s="48">
        <v>776.12</v>
      </c>
      <c r="U200" s="48">
        <v>498.34</v>
      </c>
      <c r="V200" s="48">
        <v>783.57</v>
      </c>
      <c r="W200" s="48">
        <v>51057.64</v>
      </c>
      <c r="X200">
        <v>36</v>
      </c>
      <c r="Y200" t="s">
        <v>101</v>
      </c>
      <c r="Z200">
        <v>164.02</v>
      </c>
      <c r="AA200" t="s">
        <v>91</v>
      </c>
      <c r="AB200" t="s">
        <v>47</v>
      </c>
      <c r="AC200" t="s">
        <v>70</v>
      </c>
      <c r="AD200" t="s">
        <v>130</v>
      </c>
      <c r="AE200" t="s">
        <v>102</v>
      </c>
      <c r="AF200" s="5">
        <f>DATE(YEAR(C200),MONTH(C200),1)</f>
        <v>45658</v>
      </c>
      <c r="AG200">
        <f>E200-D200</f>
        <v>21</v>
      </c>
      <c r="AH200" s="6">
        <f t="shared" si="3"/>
        <v>65.78587344769214</v>
      </c>
    </row>
    <row r="201" spans="1:34">
      <c r="A201" t="s">
        <v>515</v>
      </c>
      <c r="B201" t="s">
        <v>516</v>
      </c>
      <c r="C201" s="1">
        <v>45789</v>
      </c>
      <c r="D201" s="1">
        <v>45792</v>
      </c>
      <c r="E201" s="1">
        <v>45816</v>
      </c>
      <c r="F201" t="s">
        <v>53</v>
      </c>
      <c r="G201" t="s">
        <v>54</v>
      </c>
      <c r="H201" t="s">
        <v>55</v>
      </c>
      <c r="I201" t="s">
        <v>57</v>
      </c>
      <c r="J201" t="s">
        <v>98</v>
      </c>
      <c r="K201" t="s">
        <v>99</v>
      </c>
      <c r="L201" t="s">
        <v>127</v>
      </c>
      <c r="M201" t="s">
        <v>43</v>
      </c>
      <c r="N201">
        <v>2</v>
      </c>
      <c r="O201" t="s">
        <v>105</v>
      </c>
      <c r="P201" s="48">
        <v>75993.56</v>
      </c>
      <c r="Q201" s="48">
        <v>19631.36</v>
      </c>
      <c r="R201" s="48">
        <v>6035.07</v>
      </c>
      <c r="S201" s="48">
        <v>1747.31</v>
      </c>
      <c r="T201" s="48">
        <v>759.94</v>
      </c>
      <c r="U201" s="48">
        <v>815.93</v>
      </c>
      <c r="V201" s="48">
        <v>1789.33</v>
      </c>
      <c r="W201" s="48">
        <v>45214.62</v>
      </c>
      <c r="X201">
        <v>12</v>
      </c>
      <c r="Y201" t="s">
        <v>135</v>
      </c>
      <c r="Z201">
        <v>163.59</v>
      </c>
      <c r="AA201" t="s">
        <v>91</v>
      </c>
      <c r="AB201" t="s">
        <v>92</v>
      </c>
      <c r="AC201" t="s">
        <v>60</v>
      </c>
      <c r="AD201" t="s">
        <v>144</v>
      </c>
      <c r="AE201" t="s">
        <v>71</v>
      </c>
      <c r="AF201" s="5">
        <f>DATE(YEAR(C201),MONTH(C201),1)</f>
        <v>45778</v>
      </c>
      <c r="AG201">
        <f>E201-D201</f>
        <v>24</v>
      </c>
      <c r="AH201" s="6">
        <f t="shared" si="3"/>
        <v>59.497962722104347</v>
      </c>
    </row>
    <row r="202" spans="1:34">
      <c r="A202" t="s">
        <v>517</v>
      </c>
      <c r="B202" t="s">
        <v>518</v>
      </c>
      <c r="C202" s="1">
        <v>45805</v>
      </c>
      <c r="D202" s="1">
        <v>45808</v>
      </c>
      <c r="E202" s="1">
        <v>45829</v>
      </c>
      <c r="F202" t="s">
        <v>234</v>
      </c>
      <c r="G202" t="s">
        <v>111</v>
      </c>
      <c r="H202" t="s">
        <v>150</v>
      </c>
      <c r="I202" t="s">
        <v>57</v>
      </c>
      <c r="J202" t="s">
        <v>98</v>
      </c>
      <c r="K202" t="s">
        <v>99</v>
      </c>
      <c r="L202" t="s">
        <v>124</v>
      </c>
      <c r="M202" t="s">
        <v>108</v>
      </c>
      <c r="N202">
        <v>2</v>
      </c>
      <c r="O202" t="s">
        <v>54</v>
      </c>
      <c r="P202" s="48">
        <v>68644.75</v>
      </c>
      <c r="Q202" s="48">
        <v>19610.150000000001</v>
      </c>
      <c r="R202" s="48">
        <v>4912.92</v>
      </c>
      <c r="S202" s="48">
        <v>2036.61</v>
      </c>
      <c r="T202" s="48">
        <v>686.45</v>
      </c>
      <c r="U202" s="48">
        <v>791.47</v>
      </c>
      <c r="V202" s="48">
        <v>1591.05</v>
      </c>
      <c r="W202" s="48">
        <v>39016.1</v>
      </c>
      <c r="X202">
        <v>12</v>
      </c>
      <c r="Y202" t="s">
        <v>101</v>
      </c>
      <c r="Z202">
        <v>163.41999999999999</v>
      </c>
      <c r="AA202" t="s">
        <v>91</v>
      </c>
      <c r="AB202" t="s">
        <v>47</v>
      </c>
      <c r="AC202" t="s">
        <v>48</v>
      </c>
      <c r="AD202" t="s">
        <v>61</v>
      </c>
      <c r="AE202" t="s">
        <v>50</v>
      </c>
      <c r="AF202" s="5">
        <f>DATE(YEAR(C202),MONTH(C202),1)</f>
        <v>45778</v>
      </c>
      <c r="AG202">
        <f>E202-D202</f>
        <v>21</v>
      </c>
      <c r="AH202" s="6">
        <f t="shared" si="3"/>
        <v>56.837704267260058</v>
      </c>
    </row>
    <row r="203" spans="1:34">
      <c r="A203" t="s">
        <v>519</v>
      </c>
      <c r="B203" t="s">
        <v>520</v>
      </c>
      <c r="C203" s="1">
        <v>45988</v>
      </c>
      <c r="D203" s="1">
        <v>45992</v>
      </c>
      <c r="E203" s="1">
        <v>46010</v>
      </c>
      <c r="F203" t="s">
        <v>180</v>
      </c>
      <c r="G203" t="s">
        <v>181</v>
      </c>
      <c r="H203" t="s">
        <v>38</v>
      </c>
      <c r="I203" t="s">
        <v>86</v>
      </c>
      <c r="J203" t="s">
        <v>87</v>
      </c>
      <c r="K203" t="s">
        <v>88</v>
      </c>
      <c r="L203" t="s">
        <v>127</v>
      </c>
      <c r="M203" t="s">
        <v>108</v>
      </c>
      <c r="N203">
        <v>2</v>
      </c>
      <c r="O203" t="s">
        <v>44</v>
      </c>
      <c r="P203" s="48">
        <v>71560.41</v>
      </c>
      <c r="Q203" s="48">
        <v>19580.89</v>
      </c>
      <c r="R203" s="48">
        <v>4430.04</v>
      </c>
      <c r="S203" s="48">
        <v>1663.01</v>
      </c>
      <c r="T203" s="48">
        <v>715.6</v>
      </c>
      <c r="U203" s="48">
        <v>188.31</v>
      </c>
      <c r="V203" s="48">
        <v>2271.09</v>
      </c>
      <c r="W203" s="48">
        <v>42711.47</v>
      </c>
      <c r="X203">
        <v>8</v>
      </c>
      <c r="Y203" t="s">
        <v>117</v>
      </c>
      <c r="Z203">
        <v>163.16999999999999</v>
      </c>
      <c r="AA203" t="s">
        <v>91</v>
      </c>
      <c r="AB203" t="s">
        <v>92</v>
      </c>
      <c r="AC203" t="s">
        <v>60</v>
      </c>
      <c r="AD203" t="s">
        <v>93</v>
      </c>
      <c r="AE203" t="s">
        <v>50</v>
      </c>
      <c r="AF203" s="5">
        <f>DATE(YEAR(C203),MONTH(C203),1)</f>
        <v>45962</v>
      </c>
      <c r="AG203">
        <f>E203-D203</f>
        <v>18</v>
      </c>
      <c r="AH203" s="6">
        <f t="shared" si="3"/>
        <v>59.685893359191198</v>
      </c>
    </row>
    <row r="204" spans="1:34">
      <c r="A204" t="s">
        <v>521</v>
      </c>
      <c r="B204" t="s">
        <v>522</v>
      </c>
      <c r="C204" s="1">
        <v>45849</v>
      </c>
      <c r="D204" s="1">
        <v>45851</v>
      </c>
      <c r="E204" s="1">
        <v>45874</v>
      </c>
      <c r="F204" t="s">
        <v>65</v>
      </c>
      <c r="G204" t="s">
        <v>66</v>
      </c>
      <c r="H204" t="s">
        <v>67</v>
      </c>
      <c r="I204" t="s">
        <v>57</v>
      </c>
      <c r="J204" t="s">
        <v>98</v>
      </c>
      <c r="K204" t="s">
        <v>99</v>
      </c>
      <c r="L204" t="s">
        <v>124</v>
      </c>
      <c r="M204" t="s">
        <v>68</v>
      </c>
      <c r="N204">
        <v>2</v>
      </c>
      <c r="O204" t="s">
        <v>89</v>
      </c>
      <c r="P204" s="48">
        <v>67240.17</v>
      </c>
      <c r="Q204" s="48">
        <v>19466.23</v>
      </c>
      <c r="R204" s="48">
        <v>2797.93</v>
      </c>
      <c r="S204" s="48">
        <v>1123.96</v>
      </c>
      <c r="T204" s="48">
        <v>672.4</v>
      </c>
      <c r="U204" s="48">
        <v>373.23</v>
      </c>
      <c r="V204" s="48">
        <v>909.44</v>
      </c>
      <c r="W204" s="48">
        <v>41896.980000000003</v>
      </c>
      <c r="X204">
        <v>8</v>
      </c>
      <c r="Y204" t="s">
        <v>135</v>
      </c>
      <c r="Z204">
        <v>162.22</v>
      </c>
      <c r="AA204" t="s">
        <v>91</v>
      </c>
      <c r="AB204" t="s">
        <v>47</v>
      </c>
      <c r="AC204" t="s">
        <v>60</v>
      </c>
      <c r="AD204" t="s">
        <v>49</v>
      </c>
      <c r="AE204" t="s">
        <v>102</v>
      </c>
      <c r="AF204" s="5">
        <f>DATE(YEAR(C204),MONTH(C204),1)</f>
        <v>45839</v>
      </c>
      <c r="AG204">
        <f>E204-D204</f>
        <v>23</v>
      </c>
      <c r="AH204" s="6">
        <f t="shared" si="3"/>
        <v>62.309449842259482</v>
      </c>
    </row>
    <row r="205" spans="1:34">
      <c r="A205" t="s">
        <v>523</v>
      </c>
      <c r="B205" t="s">
        <v>524</v>
      </c>
      <c r="C205" s="1">
        <v>45911</v>
      </c>
      <c r="D205" s="1">
        <v>45914</v>
      </c>
      <c r="E205" s="1">
        <v>45942</v>
      </c>
      <c r="F205" t="s">
        <v>153</v>
      </c>
      <c r="G205" t="s">
        <v>75</v>
      </c>
      <c r="H205" t="s">
        <v>154</v>
      </c>
      <c r="I205" t="s">
        <v>86</v>
      </c>
      <c r="J205" t="s">
        <v>87</v>
      </c>
      <c r="K205" t="s">
        <v>88</v>
      </c>
      <c r="L205" t="s">
        <v>124</v>
      </c>
      <c r="M205" t="s">
        <v>43</v>
      </c>
      <c r="N205">
        <v>4</v>
      </c>
      <c r="O205" t="s">
        <v>111</v>
      </c>
      <c r="P205" s="48">
        <v>108758.49</v>
      </c>
      <c r="Q205" s="48">
        <v>19461.97</v>
      </c>
      <c r="R205" s="48">
        <v>6237.12</v>
      </c>
      <c r="S205" s="48">
        <v>1957.04</v>
      </c>
      <c r="T205" s="48">
        <v>1087.58</v>
      </c>
      <c r="U205" s="48">
        <v>193.58</v>
      </c>
      <c r="V205" s="48">
        <v>1839.95</v>
      </c>
      <c r="W205" s="48">
        <v>77981.25</v>
      </c>
      <c r="X205">
        <v>12</v>
      </c>
      <c r="Y205" t="s">
        <v>101</v>
      </c>
      <c r="Z205">
        <v>162.18</v>
      </c>
      <c r="AA205" t="s">
        <v>91</v>
      </c>
      <c r="AB205" t="s">
        <v>92</v>
      </c>
      <c r="AC205" t="s">
        <v>48</v>
      </c>
      <c r="AD205" t="s">
        <v>49</v>
      </c>
      <c r="AE205" t="s">
        <v>102</v>
      </c>
      <c r="AF205" s="5">
        <f>DATE(YEAR(C205),MONTH(C205),1)</f>
        <v>45901</v>
      </c>
      <c r="AG205">
        <f>E205-D205</f>
        <v>28</v>
      </c>
      <c r="AH205" s="6">
        <f t="shared" si="3"/>
        <v>71.701298905492337</v>
      </c>
    </row>
    <row r="206" spans="1:34">
      <c r="A206" t="s">
        <v>525</v>
      </c>
      <c r="B206" t="s">
        <v>526</v>
      </c>
      <c r="C206" s="1">
        <v>45817</v>
      </c>
      <c r="D206" s="1">
        <v>45818</v>
      </c>
      <c r="E206" s="1">
        <v>45839</v>
      </c>
      <c r="F206" t="s">
        <v>180</v>
      </c>
      <c r="G206" t="s">
        <v>181</v>
      </c>
      <c r="H206" t="s">
        <v>38</v>
      </c>
      <c r="I206" t="s">
        <v>57</v>
      </c>
      <c r="J206" t="s">
        <v>98</v>
      </c>
      <c r="K206" t="s">
        <v>99</v>
      </c>
      <c r="L206" t="s">
        <v>155</v>
      </c>
      <c r="M206" t="s">
        <v>68</v>
      </c>
      <c r="N206">
        <v>2</v>
      </c>
      <c r="O206" t="s">
        <v>69</v>
      </c>
      <c r="P206" s="48">
        <v>74729.350000000006</v>
      </c>
      <c r="Q206" s="48">
        <v>19441.740000000002</v>
      </c>
      <c r="R206" s="48">
        <v>3041.56</v>
      </c>
      <c r="S206" s="48">
        <v>1173.4100000000001</v>
      </c>
      <c r="T206" s="48">
        <v>747.29</v>
      </c>
      <c r="U206" s="48">
        <v>549.14</v>
      </c>
      <c r="V206" s="48">
        <v>2379.6999999999998</v>
      </c>
      <c r="W206" s="48">
        <v>47396.51</v>
      </c>
      <c r="X206">
        <v>0</v>
      </c>
      <c r="Y206" t="s">
        <v>45</v>
      </c>
      <c r="Z206">
        <v>162.01</v>
      </c>
      <c r="AA206" t="s">
        <v>46</v>
      </c>
      <c r="AB206" t="s">
        <v>92</v>
      </c>
      <c r="AC206" t="s">
        <v>48</v>
      </c>
      <c r="AD206" t="s">
        <v>93</v>
      </c>
      <c r="AE206" t="s">
        <v>50</v>
      </c>
      <c r="AF206" s="5">
        <f>DATE(YEAR(C206),MONTH(C206),1)</f>
        <v>45809</v>
      </c>
      <c r="AG206">
        <f>E206-D206</f>
        <v>21</v>
      </c>
      <c r="AH206" s="6">
        <f t="shared" si="3"/>
        <v>63.424223548043699</v>
      </c>
    </row>
    <row r="207" spans="1:34">
      <c r="A207" t="s">
        <v>527</v>
      </c>
      <c r="B207" t="s">
        <v>528</v>
      </c>
      <c r="C207" s="1">
        <v>45779</v>
      </c>
      <c r="D207" s="1">
        <v>45782</v>
      </c>
      <c r="E207" s="1">
        <v>45792</v>
      </c>
      <c r="F207" t="s">
        <v>65</v>
      </c>
      <c r="G207" t="s">
        <v>66</v>
      </c>
      <c r="H207" t="s">
        <v>67</v>
      </c>
      <c r="I207" t="s">
        <v>40</v>
      </c>
      <c r="J207" t="s">
        <v>122</v>
      </c>
      <c r="K207" t="s">
        <v>123</v>
      </c>
      <c r="L207" t="s">
        <v>100</v>
      </c>
      <c r="M207" t="s">
        <v>108</v>
      </c>
      <c r="N207">
        <v>2</v>
      </c>
      <c r="O207" t="s">
        <v>89</v>
      </c>
      <c r="P207" s="48">
        <v>70251.240000000005</v>
      </c>
      <c r="Q207" s="48">
        <v>19319.97</v>
      </c>
      <c r="R207" s="48">
        <v>3920.6</v>
      </c>
      <c r="S207" s="48">
        <v>1894.22</v>
      </c>
      <c r="T207" s="48">
        <v>702.51</v>
      </c>
      <c r="U207" s="48">
        <v>343.05</v>
      </c>
      <c r="V207" s="48">
        <v>2323.12</v>
      </c>
      <c r="W207" s="48">
        <v>41747.769999999997</v>
      </c>
      <c r="X207">
        <v>12</v>
      </c>
      <c r="Y207" t="s">
        <v>90</v>
      </c>
      <c r="Z207">
        <v>161</v>
      </c>
      <c r="AA207" t="s">
        <v>91</v>
      </c>
      <c r="AB207" t="s">
        <v>92</v>
      </c>
      <c r="AC207" t="s">
        <v>60</v>
      </c>
      <c r="AD207" t="s">
        <v>93</v>
      </c>
      <c r="AE207" t="s">
        <v>50</v>
      </c>
      <c r="AF207" s="5">
        <f>DATE(YEAR(C207),MONTH(C207),1)</f>
        <v>45778</v>
      </c>
      <c r="AG207">
        <f>E207-D207</f>
        <v>10</v>
      </c>
      <c r="AH207" s="6">
        <f t="shared" si="3"/>
        <v>59.426381655327354</v>
      </c>
    </row>
    <row r="208" spans="1:34">
      <c r="A208" t="s">
        <v>529</v>
      </c>
      <c r="B208" t="s">
        <v>530</v>
      </c>
      <c r="C208" s="1">
        <v>45774</v>
      </c>
      <c r="D208" s="1">
        <v>45776</v>
      </c>
      <c r="E208" s="1">
        <v>45788</v>
      </c>
      <c r="F208" t="s">
        <v>120</v>
      </c>
      <c r="G208" t="s">
        <v>75</v>
      </c>
      <c r="H208" t="s">
        <v>121</v>
      </c>
      <c r="I208" t="s">
        <v>40</v>
      </c>
      <c r="J208" t="s">
        <v>122</v>
      </c>
      <c r="K208" t="s">
        <v>123</v>
      </c>
      <c r="L208" t="s">
        <v>59</v>
      </c>
      <c r="M208" t="s">
        <v>79</v>
      </c>
      <c r="N208">
        <v>4</v>
      </c>
      <c r="O208" t="s">
        <v>111</v>
      </c>
      <c r="P208" s="48">
        <v>68512.149999999994</v>
      </c>
      <c r="Q208" s="48">
        <v>19306.919999999998</v>
      </c>
      <c r="R208" s="48">
        <v>4131.01</v>
      </c>
      <c r="S208" s="48">
        <v>1776.47</v>
      </c>
      <c r="T208" s="48">
        <v>685.12</v>
      </c>
      <c r="U208" s="48">
        <v>718.89</v>
      </c>
      <c r="V208" s="48">
        <v>1510.8</v>
      </c>
      <c r="W208" s="48">
        <v>40382.94</v>
      </c>
      <c r="X208">
        <v>24</v>
      </c>
      <c r="Y208" t="s">
        <v>112</v>
      </c>
      <c r="Z208">
        <v>160.88999999999999</v>
      </c>
      <c r="AA208" t="s">
        <v>91</v>
      </c>
      <c r="AB208" t="s">
        <v>47</v>
      </c>
      <c r="AC208" t="s">
        <v>70</v>
      </c>
      <c r="AD208" t="s">
        <v>61</v>
      </c>
      <c r="AE208" t="s">
        <v>50</v>
      </c>
      <c r="AF208" s="5">
        <f>DATE(YEAR(C208),MONTH(C208),1)</f>
        <v>45748</v>
      </c>
      <c r="AG208">
        <f>E208-D208</f>
        <v>12</v>
      </c>
      <c r="AH208" s="6">
        <f t="shared" si="3"/>
        <v>58.942742272720984</v>
      </c>
    </row>
    <row r="209" spans="1:34">
      <c r="A209" t="s">
        <v>531</v>
      </c>
      <c r="B209" t="s">
        <v>532</v>
      </c>
      <c r="C209" s="1">
        <v>45944</v>
      </c>
      <c r="D209" s="1">
        <v>45948</v>
      </c>
      <c r="E209" s="1">
        <v>45972</v>
      </c>
      <c r="F209" t="s">
        <v>138</v>
      </c>
      <c r="G209" t="s">
        <v>139</v>
      </c>
      <c r="H209" t="s">
        <v>76</v>
      </c>
      <c r="I209" t="s">
        <v>115</v>
      </c>
      <c r="J209" t="s">
        <v>39</v>
      </c>
      <c r="K209" t="s">
        <v>41</v>
      </c>
      <c r="L209" t="s">
        <v>155</v>
      </c>
      <c r="M209" t="s">
        <v>43</v>
      </c>
      <c r="N209">
        <v>4</v>
      </c>
      <c r="O209" t="s">
        <v>54</v>
      </c>
      <c r="P209" s="48">
        <v>70568.649999999994</v>
      </c>
      <c r="Q209" s="48">
        <v>19216.560000000001</v>
      </c>
      <c r="R209" s="48">
        <v>5469.7</v>
      </c>
      <c r="S209" s="48">
        <v>1359.53</v>
      </c>
      <c r="T209" s="48">
        <v>705.69</v>
      </c>
      <c r="U209" s="48">
        <v>754.29</v>
      </c>
      <c r="V209" s="48">
        <v>785.75</v>
      </c>
      <c r="W209" s="48">
        <v>42277.13</v>
      </c>
      <c r="X209">
        <v>4</v>
      </c>
      <c r="Y209" t="s">
        <v>90</v>
      </c>
      <c r="Z209">
        <v>160.13999999999999</v>
      </c>
      <c r="AA209" t="s">
        <v>91</v>
      </c>
      <c r="AB209" t="s">
        <v>47</v>
      </c>
      <c r="AC209" t="s">
        <v>60</v>
      </c>
      <c r="AD209" t="s">
        <v>144</v>
      </c>
      <c r="AE209" t="s">
        <v>62</v>
      </c>
      <c r="AF209" s="5">
        <f>DATE(YEAR(C209),MONTH(C209),1)</f>
        <v>45931</v>
      </c>
      <c r="AG209">
        <f>E209-D209</f>
        <v>24</v>
      </c>
      <c r="AH209" s="6">
        <f t="shared" si="3"/>
        <v>59.909223146538871</v>
      </c>
    </row>
    <row r="210" spans="1:34">
      <c r="A210" t="s">
        <v>533</v>
      </c>
      <c r="B210" t="s">
        <v>534</v>
      </c>
      <c r="C210" s="1">
        <v>45807</v>
      </c>
      <c r="D210" s="1">
        <v>45808</v>
      </c>
      <c r="E210" s="1">
        <v>45826</v>
      </c>
      <c r="F210" t="s">
        <v>153</v>
      </c>
      <c r="G210" t="s">
        <v>75</v>
      </c>
      <c r="H210" t="s">
        <v>154</v>
      </c>
      <c r="I210" t="s">
        <v>86</v>
      </c>
      <c r="J210" t="s">
        <v>87</v>
      </c>
      <c r="K210" t="s">
        <v>88</v>
      </c>
      <c r="L210" t="s">
        <v>78</v>
      </c>
      <c r="M210" t="s">
        <v>108</v>
      </c>
      <c r="N210">
        <v>4</v>
      </c>
      <c r="O210" t="s">
        <v>111</v>
      </c>
      <c r="P210" s="48">
        <v>66581.09</v>
      </c>
      <c r="Q210" s="48">
        <v>19058.55</v>
      </c>
      <c r="R210" s="48">
        <v>5075.2</v>
      </c>
      <c r="S210" s="48">
        <v>729.89</v>
      </c>
      <c r="T210" s="48">
        <v>665.81</v>
      </c>
      <c r="U210" s="48">
        <v>463.16</v>
      </c>
      <c r="V210" s="48">
        <v>328.45</v>
      </c>
      <c r="W210" s="48">
        <v>40260.03</v>
      </c>
      <c r="X210">
        <v>0</v>
      </c>
      <c r="Y210" t="s">
        <v>45</v>
      </c>
      <c r="Z210">
        <v>158.82</v>
      </c>
      <c r="AA210" t="s">
        <v>46</v>
      </c>
      <c r="AB210" t="s">
        <v>47</v>
      </c>
      <c r="AC210" t="s">
        <v>60</v>
      </c>
      <c r="AD210" t="s">
        <v>49</v>
      </c>
      <c r="AE210" t="s">
        <v>62</v>
      </c>
      <c r="AF210" s="5">
        <f>DATE(YEAR(C210),MONTH(C210),1)</f>
        <v>45778</v>
      </c>
      <c r="AG210">
        <f>E210-D210</f>
        <v>18</v>
      </c>
      <c r="AH210" s="6">
        <f t="shared" si="3"/>
        <v>60.467664317300908</v>
      </c>
    </row>
    <row r="211" spans="1:34">
      <c r="A211" t="s">
        <v>535</v>
      </c>
      <c r="B211" t="s">
        <v>536</v>
      </c>
      <c r="C211" s="1">
        <v>45939</v>
      </c>
      <c r="D211" s="1">
        <v>45943</v>
      </c>
      <c r="E211" s="1">
        <v>45954</v>
      </c>
      <c r="F211" t="s">
        <v>83</v>
      </c>
      <c r="G211" t="s">
        <v>84</v>
      </c>
      <c r="H211" t="s">
        <v>85</v>
      </c>
      <c r="I211" t="s">
        <v>77</v>
      </c>
      <c r="J211" t="s">
        <v>40</v>
      </c>
      <c r="K211" t="s">
        <v>41</v>
      </c>
      <c r="L211" t="s">
        <v>155</v>
      </c>
      <c r="M211" t="s">
        <v>79</v>
      </c>
      <c r="N211">
        <v>2</v>
      </c>
      <c r="O211" t="s">
        <v>44</v>
      </c>
      <c r="P211" s="48">
        <v>79082.62</v>
      </c>
      <c r="Q211" s="48">
        <v>19057.54</v>
      </c>
      <c r="R211" s="48">
        <v>3578.21</v>
      </c>
      <c r="S211" s="48">
        <v>1786.84</v>
      </c>
      <c r="T211" s="48">
        <v>790.83</v>
      </c>
      <c r="U211" s="48">
        <v>846.55</v>
      </c>
      <c r="V211" s="48">
        <v>2156.98</v>
      </c>
      <c r="W211" s="48">
        <v>50865.67</v>
      </c>
      <c r="X211">
        <v>0</v>
      </c>
      <c r="Y211" t="s">
        <v>45</v>
      </c>
      <c r="Z211">
        <v>158.81</v>
      </c>
      <c r="AA211" t="s">
        <v>46</v>
      </c>
      <c r="AB211" t="s">
        <v>92</v>
      </c>
      <c r="AC211" t="s">
        <v>70</v>
      </c>
      <c r="AD211" t="s">
        <v>49</v>
      </c>
      <c r="AE211" t="s">
        <v>62</v>
      </c>
      <c r="AF211" s="5">
        <f>DATE(YEAR(C211),MONTH(C211),1)</f>
        <v>45931</v>
      </c>
      <c r="AG211">
        <f>E211-D211</f>
        <v>11</v>
      </c>
      <c r="AH211" s="6">
        <f t="shared" si="3"/>
        <v>64.319657087739373</v>
      </c>
    </row>
    <row r="212" spans="1:34">
      <c r="A212" t="s">
        <v>537</v>
      </c>
      <c r="B212" t="s">
        <v>538</v>
      </c>
      <c r="C212" s="1">
        <v>45809</v>
      </c>
      <c r="D212" s="1">
        <v>45813</v>
      </c>
      <c r="E212" s="1">
        <v>45841</v>
      </c>
      <c r="F212" t="s">
        <v>96</v>
      </c>
      <c r="G212" t="s">
        <v>97</v>
      </c>
      <c r="H212" t="s">
        <v>76</v>
      </c>
      <c r="I212" t="s">
        <v>57</v>
      </c>
      <c r="J212" t="s">
        <v>98</v>
      </c>
      <c r="K212" t="s">
        <v>99</v>
      </c>
      <c r="L212" t="s">
        <v>116</v>
      </c>
      <c r="M212" t="s">
        <v>43</v>
      </c>
      <c r="N212">
        <v>2</v>
      </c>
      <c r="O212" t="s">
        <v>54</v>
      </c>
      <c r="P212" s="48">
        <v>75921.25</v>
      </c>
      <c r="Q212" s="48">
        <v>19008.060000000001</v>
      </c>
      <c r="R212" s="48">
        <v>3536.17</v>
      </c>
      <c r="S212" s="48">
        <v>928.17</v>
      </c>
      <c r="T212" s="48">
        <v>759.21</v>
      </c>
      <c r="U212" s="48">
        <v>627.55999999999995</v>
      </c>
      <c r="V212" s="48">
        <v>2468.4899999999998</v>
      </c>
      <c r="W212" s="48">
        <v>48593.59</v>
      </c>
      <c r="X212">
        <v>0</v>
      </c>
      <c r="Y212" t="s">
        <v>45</v>
      </c>
      <c r="Z212">
        <v>158.4</v>
      </c>
      <c r="AA212" t="s">
        <v>46</v>
      </c>
      <c r="AB212" t="s">
        <v>47</v>
      </c>
      <c r="AC212" t="s">
        <v>48</v>
      </c>
      <c r="AD212" t="s">
        <v>61</v>
      </c>
      <c r="AE212" t="s">
        <v>50</v>
      </c>
      <c r="AF212" s="5">
        <f>DATE(YEAR(C212),MONTH(C212),1)</f>
        <v>45809</v>
      </c>
      <c r="AG212">
        <f>E212-D212</f>
        <v>28</v>
      </c>
      <c r="AH212" s="6">
        <f t="shared" si="3"/>
        <v>64.005255445609748</v>
      </c>
    </row>
    <row r="213" spans="1:34">
      <c r="A213" t="s">
        <v>539</v>
      </c>
      <c r="B213" t="s">
        <v>540</v>
      </c>
      <c r="C213" s="1">
        <v>45880</v>
      </c>
      <c r="D213" s="1">
        <v>45881</v>
      </c>
      <c r="E213" s="1">
        <v>45900</v>
      </c>
      <c r="F213" t="s">
        <v>153</v>
      </c>
      <c r="G213" t="s">
        <v>75</v>
      </c>
      <c r="H213" t="s">
        <v>154</v>
      </c>
      <c r="I213" t="s">
        <v>57</v>
      </c>
      <c r="J213" t="s">
        <v>98</v>
      </c>
      <c r="K213" t="s">
        <v>99</v>
      </c>
      <c r="L213" t="s">
        <v>116</v>
      </c>
      <c r="M213" t="s">
        <v>68</v>
      </c>
      <c r="N213">
        <v>2</v>
      </c>
      <c r="O213" t="s">
        <v>111</v>
      </c>
      <c r="P213" s="48">
        <v>85099.61</v>
      </c>
      <c r="Q213" s="48">
        <v>19006.560000000001</v>
      </c>
      <c r="R213" s="48">
        <v>4448.49</v>
      </c>
      <c r="S213" s="48">
        <v>2048.4699999999998</v>
      </c>
      <c r="T213" s="48">
        <v>851</v>
      </c>
      <c r="U213" s="48">
        <v>485.17</v>
      </c>
      <c r="V213" s="48">
        <v>740.84</v>
      </c>
      <c r="W213" s="48">
        <v>57519.08</v>
      </c>
      <c r="X213">
        <v>0</v>
      </c>
      <c r="Y213" t="s">
        <v>45</v>
      </c>
      <c r="Z213">
        <v>158.38999999999999</v>
      </c>
      <c r="AA213" t="s">
        <v>46</v>
      </c>
      <c r="AB213" t="s">
        <v>92</v>
      </c>
      <c r="AC213" t="s">
        <v>60</v>
      </c>
      <c r="AD213" t="s">
        <v>130</v>
      </c>
      <c r="AE213" t="s">
        <v>62</v>
      </c>
      <c r="AF213" s="5">
        <f>DATE(YEAR(C213),MONTH(C213),1)</f>
        <v>45870</v>
      </c>
      <c r="AG213">
        <f>E213-D213</f>
        <v>19</v>
      </c>
      <c r="AH213" s="6">
        <f t="shared" si="3"/>
        <v>67.590298004890982</v>
      </c>
    </row>
    <row r="214" spans="1:34">
      <c r="A214" t="s">
        <v>541</v>
      </c>
      <c r="B214" t="s">
        <v>542</v>
      </c>
      <c r="C214" s="1">
        <v>45780</v>
      </c>
      <c r="D214" s="1">
        <v>45781</v>
      </c>
      <c r="E214" s="1">
        <v>45806</v>
      </c>
      <c r="F214" t="s">
        <v>53</v>
      </c>
      <c r="G214" t="s">
        <v>54</v>
      </c>
      <c r="H214" t="s">
        <v>55</v>
      </c>
      <c r="I214" t="s">
        <v>115</v>
      </c>
      <c r="J214" t="s">
        <v>98</v>
      </c>
      <c r="K214" t="s">
        <v>99</v>
      </c>
      <c r="L214" t="s">
        <v>100</v>
      </c>
      <c r="M214" t="s">
        <v>68</v>
      </c>
      <c r="N214">
        <v>4</v>
      </c>
      <c r="O214" t="s">
        <v>44</v>
      </c>
      <c r="P214" s="48">
        <v>93961.54</v>
      </c>
      <c r="Q214" s="48">
        <v>18924.55</v>
      </c>
      <c r="R214" s="48">
        <v>6623.1</v>
      </c>
      <c r="S214" s="48">
        <v>1788.25</v>
      </c>
      <c r="T214" s="48">
        <v>939.62</v>
      </c>
      <c r="U214" s="48">
        <v>700.64</v>
      </c>
      <c r="V214" s="48">
        <v>1275.28</v>
      </c>
      <c r="W214" s="48">
        <v>63710.1</v>
      </c>
      <c r="X214">
        <v>0</v>
      </c>
      <c r="Y214" t="s">
        <v>45</v>
      </c>
      <c r="Z214">
        <v>157.69999999999999</v>
      </c>
      <c r="AA214" t="s">
        <v>46</v>
      </c>
      <c r="AB214" t="s">
        <v>92</v>
      </c>
      <c r="AC214" t="s">
        <v>70</v>
      </c>
      <c r="AD214" t="s">
        <v>61</v>
      </c>
      <c r="AE214" t="s">
        <v>50</v>
      </c>
      <c r="AF214" s="5">
        <f>DATE(YEAR(C214),MONTH(C214),1)</f>
        <v>45778</v>
      </c>
      <c r="AG214">
        <f>E214-D214</f>
        <v>25</v>
      </c>
      <c r="AH214" s="6">
        <f t="shared" si="3"/>
        <v>67.804444243889577</v>
      </c>
    </row>
    <row r="215" spans="1:34">
      <c r="A215" t="s">
        <v>543</v>
      </c>
      <c r="B215" t="s">
        <v>544</v>
      </c>
      <c r="C215" s="1">
        <v>45800</v>
      </c>
      <c r="D215" s="1">
        <v>45803</v>
      </c>
      <c r="E215" s="1">
        <v>45822</v>
      </c>
      <c r="F215" t="s">
        <v>74</v>
      </c>
      <c r="G215" t="s">
        <v>75</v>
      </c>
      <c r="H215" t="s">
        <v>76</v>
      </c>
      <c r="I215" t="s">
        <v>56</v>
      </c>
      <c r="J215" t="s">
        <v>57</v>
      </c>
      <c r="K215" t="s">
        <v>58</v>
      </c>
      <c r="L215" t="s">
        <v>78</v>
      </c>
      <c r="M215" t="s">
        <v>68</v>
      </c>
      <c r="N215">
        <v>2</v>
      </c>
      <c r="O215" t="s">
        <v>54</v>
      </c>
      <c r="P215" s="48">
        <v>77918.52</v>
      </c>
      <c r="Q215" s="48">
        <v>18903.05</v>
      </c>
      <c r="R215" s="48">
        <v>4952.46</v>
      </c>
      <c r="S215" s="48">
        <v>1522.13</v>
      </c>
      <c r="T215" s="48">
        <v>779.19</v>
      </c>
      <c r="U215" s="48">
        <v>266.11</v>
      </c>
      <c r="V215" s="48">
        <v>1634.74</v>
      </c>
      <c r="W215" s="48">
        <v>49860.84</v>
      </c>
      <c r="X215">
        <v>12</v>
      </c>
      <c r="Y215" t="s">
        <v>117</v>
      </c>
      <c r="Z215">
        <v>157.53</v>
      </c>
      <c r="AA215" t="s">
        <v>91</v>
      </c>
      <c r="AB215" t="s">
        <v>47</v>
      </c>
      <c r="AC215" t="s">
        <v>48</v>
      </c>
      <c r="AD215" t="s">
        <v>130</v>
      </c>
      <c r="AE215" t="s">
        <v>62</v>
      </c>
      <c r="AF215" s="5">
        <f>DATE(YEAR(C215),MONTH(C215),1)</f>
        <v>45778</v>
      </c>
      <c r="AG215">
        <f>E215-D215</f>
        <v>19</v>
      </c>
      <c r="AH215" s="6">
        <f t="shared" si="3"/>
        <v>63.990999829052186</v>
      </c>
    </row>
    <row r="216" spans="1:34">
      <c r="A216" t="s">
        <v>545</v>
      </c>
      <c r="B216" t="s">
        <v>546</v>
      </c>
      <c r="C216" s="1">
        <v>45876</v>
      </c>
      <c r="D216" s="1">
        <v>45878</v>
      </c>
      <c r="E216" s="1">
        <v>45900</v>
      </c>
      <c r="F216" t="s">
        <v>83</v>
      </c>
      <c r="G216" t="s">
        <v>84</v>
      </c>
      <c r="H216" t="s">
        <v>85</v>
      </c>
      <c r="I216" t="s">
        <v>122</v>
      </c>
      <c r="J216" t="s">
        <v>87</v>
      </c>
      <c r="K216" t="s">
        <v>41</v>
      </c>
      <c r="L216" t="s">
        <v>100</v>
      </c>
      <c r="M216" t="s">
        <v>68</v>
      </c>
      <c r="N216">
        <v>2</v>
      </c>
      <c r="O216" t="s">
        <v>69</v>
      </c>
      <c r="P216" s="48">
        <v>63112.56</v>
      </c>
      <c r="Q216" s="48">
        <v>18808.169999999998</v>
      </c>
      <c r="R216" s="48">
        <v>3745.5</v>
      </c>
      <c r="S216" s="48">
        <v>643.12</v>
      </c>
      <c r="T216" s="48">
        <v>631.13</v>
      </c>
      <c r="U216" s="48">
        <v>751.14</v>
      </c>
      <c r="V216" s="48">
        <v>2456.59</v>
      </c>
      <c r="W216" s="48">
        <v>36076.910000000003</v>
      </c>
      <c r="X216">
        <v>36</v>
      </c>
      <c r="Y216" t="s">
        <v>117</v>
      </c>
      <c r="Z216">
        <v>156.72999999999999</v>
      </c>
      <c r="AA216" t="s">
        <v>91</v>
      </c>
      <c r="AB216" t="s">
        <v>92</v>
      </c>
      <c r="AC216" t="s">
        <v>48</v>
      </c>
      <c r="AD216" t="s">
        <v>61</v>
      </c>
      <c r="AE216" t="s">
        <v>71</v>
      </c>
      <c r="AF216" s="5">
        <f>DATE(YEAR(C216),MONTH(C216),1)</f>
        <v>45870</v>
      </c>
      <c r="AG216">
        <f>E216-D216</f>
        <v>22</v>
      </c>
      <c r="AH216" s="6">
        <f t="shared" si="3"/>
        <v>57.162805628546842</v>
      </c>
    </row>
    <row r="217" spans="1:34">
      <c r="A217" t="s">
        <v>547</v>
      </c>
      <c r="B217" t="s">
        <v>548</v>
      </c>
      <c r="C217" s="1">
        <v>46018</v>
      </c>
      <c r="D217" s="1">
        <v>46021</v>
      </c>
      <c r="E217" s="1">
        <v>46043</v>
      </c>
      <c r="F217" t="s">
        <v>120</v>
      </c>
      <c r="G217" t="s">
        <v>75</v>
      </c>
      <c r="H217" t="s">
        <v>121</v>
      </c>
      <c r="I217" t="s">
        <v>40</v>
      </c>
      <c r="J217" t="s">
        <v>122</v>
      </c>
      <c r="K217" t="s">
        <v>123</v>
      </c>
      <c r="L217" t="s">
        <v>42</v>
      </c>
      <c r="M217" t="s">
        <v>79</v>
      </c>
      <c r="N217">
        <v>2</v>
      </c>
      <c r="O217" t="s">
        <v>105</v>
      </c>
      <c r="P217" s="48">
        <v>89238.15</v>
      </c>
      <c r="Q217" s="48">
        <v>18807.98</v>
      </c>
      <c r="R217" s="48">
        <v>6786.06</v>
      </c>
      <c r="S217" s="48">
        <v>2607.63</v>
      </c>
      <c r="T217" s="48">
        <v>892.38</v>
      </c>
      <c r="U217" s="48">
        <v>349.19</v>
      </c>
      <c r="V217" s="48">
        <v>2376.81</v>
      </c>
      <c r="W217" s="48">
        <v>57418.1</v>
      </c>
      <c r="X217">
        <v>4</v>
      </c>
      <c r="Y217" t="s">
        <v>135</v>
      </c>
      <c r="Z217">
        <v>156.72999999999999</v>
      </c>
      <c r="AA217" t="s">
        <v>91</v>
      </c>
      <c r="AB217" t="s">
        <v>47</v>
      </c>
      <c r="AC217" t="s">
        <v>60</v>
      </c>
      <c r="AD217" t="s">
        <v>130</v>
      </c>
      <c r="AE217" t="s">
        <v>62</v>
      </c>
      <c r="AF217" s="5">
        <f>DATE(YEAR(C217),MONTH(C217),1)</f>
        <v>45992</v>
      </c>
      <c r="AG217">
        <f>E217-D217</f>
        <v>22</v>
      </c>
      <c r="AH217" s="6">
        <f t="shared" si="3"/>
        <v>64.342548562470199</v>
      </c>
    </row>
    <row r="218" spans="1:34">
      <c r="A218" t="s">
        <v>549</v>
      </c>
      <c r="B218" t="s">
        <v>550</v>
      </c>
      <c r="C218" s="1">
        <v>46006</v>
      </c>
      <c r="D218" s="1">
        <v>46010</v>
      </c>
      <c r="E218" s="1">
        <v>46028</v>
      </c>
      <c r="F218" t="s">
        <v>180</v>
      </c>
      <c r="G218" t="s">
        <v>181</v>
      </c>
      <c r="H218" t="s">
        <v>38</v>
      </c>
      <c r="I218" t="s">
        <v>56</v>
      </c>
      <c r="J218" t="s">
        <v>57</v>
      </c>
      <c r="K218" t="s">
        <v>58</v>
      </c>
      <c r="L218" t="s">
        <v>124</v>
      </c>
      <c r="M218" t="s">
        <v>79</v>
      </c>
      <c r="N218">
        <v>2</v>
      </c>
      <c r="O218" t="s">
        <v>54</v>
      </c>
      <c r="P218" s="48">
        <v>64005.64</v>
      </c>
      <c r="Q218" s="48">
        <v>18713.2</v>
      </c>
      <c r="R218" s="48">
        <v>3875.78</v>
      </c>
      <c r="S218" s="48">
        <v>1045.26</v>
      </c>
      <c r="T218" s="48">
        <v>640.05999999999995</v>
      </c>
      <c r="U218" s="48">
        <v>873.17</v>
      </c>
      <c r="V218" s="48">
        <v>989.22</v>
      </c>
      <c r="W218" s="48">
        <v>37868.949999999997</v>
      </c>
      <c r="X218">
        <v>0</v>
      </c>
      <c r="Y218" t="s">
        <v>45</v>
      </c>
      <c r="Z218">
        <v>155.94</v>
      </c>
      <c r="AA218" t="s">
        <v>46</v>
      </c>
      <c r="AB218" t="s">
        <v>92</v>
      </c>
      <c r="AC218" t="s">
        <v>48</v>
      </c>
      <c r="AD218" t="s">
        <v>93</v>
      </c>
      <c r="AE218" t="s">
        <v>62</v>
      </c>
      <c r="AF218" s="5">
        <f>DATE(YEAR(C218),MONTH(C218),1)</f>
        <v>45992</v>
      </c>
      <c r="AG218">
        <f>E218-D218</f>
        <v>18</v>
      </c>
      <c r="AH218" s="6">
        <f t="shared" si="3"/>
        <v>59.165020457572169</v>
      </c>
    </row>
    <row r="219" spans="1:34">
      <c r="A219" t="s">
        <v>551</v>
      </c>
      <c r="B219" t="s">
        <v>552</v>
      </c>
      <c r="C219" s="1">
        <v>45788</v>
      </c>
      <c r="D219" s="1">
        <v>45791</v>
      </c>
      <c r="E219" s="1">
        <v>45815</v>
      </c>
      <c r="F219" t="s">
        <v>83</v>
      </c>
      <c r="G219" t="s">
        <v>84</v>
      </c>
      <c r="H219" t="s">
        <v>85</v>
      </c>
      <c r="I219" t="s">
        <v>87</v>
      </c>
      <c r="J219" t="s">
        <v>115</v>
      </c>
      <c r="K219" t="s">
        <v>41</v>
      </c>
      <c r="L219" t="s">
        <v>127</v>
      </c>
      <c r="M219" t="s">
        <v>43</v>
      </c>
      <c r="N219">
        <v>2</v>
      </c>
      <c r="O219" t="s">
        <v>111</v>
      </c>
      <c r="P219" s="48">
        <v>85891.22</v>
      </c>
      <c r="Q219" s="48">
        <v>18681.509999999998</v>
      </c>
      <c r="R219" s="48">
        <v>3981.79</v>
      </c>
      <c r="S219" s="48">
        <v>2134.2399999999998</v>
      </c>
      <c r="T219" s="48">
        <v>858.91</v>
      </c>
      <c r="U219" s="48">
        <v>117.64</v>
      </c>
      <c r="V219" s="48">
        <v>1030.9100000000001</v>
      </c>
      <c r="W219" s="48">
        <v>59086.22</v>
      </c>
      <c r="X219">
        <v>48</v>
      </c>
      <c r="Y219" t="s">
        <v>117</v>
      </c>
      <c r="Z219">
        <v>155.68</v>
      </c>
      <c r="AA219" t="s">
        <v>91</v>
      </c>
      <c r="AB219" t="s">
        <v>47</v>
      </c>
      <c r="AC219" t="s">
        <v>48</v>
      </c>
      <c r="AD219" t="s">
        <v>49</v>
      </c>
      <c r="AE219" t="s">
        <v>50</v>
      </c>
      <c r="AF219" s="5">
        <f>DATE(YEAR(C219),MONTH(C219),1)</f>
        <v>45778</v>
      </c>
      <c r="AG219">
        <f>E219-D219</f>
        <v>24</v>
      </c>
      <c r="AH219" s="6">
        <f t="shared" si="3"/>
        <v>68.791920757441787</v>
      </c>
    </row>
    <row r="220" spans="1:34">
      <c r="A220" t="s">
        <v>553</v>
      </c>
      <c r="B220" t="s">
        <v>554</v>
      </c>
      <c r="C220" s="1">
        <v>45951</v>
      </c>
      <c r="D220" s="1">
        <v>45952</v>
      </c>
      <c r="E220" s="1">
        <v>45970</v>
      </c>
      <c r="F220" t="s">
        <v>180</v>
      </c>
      <c r="G220" t="s">
        <v>181</v>
      </c>
      <c r="H220" t="s">
        <v>38</v>
      </c>
      <c r="I220" t="s">
        <v>122</v>
      </c>
      <c r="J220" t="s">
        <v>77</v>
      </c>
      <c r="K220" t="s">
        <v>41</v>
      </c>
      <c r="L220" t="s">
        <v>59</v>
      </c>
      <c r="M220" t="s">
        <v>43</v>
      </c>
      <c r="N220">
        <v>4</v>
      </c>
      <c r="O220" t="s">
        <v>89</v>
      </c>
      <c r="P220" s="48">
        <v>108148.89</v>
      </c>
      <c r="Q220" s="48">
        <v>18681.12</v>
      </c>
      <c r="R220" s="48">
        <v>5926.82</v>
      </c>
      <c r="S220" s="48">
        <v>1234.99</v>
      </c>
      <c r="T220" s="48">
        <v>1081.49</v>
      </c>
      <c r="U220" s="48">
        <v>645.23</v>
      </c>
      <c r="V220" s="48">
        <v>1336.74</v>
      </c>
      <c r="W220" s="48">
        <v>79242.5</v>
      </c>
      <c r="X220">
        <v>0</v>
      </c>
      <c r="Y220" t="s">
        <v>45</v>
      </c>
      <c r="Z220">
        <v>155.68</v>
      </c>
      <c r="AA220" t="s">
        <v>46</v>
      </c>
      <c r="AB220" t="s">
        <v>92</v>
      </c>
      <c r="AC220" t="s">
        <v>60</v>
      </c>
      <c r="AD220" t="s">
        <v>130</v>
      </c>
      <c r="AE220" t="s">
        <v>50</v>
      </c>
      <c r="AF220" s="5">
        <f>DATE(YEAR(C220),MONTH(C220),1)</f>
        <v>45931</v>
      </c>
      <c r="AG220">
        <f>E220-D220</f>
        <v>18</v>
      </c>
      <c r="AH220" s="6">
        <f t="shared" si="3"/>
        <v>73.27167204397567</v>
      </c>
    </row>
    <row r="221" spans="1:34">
      <c r="A221" t="s">
        <v>555</v>
      </c>
      <c r="B221" t="s">
        <v>556</v>
      </c>
      <c r="C221" s="1">
        <v>45692</v>
      </c>
      <c r="D221" s="1">
        <v>45693</v>
      </c>
      <c r="E221" s="1">
        <v>45707</v>
      </c>
      <c r="F221" t="s">
        <v>53</v>
      </c>
      <c r="G221" t="s">
        <v>54</v>
      </c>
      <c r="H221" t="s">
        <v>55</v>
      </c>
      <c r="I221" t="s">
        <v>115</v>
      </c>
      <c r="J221" t="s">
        <v>39</v>
      </c>
      <c r="K221" t="s">
        <v>41</v>
      </c>
      <c r="L221" t="s">
        <v>127</v>
      </c>
      <c r="M221" t="s">
        <v>108</v>
      </c>
      <c r="N221">
        <v>2</v>
      </c>
      <c r="O221" t="s">
        <v>89</v>
      </c>
      <c r="P221" s="48">
        <v>66189.17</v>
      </c>
      <c r="Q221" s="48">
        <v>18659.27</v>
      </c>
      <c r="R221" s="48">
        <v>4308.07</v>
      </c>
      <c r="S221" s="48">
        <v>1625.84</v>
      </c>
      <c r="T221" s="48">
        <v>661.89</v>
      </c>
      <c r="U221" s="48">
        <v>693.91</v>
      </c>
      <c r="V221" s="48">
        <v>2169.25</v>
      </c>
      <c r="W221" s="48">
        <v>38070.94</v>
      </c>
      <c r="X221">
        <v>0</v>
      </c>
      <c r="Y221" t="s">
        <v>45</v>
      </c>
      <c r="Z221">
        <v>155.49</v>
      </c>
      <c r="AA221" t="s">
        <v>46</v>
      </c>
      <c r="AB221" t="s">
        <v>47</v>
      </c>
      <c r="AC221" t="s">
        <v>48</v>
      </c>
      <c r="AD221" t="s">
        <v>61</v>
      </c>
      <c r="AE221" t="s">
        <v>50</v>
      </c>
      <c r="AF221" s="5">
        <f>DATE(YEAR(C221),MONTH(C221),1)</f>
        <v>45689</v>
      </c>
      <c r="AG221">
        <f>E221-D221</f>
        <v>14</v>
      </c>
      <c r="AH221" s="6">
        <f t="shared" si="3"/>
        <v>57.518382539016585</v>
      </c>
    </row>
    <row r="222" spans="1:34">
      <c r="A222" t="s">
        <v>557</v>
      </c>
      <c r="B222" t="s">
        <v>558</v>
      </c>
      <c r="C222" s="1">
        <v>45976</v>
      </c>
      <c r="D222" s="1">
        <v>45979</v>
      </c>
      <c r="E222" s="1">
        <v>45998</v>
      </c>
      <c r="F222" t="s">
        <v>149</v>
      </c>
      <c r="G222" t="s">
        <v>111</v>
      </c>
      <c r="H222" t="s">
        <v>150</v>
      </c>
      <c r="I222" t="s">
        <v>56</v>
      </c>
      <c r="J222" t="s">
        <v>57</v>
      </c>
      <c r="K222" t="s">
        <v>58</v>
      </c>
      <c r="L222" t="s">
        <v>116</v>
      </c>
      <c r="M222" t="s">
        <v>108</v>
      </c>
      <c r="N222">
        <v>2</v>
      </c>
      <c r="O222" t="s">
        <v>69</v>
      </c>
      <c r="P222" s="48">
        <v>78510.5</v>
      </c>
      <c r="Q222" s="48">
        <v>18559.509999999998</v>
      </c>
      <c r="R222" s="48">
        <v>3709.34</v>
      </c>
      <c r="S222" s="48">
        <v>2354.4899999999998</v>
      </c>
      <c r="T222" s="48">
        <v>785.11</v>
      </c>
      <c r="U222" s="48">
        <v>535.25</v>
      </c>
      <c r="V222" s="48">
        <v>1990.47</v>
      </c>
      <c r="W222" s="48">
        <v>50576.33</v>
      </c>
      <c r="X222">
        <v>0</v>
      </c>
      <c r="Y222" t="s">
        <v>45</v>
      </c>
      <c r="Z222">
        <v>154.66</v>
      </c>
      <c r="AA222" t="s">
        <v>46</v>
      </c>
      <c r="AB222" t="s">
        <v>47</v>
      </c>
      <c r="AC222" t="s">
        <v>70</v>
      </c>
      <c r="AD222" t="s">
        <v>93</v>
      </c>
      <c r="AE222" t="s">
        <v>102</v>
      </c>
      <c r="AF222" s="5">
        <f>DATE(YEAR(C222),MONTH(C222),1)</f>
        <v>45962</v>
      </c>
      <c r="AG222">
        <f>E222-D222</f>
        <v>19</v>
      </c>
      <c r="AH222" s="6">
        <f t="shared" si="3"/>
        <v>64.419829194821077</v>
      </c>
    </row>
    <row r="223" spans="1:34">
      <c r="A223" t="s">
        <v>559</v>
      </c>
      <c r="B223" t="s">
        <v>560</v>
      </c>
      <c r="C223" s="1">
        <v>45903</v>
      </c>
      <c r="D223" s="1">
        <v>45906</v>
      </c>
      <c r="E223" s="1">
        <v>45927</v>
      </c>
      <c r="F223" t="s">
        <v>234</v>
      </c>
      <c r="G223" t="s">
        <v>111</v>
      </c>
      <c r="H223" t="s">
        <v>150</v>
      </c>
      <c r="I223" t="s">
        <v>115</v>
      </c>
      <c r="J223" t="s">
        <v>98</v>
      </c>
      <c r="K223" t="s">
        <v>99</v>
      </c>
      <c r="L223" t="s">
        <v>116</v>
      </c>
      <c r="M223" t="s">
        <v>43</v>
      </c>
      <c r="N223">
        <v>2</v>
      </c>
      <c r="O223" t="s">
        <v>69</v>
      </c>
      <c r="P223" s="48">
        <v>68085.460000000006</v>
      </c>
      <c r="Q223" s="48">
        <v>18555.830000000002</v>
      </c>
      <c r="R223" s="48">
        <v>4709.24</v>
      </c>
      <c r="S223" s="48">
        <v>1889.82</v>
      </c>
      <c r="T223" s="48">
        <v>680.85</v>
      </c>
      <c r="U223" s="48">
        <v>550.07000000000005</v>
      </c>
      <c r="V223" s="48">
        <v>1650.75</v>
      </c>
      <c r="W223" s="48">
        <v>40048.9</v>
      </c>
      <c r="X223">
        <v>36</v>
      </c>
      <c r="Y223" t="s">
        <v>112</v>
      </c>
      <c r="Z223">
        <v>154.63</v>
      </c>
      <c r="AA223" t="s">
        <v>91</v>
      </c>
      <c r="AB223" t="s">
        <v>92</v>
      </c>
      <c r="AC223" t="s">
        <v>48</v>
      </c>
      <c r="AD223" t="s">
        <v>144</v>
      </c>
      <c r="AE223" t="s">
        <v>50</v>
      </c>
      <c r="AF223" s="5">
        <f>DATE(YEAR(C223),MONTH(C223),1)</f>
        <v>45901</v>
      </c>
      <c r="AG223">
        <f>E223-D223</f>
        <v>21</v>
      </c>
      <c r="AH223" s="6">
        <f t="shared" si="3"/>
        <v>58.82151637074935</v>
      </c>
    </row>
    <row r="224" spans="1:34">
      <c r="A224" t="s">
        <v>561</v>
      </c>
      <c r="B224" t="s">
        <v>562</v>
      </c>
      <c r="C224" s="1">
        <v>45853</v>
      </c>
      <c r="D224" s="1">
        <v>45855</v>
      </c>
      <c r="E224" s="1">
        <v>45882</v>
      </c>
      <c r="F224" t="s">
        <v>234</v>
      </c>
      <c r="G224" t="s">
        <v>111</v>
      </c>
      <c r="H224" t="s">
        <v>150</v>
      </c>
      <c r="I224" t="s">
        <v>115</v>
      </c>
      <c r="J224" t="s">
        <v>98</v>
      </c>
      <c r="K224" t="s">
        <v>99</v>
      </c>
      <c r="L224" t="s">
        <v>78</v>
      </c>
      <c r="M224" t="s">
        <v>79</v>
      </c>
      <c r="N224">
        <v>2</v>
      </c>
      <c r="O224" t="s">
        <v>80</v>
      </c>
      <c r="P224" s="48">
        <v>77860.2</v>
      </c>
      <c r="Q224" s="48">
        <v>18498.91</v>
      </c>
      <c r="R224" s="48">
        <v>3313.89</v>
      </c>
      <c r="S224" s="48">
        <v>786.51</v>
      </c>
      <c r="T224" s="48">
        <v>778.6</v>
      </c>
      <c r="U224" s="48">
        <v>136.36000000000001</v>
      </c>
      <c r="V224" s="48">
        <v>1544.35</v>
      </c>
      <c r="W224" s="48">
        <v>52801.58</v>
      </c>
      <c r="X224">
        <v>4</v>
      </c>
      <c r="Y224" t="s">
        <v>101</v>
      </c>
      <c r="Z224">
        <v>154.16</v>
      </c>
      <c r="AA224" t="s">
        <v>91</v>
      </c>
      <c r="AB224" t="s">
        <v>47</v>
      </c>
      <c r="AC224" t="s">
        <v>60</v>
      </c>
      <c r="AD224" t="s">
        <v>61</v>
      </c>
      <c r="AE224" t="s">
        <v>50</v>
      </c>
      <c r="AF224" s="5">
        <f>DATE(YEAR(C224),MONTH(C224),1)</f>
        <v>45839</v>
      </c>
      <c r="AG224">
        <f>E224-D224</f>
        <v>27</v>
      </c>
      <c r="AH224" s="6">
        <f t="shared" si="3"/>
        <v>67.81588025717889</v>
      </c>
    </row>
    <row r="225" spans="1:34">
      <c r="A225" t="s">
        <v>563</v>
      </c>
      <c r="B225" t="s">
        <v>564</v>
      </c>
      <c r="C225" s="1">
        <v>45997</v>
      </c>
      <c r="D225" s="1">
        <v>45999</v>
      </c>
      <c r="E225" s="1">
        <v>46011</v>
      </c>
      <c r="F225" t="s">
        <v>36</v>
      </c>
      <c r="G225" t="s">
        <v>37</v>
      </c>
      <c r="H225" t="s">
        <v>38</v>
      </c>
      <c r="I225" t="s">
        <v>115</v>
      </c>
      <c r="J225" t="s">
        <v>86</v>
      </c>
      <c r="K225" t="s">
        <v>41</v>
      </c>
      <c r="L225" t="s">
        <v>59</v>
      </c>
      <c r="M225" t="s">
        <v>79</v>
      </c>
      <c r="N225">
        <v>4</v>
      </c>
      <c r="O225" t="s">
        <v>89</v>
      </c>
      <c r="P225" s="48">
        <v>66556.7</v>
      </c>
      <c r="Q225" s="48">
        <v>18479.740000000002</v>
      </c>
      <c r="R225" s="48">
        <v>2735.49</v>
      </c>
      <c r="S225" s="48">
        <v>1614.45</v>
      </c>
      <c r="T225" s="48">
        <v>665.57</v>
      </c>
      <c r="U225" s="48">
        <v>891.07</v>
      </c>
      <c r="V225" s="48">
        <v>1379.17</v>
      </c>
      <c r="W225" s="48">
        <v>40791.21</v>
      </c>
      <c r="X225">
        <v>0</v>
      </c>
      <c r="Y225" t="s">
        <v>45</v>
      </c>
      <c r="Z225">
        <v>154</v>
      </c>
      <c r="AA225" t="s">
        <v>46</v>
      </c>
      <c r="AB225" t="s">
        <v>47</v>
      </c>
      <c r="AC225" t="s">
        <v>60</v>
      </c>
      <c r="AD225" t="s">
        <v>49</v>
      </c>
      <c r="AE225" t="s">
        <v>62</v>
      </c>
      <c r="AF225" s="5">
        <f>DATE(YEAR(C225),MONTH(C225),1)</f>
        <v>45992</v>
      </c>
      <c r="AG225">
        <f>E225-D225</f>
        <v>12</v>
      </c>
      <c r="AH225" s="6">
        <f t="shared" si="3"/>
        <v>61.287909406566129</v>
      </c>
    </row>
    <row r="226" spans="1:34">
      <c r="A226" t="s">
        <v>565</v>
      </c>
      <c r="B226" t="s">
        <v>566</v>
      </c>
      <c r="C226" s="1">
        <v>45977</v>
      </c>
      <c r="D226" s="1">
        <v>45978</v>
      </c>
      <c r="E226" s="1">
        <v>45998</v>
      </c>
      <c r="F226" t="s">
        <v>180</v>
      </c>
      <c r="G226" t="s">
        <v>181</v>
      </c>
      <c r="H226" t="s">
        <v>38</v>
      </c>
      <c r="I226" t="s">
        <v>86</v>
      </c>
      <c r="J226" t="s">
        <v>87</v>
      </c>
      <c r="K226" t="s">
        <v>88</v>
      </c>
      <c r="L226" t="s">
        <v>116</v>
      </c>
      <c r="M226" t="s">
        <v>108</v>
      </c>
      <c r="N226">
        <v>2</v>
      </c>
      <c r="O226" t="s">
        <v>44</v>
      </c>
      <c r="P226" s="48">
        <v>83060.789999999994</v>
      </c>
      <c r="Q226" s="48">
        <v>18390.12</v>
      </c>
      <c r="R226" s="48">
        <v>5064.84</v>
      </c>
      <c r="S226" s="48">
        <v>1481.19</v>
      </c>
      <c r="T226" s="48">
        <v>830.61</v>
      </c>
      <c r="U226" s="48">
        <v>675.58</v>
      </c>
      <c r="V226" s="48">
        <v>1108.67</v>
      </c>
      <c r="W226" s="48">
        <v>55509.78</v>
      </c>
      <c r="X226">
        <v>24</v>
      </c>
      <c r="Y226" t="s">
        <v>112</v>
      </c>
      <c r="Z226">
        <v>153.25</v>
      </c>
      <c r="AA226" t="s">
        <v>91</v>
      </c>
      <c r="AB226" t="s">
        <v>92</v>
      </c>
      <c r="AC226" t="s">
        <v>60</v>
      </c>
      <c r="AD226" t="s">
        <v>61</v>
      </c>
      <c r="AE226" t="s">
        <v>71</v>
      </c>
      <c r="AF226" s="5">
        <f>DATE(YEAR(C226),MONTH(C226),1)</f>
        <v>45962</v>
      </c>
      <c r="AG226">
        <f>E226-D226</f>
        <v>20</v>
      </c>
      <c r="AH226" s="6">
        <f t="shared" si="3"/>
        <v>66.830305851894749</v>
      </c>
    </row>
    <row r="227" spans="1:34">
      <c r="A227" t="s">
        <v>567</v>
      </c>
      <c r="B227" t="s">
        <v>568</v>
      </c>
      <c r="C227" s="1">
        <v>45988</v>
      </c>
      <c r="D227" s="1">
        <v>45992</v>
      </c>
      <c r="E227" s="1">
        <v>46007</v>
      </c>
      <c r="F227" t="s">
        <v>74</v>
      </c>
      <c r="G227" t="s">
        <v>75</v>
      </c>
      <c r="H227" t="s">
        <v>76</v>
      </c>
      <c r="I227" t="s">
        <v>57</v>
      </c>
      <c r="J227" t="s">
        <v>98</v>
      </c>
      <c r="K227" t="s">
        <v>99</v>
      </c>
      <c r="L227" t="s">
        <v>155</v>
      </c>
      <c r="M227" t="s">
        <v>68</v>
      </c>
      <c r="N227">
        <v>4</v>
      </c>
      <c r="O227" t="s">
        <v>89</v>
      </c>
      <c r="P227" s="48">
        <v>94195.87</v>
      </c>
      <c r="Q227" s="48">
        <v>18370.349999999999</v>
      </c>
      <c r="R227" s="48">
        <v>5448.14</v>
      </c>
      <c r="S227" s="48">
        <v>2353.98</v>
      </c>
      <c r="T227" s="48">
        <v>941.96</v>
      </c>
      <c r="U227" s="48">
        <v>261.76</v>
      </c>
      <c r="V227" s="48">
        <v>1152.92</v>
      </c>
      <c r="W227" s="48">
        <v>65666.759999999995</v>
      </c>
      <c r="X227">
        <v>12</v>
      </c>
      <c r="Y227" t="s">
        <v>112</v>
      </c>
      <c r="Z227">
        <v>153.09</v>
      </c>
      <c r="AA227" t="s">
        <v>91</v>
      </c>
      <c r="AB227" t="s">
        <v>92</v>
      </c>
      <c r="AC227" t="s">
        <v>60</v>
      </c>
      <c r="AD227" t="s">
        <v>130</v>
      </c>
      <c r="AE227" t="s">
        <v>102</v>
      </c>
      <c r="AF227" s="5">
        <f>DATE(YEAR(C227),MONTH(C227),1)</f>
        <v>45962</v>
      </c>
      <c r="AG227">
        <f>E227-D227</f>
        <v>15</v>
      </c>
      <c r="AH227" s="6">
        <f t="shared" si="3"/>
        <v>69.712992724627938</v>
      </c>
    </row>
    <row r="228" spans="1:34">
      <c r="A228" t="s">
        <v>569</v>
      </c>
      <c r="B228" t="s">
        <v>570</v>
      </c>
      <c r="C228" s="1">
        <v>45901</v>
      </c>
      <c r="D228" s="1">
        <v>45902</v>
      </c>
      <c r="E228" s="1">
        <v>45925</v>
      </c>
      <c r="F228" t="s">
        <v>74</v>
      </c>
      <c r="G228" t="s">
        <v>75</v>
      </c>
      <c r="H228" t="s">
        <v>76</v>
      </c>
      <c r="I228" t="s">
        <v>115</v>
      </c>
      <c r="J228" t="s">
        <v>98</v>
      </c>
      <c r="K228" t="s">
        <v>99</v>
      </c>
      <c r="L228" t="s">
        <v>155</v>
      </c>
      <c r="M228" t="s">
        <v>108</v>
      </c>
      <c r="N228">
        <v>2</v>
      </c>
      <c r="O228" t="s">
        <v>44</v>
      </c>
      <c r="P228" s="48">
        <v>83834.13</v>
      </c>
      <c r="Q228" s="48">
        <v>18302.45</v>
      </c>
      <c r="R228" s="48">
        <v>3574.12</v>
      </c>
      <c r="S228" s="48">
        <v>2512.37</v>
      </c>
      <c r="T228" s="48">
        <v>838.34</v>
      </c>
      <c r="U228" s="48">
        <v>159.46</v>
      </c>
      <c r="V228" s="48">
        <v>2190.14</v>
      </c>
      <c r="W228" s="48">
        <v>56257.25</v>
      </c>
      <c r="X228">
        <v>0</v>
      </c>
      <c r="Y228" t="s">
        <v>45</v>
      </c>
      <c r="Z228">
        <v>152.52000000000001</v>
      </c>
      <c r="AA228" t="s">
        <v>46</v>
      </c>
      <c r="AB228" t="s">
        <v>92</v>
      </c>
      <c r="AC228" t="s">
        <v>60</v>
      </c>
      <c r="AD228" t="s">
        <v>93</v>
      </c>
      <c r="AE228" t="s">
        <v>50</v>
      </c>
      <c r="AF228" s="5">
        <f>DATE(YEAR(C228),MONTH(C228),1)</f>
        <v>45901</v>
      </c>
      <c r="AG228">
        <f>E228-D228</f>
        <v>23</v>
      </c>
      <c r="AH228" s="6">
        <f t="shared" si="3"/>
        <v>67.105425916628462</v>
      </c>
    </row>
    <row r="229" spans="1:34">
      <c r="A229" t="s">
        <v>571</v>
      </c>
      <c r="B229" t="s">
        <v>572</v>
      </c>
      <c r="C229" s="1">
        <v>45884</v>
      </c>
      <c r="D229" s="1">
        <v>45886</v>
      </c>
      <c r="E229" s="1">
        <v>45910</v>
      </c>
      <c r="F229" t="s">
        <v>234</v>
      </c>
      <c r="G229" t="s">
        <v>111</v>
      </c>
      <c r="H229" t="s">
        <v>150</v>
      </c>
      <c r="I229" t="s">
        <v>57</v>
      </c>
      <c r="J229" t="s">
        <v>87</v>
      </c>
      <c r="K229" t="s">
        <v>41</v>
      </c>
      <c r="L229" t="s">
        <v>155</v>
      </c>
      <c r="M229" t="s">
        <v>43</v>
      </c>
      <c r="N229">
        <v>2</v>
      </c>
      <c r="O229" t="s">
        <v>105</v>
      </c>
      <c r="P229" s="48">
        <v>83383.63</v>
      </c>
      <c r="Q229" s="48">
        <v>18205.02</v>
      </c>
      <c r="R229" s="48">
        <v>5022.2</v>
      </c>
      <c r="S229" s="48">
        <v>1533.03</v>
      </c>
      <c r="T229" s="48">
        <v>833.84</v>
      </c>
      <c r="U229" s="48">
        <v>140.72</v>
      </c>
      <c r="V229" s="48">
        <v>1946.91</v>
      </c>
      <c r="W229" s="48">
        <v>55701.91</v>
      </c>
      <c r="X229">
        <v>24</v>
      </c>
      <c r="Y229" t="s">
        <v>117</v>
      </c>
      <c r="Z229">
        <v>151.71</v>
      </c>
      <c r="AA229" t="s">
        <v>91</v>
      </c>
      <c r="AB229" t="s">
        <v>47</v>
      </c>
      <c r="AC229" t="s">
        <v>70</v>
      </c>
      <c r="AD229" t="s">
        <v>130</v>
      </c>
      <c r="AE229" t="s">
        <v>50</v>
      </c>
      <c r="AF229" s="5">
        <f>DATE(YEAR(C229),MONTH(C229),1)</f>
        <v>45870</v>
      </c>
      <c r="AG229">
        <f>E229-D229</f>
        <v>24</v>
      </c>
      <c r="AH229" s="6">
        <f t="shared" si="3"/>
        <v>66.801973001175412</v>
      </c>
    </row>
    <row r="230" spans="1:34">
      <c r="A230" t="s">
        <v>573</v>
      </c>
      <c r="B230" t="s">
        <v>574</v>
      </c>
      <c r="C230" s="1">
        <v>45956</v>
      </c>
      <c r="D230" s="1">
        <v>45958</v>
      </c>
      <c r="E230" s="1">
        <v>45976</v>
      </c>
      <c r="F230" t="s">
        <v>120</v>
      </c>
      <c r="G230" t="s">
        <v>75</v>
      </c>
      <c r="H230" t="s">
        <v>121</v>
      </c>
      <c r="I230" t="s">
        <v>56</v>
      </c>
      <c r="J230" t="s">
        <v>98</v>
      </c>
      <c r="K230" t="s">
        <v>41</v>
      </c>
      <c r="L230" t="s">
        <v>42</v>
      </c>
      <c r="M230" t="s">
        <v>68</v>
      </c>
      <c r="N230">
        <v>4</v>
      </c>
      <c r="O230" t="s">
        <v>111</v>
      </c>
      <c r="P230" s="48">
        <v>84266.2</v>
      </c>
      <c r="Q230" s="48">
        <v>18107.05</v>
      </c>
      <c r="R230" s="48">
        <v>5175.21</v>
      </c>
      <c r="S230" s="48">
        <v>1564.84</v>
      </c>
      <c r="T230" s="48">
        <v>842.66</v>
      </c>
      <c r="U230" s="48">
        <v>531.21</v>
      </c>
      <c r="V230" s="48">
        <v>2018.3</v>
      </c>
      <c r="W230" s="48">
        <v>56026.93</v>
      </c>
      <c r="X230">
        <v>0</v>
      </c>
      <c r="Y230" t="s">
        <v>45</v>
      </c>
      <c r="Z230">
        <v>150.88999999999999</v>
      </c>
      <c r="AA230" t="s">
        <v>46</v>
      </c>
      <c r="AB230" t="s">
        <v>92</v>
      </c>
      <c r="AC230" t="s">
        <v>60</v>
      </c>
      <c r="AD230" t="s">
        <v>93</v>
      </c>
      <c r="AE230" t="s">
        <v>50</v>
      </c>
      <c r="AF230" s="5">
        <f>DATE(YEAR(C230),MONTH(C230),1)</f>
        <v>45931</v>
      </c>
      <c r="AG230">
        <f>E230-D230</f>
        <v>18</v>
      </c>
      <c r="AH230" s="6">
        <f t="shared" si="3"/>
        <v>66.488022481137165</v>
      </c>
    </row>
    <row r="231" spans="1:34">
      <c r="A231" t="s">
        <v>575</v>
      </c>
      <c r="B231" t="s">
        <v>576</v>
      </c>
      <c r="C231" s="1">
        <v>45859</v>
      </c>
      <c r="D231" s="1">
        <v>45861</v>
      </c>
      <c r="E231" s="1">
        <v>45877</v>
      </c>
      <c r="F231" t="s">
        <v>149</v>
      </c>
      <c r="G231" t="s">
        <v>111</v>
      </c>
      <c r="H231" t="s">
        <v>150</v>
      </c>
      <c r="I231" t="s">
        <v>115</v>
      </c>
      <c r="J231" t="s">
        <v>98</v>
      </c>
      <c r="K231" t="s">
        <v>99</v>
      </c>
      <c r="L231" t="s">
        <v>155</v>
      </c>
      <c r="M231" t="s">
        <v>68</v>
      </c>
      <c r="N231">
        <v>4</v>
      </c>
      <c r="O231" t="s">
        <v>80</v>
      </c>
      <c r="P231" s="48">
        <v>85557.79</v>
      </c>
      <c r="Q231" s="48">
        <v>18045.7</v>
      </c>
      <c r="R231" s="48">
        <v>4729.54</v>
      </c>
      <c r="S231" s="48">
        <v>2326.29</v>
      </c>
      <c r="T231" s="48">
        <v>855.58</v>
      </c>
      <c r="U231" s="48">
        <v>295.35000000000002</v>
      </c>
      <c r="V231" s="48">
        <v>2051.09</v>
      </c>
      <c r="W231" s="48">
        <v>57254.239999999998</v>
      </c>
      <c r="X231">
        <v>0</v>
      </c>
      <c r="Y231" t="s">
        <v>45</v>
      </c>
      <c r="Z231">
        <v>150.38</v>
      </c>
      <c r="AA231" t="s">
        <v>46</v>
      </c>
      <c r="AB231" t="s">
        <v>92</v>
      </c>
      <c r="AC231" t="s">
        <v>48</v>
      </c>
      <c r="AD231" t="s">
        <v>144</v>
      </c>
      <c r="AE231" t="s">
        <v>102</v>
      </c>
      <c r="AF231" s="5">
        <f>DATE(YEAR(C231),MONTH(C231),1)</f>
        <v>45839</v>
      </c>
      <c r="AG231">
        <f>E231-D231</f>
        <v>16</v>
      </c>
      <c r="AH231" s="6">
        <f t="shared" si="3"/>
        <v>66.918792549456924</v>
      </c>
    </row>
    <row r="232" spans="1:34">
      <c r="A232" t="s">
        <v>577</v>
      </c>
      <c r="B232" t="s">
        <v>578</v>
      </c>
      <c r="C232" s="1">
        <v>45771</v>
      </c>
      <c r="D232" s="1">
        <v>45774</v>
      </c>
      <c r="E232" s="1">
        <v>45797</v>
      </c>
      <c r="F232" t="s">
        <v>234</v>
      </c>
      <c r="G232" t="s">
        <v>111</v>
      </c>
      <c r="H232" t="s">
        <v>150</v>
      </c>
      <c r="I232" t="s">
        <v>86</v>
      </c>
      <c r="J232" t="s">
        <v>40</v>
      </c>
      <c r="K232" t="s">
        <v>41</v>
      </c>
      <c r="L232" t="s">
        <v>127</v>
      </c>
      <c r="M232" t="s">
        <v>79</v>
      </c>
      <c r="N232">
        <v>4</v>
      </c>
      <c r="O232" t="s">
        <v>80</v>
      </c>
      <c r="P232" s="48">
        <v>61337.61</v>
      </c>
      <c r="Q232" s="48">
        <v>18001.64</v>
      </c>
      <c r="R232" s="48">
        <v>3629.26</v>
      </c>
      <c r="S232" s="48">
        <v>1616.36</v>
      </c>
      <c r="T232" s="48">
        <v>613.38</v>
      </c>
      <c r="U232" s="48">
        <v>173.61</v>
      </c>
      <c r="V232" s="48">
        <v>314.86</v>
      </c>
      <c r="W232" s="48">
        <v>36988.5</v>
      </c>
      <c r="X232">
        <v>0</v>
      </c>
      <c r="Y232" t="s">
        <v>45</v>
      </c>
      <c r="Z232">
        <v>150.01</v>
      </c>
      <c r="AA232" t="s">
        <v>46</v>
      </c>
      <c r="AB232" t="s">
        <v>47</v>
      </c>
      <c r="AC232" t="s">
        <v>48</v>
      </c>
      <c r="AD232" t="s">
        <v>144</v>
      </c>
      <c r="AE232" t="s">
        <v>62</v>
      </c>
      <c r="AF232" s="5">
        <f>DATE(YEAR(C232),MONTH(C232),1)</f>
        <v>45748</v>
      </c>
      <c r="AG232">
        <f>E232-D232</f>
        <v>23</v>
      </c>
      <c r="AH232" s="6">
        <f t="shared" si="3"/>
        <v>60.303132123993741</v>
      </c>
    </row>
    <row r="233" spans="1:34">
      <c r="A233" t="s">
        <v>579</v>
      </c>
      <c r="B233" t="s">
        <v>580</v>
      </c>
      <c r="C233" s="1">
        <v>45999</v>
      </c>
      <c r="D233" s="1">
        <v>46002</v>
      </c>
      <c r="E233" s="1">
        <v>46029</v>
      </c>
      <c r="F233" t="s">
        <v>120</v>
      </c>
      <c r="G233" t="s">
        <v>75</v>
      </c>
      <c r="H233" t="s">
        <v>121</v>
      </c>
      <c r="I233" t="s">
        <v>115</v>
      </c>
      <c r="J233" t="s">
        <v>98</v>
      </c>
      <c r="K233" t="s">
        <v>99</v>
      </c>
      <c r="L233" t="s">
        <v>124</v>
      </c>
      <c r="M233" t="s">
        <v>79</v>
      </c>
      <c r="N233">
        <v>2</v>
      </c>
      <c r="O233" t="s">
        <v>80</v>
      </c>
      <c r="P233" s="48">
        <v>72988.820000000007</v>
      </c>
      <c r="Q233" s="48">
        <v>17957.41</v>
      </c>
      <c r="R233" s="48">
        <v>3351.26</v>
      </c>
      <c r="S233" s="48">
        <v>1952.17</v>
      </c>
      <c r="T233" s="48">
        <v>729.89</v>
      </c>
      <c r="U233" s="48">
        <v>176.54</v>
      </c>
      <c r="V233" s="48">
        <v>866.7</v>
      </c>
      <c r="W233" s="48">
        <v>47954.85</v>
      </c>
      <c r="X233">
        <v>48</v>
      </c>
      <c r="Y233" t="s">
        <v>117</v>
      </c>
      <c r="Z233">
        <v>149.65</v>
      </c>
      <c r="AA233" t="s">
        <v>91</v>
      </c>
      <c r="AB233" t="s">
        <v>92</v>
      </c>
      <c r="AC233" t="s">
        <v>48</v>
      </c>
      <c r="AD233" t="s">
        <v>144</v>
      </c>
      <c r="AE233" t="s">
        <v>71</v>
      </c>
      <c r="AF233" s="5">
        <f>DATE(YEAR(C233),MONTH(C233),1)</f>
        <v>45992</v>
      </c>
      <c r="AG233">
        <f>E233-D233</f>
        <v>27</v>
      </c>
      <c r="AH233" s="6">
        <f t="shared" si="3"/>
        <v>65.701637593264266</v>
      </c>
    </row>
    <row r="234" spans="1:34">
      <c r="A234" t="s">
        <v>581</v>
      </c>
      <c r="B234" t="s">
        <v>582</v>
      </c>
      <c r="C234" s="1">
        <v>45925</v>
      </c>
      <c r="D234" s="1">
        <v>45927</v>
      </c>
      <c r="E234" s="1">
        <v>45942</v>
      </c>
      <c r="F234" t="s">
        <v>138</v>
      </c>
      <c r="G234" t="s">
        <v>139</v>
      </c>
      <c r="H234" t="s">
        <v>76</v>
      </c>
      <c r="I234" t="s">
        <v>115</v>
      </c>
      <c r="J234" t="s">
        <v>98</v>
      </c>
      <c r="K234" t="s">
        <v>99</v>
      </c>
      <c r="L234" t="s">
        <v>78</v>
      </c>
      <c r="M234" t="s">
        <v>43</v>
      </c>
      <c r="N234">
        <v>2</v>
      </c>
      <c r="O234" t="s">
        <v>54</v>
      </c>
      <c r="P234" s="48">
        <v>81529.960000000006</v>
      </c>
      <c r="Q234" s="48">
        <v>17949.55</v>
      </c>
      <c r="R234" s="48">
        <v>5182.1400000000003</v>
      </c>
      <c r="S234" s="48">
        <v>1265.5899999999999</v>
      </c>
      <c r="T234" s="48">
        <v>815.3</v>
      </c>
      <c r="U234" s="48">
        <v>226.38</v>
      </c>
      <c r="V234" s="48">
        <v>1852.23</v>
      </c>
      <c r="W234" s="48">
        <v>54238.77</v>
      </c>
      <c r="X234">
        <v>36</v>
      </c>
      <c r="Y234" t="s">
        <v>117</v>
      </c>
      <c r="Z234">
        <v>149.58000000000001</v>
      </c>
      <c r="AA234" t="s">
        <v>91</v>
      </c>
      <c r="AB234" t="s">
        <v>92</v>
      </c>
      <c r="AC234" t="s">
        <v>48</v>
      </c>
      <c r="AD234" t="s">
        <v>93</v>
      </c>
      <c r="AE234" t="s">
        <v>102</v>
      </c>
      <c r="AF234" s="5">
        <f>DATE(YEAR(C234),MONTH(C234),1)</f>
        <v>45901</v>
      </c>
      <c r="AG234">
        <f>E234-D234</f>
        <v>15</v>
      </c>
      <c r="AH234" s="6">
        <f t="shared" si="3"/>
        <v>66.526182522351291</v>
      </c>
    </row>
    <row r="235" spans="1:34">
      <c r="A235" t="s">
        <v>583</v>
      </c>
      <c r="B235" t="s">
        <v>584</v>
      </c>
      <c r="C235" s="1">
        <v>45955</v>
      </c>
      <c r="D235" s="1">
        <v>45959</v>
      </c>
      <c r="E235" s="1">
        <v>45972</v>
      </c>
      <c r="F235" t="s">
        <v>180</v>
      </c>
      <c r="G235" t="s">
        <v>181</v>
      </c>
      <c r="H235" t="s">
        <v>38</v>
      </c>
      <c r="I235" t="s">
        <v>40</v>
      </c>
      <c r="J235" t="s">
        <v>122</v>
      </c>
      <c r="K235" t="s">
        <v>123</v>
      </c>
      <c r="L235" t="s">
        <v>124</v>
      </c>
      <c r="M235" t="s">
        <v>79</v>
      </c>
      <c r="N235">
        <v>4</v>
      </c>
      <c r="O235" t="s">
        <v>54</v>
      </c>
      <c r="P235" s="48">
        <v>68022.02</v>
      </c>
      <c r="Q235" s="48">
        <v>17947.02</v>
      </c>
      <c r="R235" s="48">
        <v>2997.75</v>
      </c>
      <c r="S235" s="48">
        <v>1475.74</v>
      </c>
      <c r="T235" s="48">
        <v>680.22</v>
      </c>
      <c r="U235" s="48">
        <v>341.82</v>
      </c>
      <c r="V235" s="48">
        <v>2180.65</v>
      </c>
      <c r="W235" s="48">
        <v>42398.82</v>
      </c>
      <c r="X235">
        <v>0</v>
      </c>
      <c r="Y235" t="s">
        <v>45</v>
      </c>
      <c r="Z235">
        <v>149.56</v>
      </c>
      <c r="AA235" t="s">
        <v>46</v>
      </c>
      <c r="AB235" t="s">
        <v>47</v>
      </c>
      <c r="AC235" t="s">
        <v>48</v>
      </c>
      <c r="AD235" t="s">
        <v>93</v>
      </c>
      <c r="AE235" t="s">
        <v>50</v>
      </c>
      <c r="AF235" s="5">
        <f>DATE(YEAR(C235),MONTH(C235),1)</f>
        <v>45931</v>
      </c>
      <c r="AG235">
        <f>E235-D235</f>
        <v>13</v>
      </c>
      <c r="AH235" s="6">
        <f t="shared" si="3"/>
        <v>62.331021630936569</v>
      </c>
    </row>
    <row r="236" spans="1:34">
      <c r="A236" t="s">
        <v>585</v>
      </c>
      <c r="B236" t="s">
        <v>586</v>
      </c>
      <c r="C236" s="1">
        <v>45753</v>
      </c>
      <c r="D236" s="1">
        <v>45755</v>
      </c>
      <c r="E236" s="1">
        <v>45766</v>
      </c>
      <c r="F236" t="s">
        <v>65</v>
      </c>
      <c r="G236" t="s">
        <v>66</v>
      </c>
      <c r="H236" t="s">
        <v>67</v>
      </c>
      <c r="I236" t="s">
        <v>56</v>
      </c>
      <c r="J236" t="s">
        <v>87</v>
      </c>
      <c r="K236" t="s">
        <v>41</v>
      </c>
      <c r="L236" t="s">
        <v>42</v>
      </c>
      <c r="M236" t="s">
        <v>68</v>
      </c>
      <c r="N236">
        <v>2</v>
      </c>
      <c r="O236" t="s">
        <v>105</v>
      </c>
      <c r="P236" s="48">
        <v>71301.86</v>
      </c>
      <c r="Q236" s="48">
        <v>17942.36</v>
      </c>
      <c r="R236" s="48">
        <v>4954.21</v>
      </c>
      <c r="S236" s="48">
        <v>826.39</v>
      </c>
      <c r="T236" s="48">
        <v>713.02</v>
      </c>
      <c r="U236" s="48">
        <v>886.88</v>
      </c>
      <c r="V236" s="48">
        <v>2424.35</v>
      </c>
      <c r="W236" s="48">
        <v>43554.65</v>
      </c>
      <c r="X236">
        <v>0</v>
      </c>
      <c r="Y236" t="s">
        <v>45</v>
      </c>
      <c r="Z236">
        <v>149.52000000000001</v>
      </c>
      <c r="AA236" t="s">
        <v>46</v>
      </c>
      <c r="AB236" t="s">
        <v>92</v>
      </c>
      <c r="AC236" t="s">
        <v>70</v>
      </c>
      <c r="AD236" t="s">
        <v>49</v>
      </c>
      <c r="AE236" t="s">
        <v>102</v>
      </c>
      <c r="AF236" s="5">
        <f>DATE(YEAR(C236),MONTH(C236),1)</f>
        <v>45748</v>
      </c>
      <c r="AG236">
        <f>E236-D236</f>
        <v>11</v>
      </c>
      <c r="AH236" s="6">
        <f t="shared" si="3"/>
        <v>61.084872119745548</v>
      </c>
    </row>
    <row r="237" spans="1:34">
      <c r="A237" t="s">
        <v>587</v>
      </c>
      <c r="B237" t="s">
        <v>588</v>
      </c>
      <c r="C237" s="1">
        <v>45897</v>
      </c>
      <c r="D237" s="1">
        <v>45898</v>
      </c>
      <c r="E237" s="1">
        <v>45924</v>
      </c>
      <c r="F237" t="s">
        <v>96</v>
      </c>
      <c r="G237" t="s">
        <v>97</v>
      </c>
      <c r="H237" t="s">
        <v>76</v>
      </c>
      <c r="I237" t="s">
        <v>57</v>
      </c>
      <c r="J237" t="s">
        <v>98</v>
      </c>
      <c r="K237" t="s">
        <v>99</v>
      </c>
      <c r="L237" t="s">
        <v>59</v>
      </c>
      <c r="M237" t="s">
        <v>68</v>
      </c>
      <c r="N237">
        <v>2</v>
      </c>
      <c r="O237" t="s">
        <v>69</v>
      </c>
      <c r="P237" s="48">
        <v>87773.74</v>
      </c>
      <c r="Q237" s="48">
        <v>17923.48</v>
      </c>
      <c r="R237" s="48">
        <v>3852.33</v>
      </c>
      <c r="S237" s="48">
        <v>1514.7</v>
      </c>
      <c r="T237" s="48">
        <v>877.74</v>
      </c>
      <c r="U237" s="48">
        <v>696.43</v>
      </c>
      <c r="V237" s="48">
        <v>1290.4000000000001</v>
      </c>
      <c r="W237" s="48">
        <v>61618.66</v>
      </c>
      <c r="X237">
        <v>0</v>
      </c>
      <c r="Y237" t="s">
        <v>45</v>
      </c>
      <c r="Z237">
        <v>149.36000000000001</v>
      </c>
      <c r="AA237" t="s">
        <v>46</v>
      </c>
      <c r="AB237" t="s">
        <v>47</v>
      </c>
      <c r="AC237" t="s">
        <v>48</v>
      </c>
      <c r="AD237" t="s">
        <v>130</v>
      </c>
      <c r="AE237" t="s">
        <v>62</v>
      </c>
      <c r="AF237" s="5">
        <f>DATE(YEAR(C237),MONTH(C237),1)</f>
        <v>45870</v>
      </c>
      <c r="AG237">
        <f>E237-D237</f>
        <v>26</v>
      </c>
      <c r="AH237" s="6">
        <f t="shared" si="3"/>
        <v>70.20170269604553</v>
      </c>
    </row>
    <row r="238" spans="1:34">
      <c r="A238" t="s">
        <v>589</v>
      </c>
      <c r="B238" t="s">
        <v>590</v>
      </c>
      <c r="C238" s="1">
        <v>45690</v>
      </c>
      <c r="D238" s="1">
        <v>45693</v>
      </c>
      <c r="E238" s="1">
        <v>45718</v>
      </c>
      <c r="F238" t="s">
        <v>65</v>
      </c>
      <c r="G238" t="s">
        <v>66</v>
      </c>
      <c r="H238" t="s">
        <v>67</v>
      </c>
      <c r="I238" t="s">
        <v>77</v>
      </c>
      <c r="J238" t="s">
        <v>98</v>
      </c>
      <c r="K238" t="s">
        <v>41</v>
      </c>
      <c r="L238" t="s">
        <v>42</v>
      </c>
      <c r="M238" t="s">
        <v>43</v>
      </c>
      <c r="N238">
        <v>2</v>
      </c>
      <c r="O238" t="s">
        <v>80</v>
      </c>
      <c r="P238" s="48">
        <v>75477.97</v>
      </c>
      <c r="Q238" s="48">
        <v>17879.080000000002</v>
      </c>
      <c r="R238" s="48">
        <v>4137.49</v>
      </c>
      <c r="S238" s="48">
        <v>1059.43</v>
      </c>
      <c r="T238" s="48">
        <v>754.78</v>
      </c>
      <c r="U238" s="48">
        <v>101.82</v>
      </c>
      <c r="V238" s="48">
        <v>1681.61</v>
      </c>
      <c r="W238" s="48">
        <v>49863.76</v>
      </c>
      <c r="X238">
        <v>0</v>
      </c>
      <c r="Y238" t="s">
        <v>45</v>
      </c>
      <c r="Z238">
        <v>148.99</v>
      </c>
      <c r="AA238" t="s">
        <v>46</v>
      </c>
      <c r="AB238" t="s">
        <v>92</v>
      </c>
      <c r="AC238" t="s">
        <v>70</v>
      </c>
      <c r="AD238" t="s">
        <v>93</v>
      </c>
      <c r="AE238" t="s">
        <v>102</v>
      </c>
      <c r="AF238" s="5">
        <f>DATE(YEAR(C238),MONTH(C238),1)</f>
        <v>45689</v>
      </c>
      <c r="AG238">
        <f>E238-D238</f>
        <v>25</v>
      </c>
      <c r="AH238" s="6">
        <f t="shared" si="3"/>
        <v>66.063991917111707</v>
      </c>
    </row>
    <row r="239" spans="1:34">
      <c r="A239" t="s">
        <v>591</v>
      </c>
      <c r="B239" t="s">
        <v>592</v>
      </c>
      <c r="C239" s="1">
        <v>45740</v>
      </c>
      <c r="D239" s="1">
        <v>45741</v>
      </c>
      <c r="E239" s="1">
        <v>45758</v>
      </c>
      <c r="F239" t="s">
        <v>180</v>
      </c>
      <c r="G239" t="s">
        <v>181</v>
      </c>
      <c r="H239" t="s">
        <v>38</v>
      </c>
      <c r="I239" t="s">
        <v>40</v>
      </c>
      <c r="J239" t="s">
        <v>122</v>
      </c>
      <c r="K239" t="s">
        <v>123</v>
      </c>
      <c r="L239" t="s">
        <v>59</v>
      </c>
      <c r="M239" t="s">
        <v>79</v>
      </c>
      <c r="N239">
        <v>2</v>
      </c>
      <c r="O239" t="s">
        <v>80</v>
      </c>
      <c r="P239" s="48">
        <v>79557.63</v>
      </c>
      <c r="Q239" s="48">
        <v>17877.03</v>
      </c>
      <c r="R239" s="48">
        <v>6332.95</v>
      </c>
      <c r="S239" s="48">
        <v>1792.14</v>
      </c>
      <c r="T239" s="48">
        <v>795.58</v>
      </c>
      <c r="U239" s="48">
        <v>367.1</v>
      </c>
      <c r="V239" s="48">
        <v>1016.45</v>
      </c>
      <c r="W239" s="48">
        <v>51376.38</v>
      </c>
      <c r="X239">
        <v>36</v>
      </c>
      <c r="Y239" t="s">
        <v>112</v>
      </c>
      <c r="Z239">
        <v>148.97999999999999</v>
      </c>
      <c r="AA239" t="s">
        <v>91</v>
      </c>
      <c r="AB239" t="s">
        <v>47</v>
      </c>
      <c r="AC239" t="s">
        <v>70</v>
      </c>
      <c r="AD239" t="s">
        <v>144</v>
      </c>
      <c r="AE239" t="s">
        <v>102</v>
      </c>
      <c r="AF239" s="5">
        <f>DATE(YEAR(C239),MONTH(C239),1)</f>
        <v>45717</v>
      </c>
      <c r="AG239">
        <f>E239-D239</f>
        <v>17</v>
      </c>
      <c r="AH239" s="6">
        <f t="shared" si="3"/>
        <v>64.577564716294333</v>
      </c>
    </row>
    <row r="240" spans="1:34">
      <c r="A240" t="s">
        <v>593</v>
      </c>
      <c r="B240" t="s">
        <v>594</v>
      </c>
      <c r="C240" s="1">
        <v>45784</v>
      </c>
      <c r="D240" s="1">
        <v>45785</v>
      </c>
      <c r="E240" s="1">
        <v>45810</v>
      </c>
      <c r="F240" t="s">
        <v>153</v>
      </c>
      <c r="G240" t="s">
        <v>75</v>
      </c>
      <c r="H240" t="s">
        <v>154</v>
      </c>
      <c r="I240" t="s">
        <v>115</v>
      </c>
      <c r="J240" t="s">
        <v>98</v>
      </c>
      <c r="K240" t="s">
        <v>99</v>
      </c>
      <c r="L240" t="s">
        <v>78</v>
      </c>
      <c r="M240" t="s">
        <v>43</v>
      </c>
      <c r="N240">
        <v>4</v>
      </c>
      <c r="O240" t="s">
        <v>80</v>
      </c>
      <c r="P240" s="48">
        <v>70671.149999999994</v>
      </c>
      <c r="Q240" s="48">
        <v>17754.43</v>
      </c>
      <c r="R240" s="48">
        <v>3104.68</v>
      </c>
      <c r="S240" s="48">
        <v>1591.15</v>
      </c>
      <c r="T240" s="48">
        <v>706.71</v>
      </c>
      <c r="U240" s="48">
        <v>548.32000000000005</v>
      </c>
      <c r="V240" s="48">
        <v>1093.1400000000001</v>
      </c>
      <c r="W240" s="48">
        <v>45872.72</v>
      </c>
      <c r="X240">
        <v>0</v>
      </c>
      <c r="Y240" t="s">
        <v>45</v>
      </c>
      <c r="Z240">
        <v>147.94999999999999</v>
      </c>
      <c r="AA240" t="s">
        <v>46</v>
      </c>
      <c r="AB240" t="s">
        <v>47</v>
      </c>
      <c r="AC240" t="s">
        <v>60</v>
      </c>
      <c r="AD240" t="s">
        <v>144</v>
      </c>
      <c r="AE240" t="s">
        <v>50</v>
      </c>
      <c r="AF240" s="5">
        <f>DATE(YEAR(C240),MONTH(C240),1)</f>
        <v>45778</v>
      </c>
      <c r="AG240">
        <f>E240-D240</f>
        <v>25</v>
      </c>
      <c r="AH240" s="6">
        <f t="shared" si="3"/>
        <v>64.910108297374535</v>
      </c>
    </row>
    <row r="241" spans="1:34">
      <c r="A241" t="s">
        <v>595</v>
      </c>
      <c r="B241" t="s">
        <v>596</v>
      </c>
      <c r="C241" s="1">
        <v>45706</v>
      </c>
      <c r="D241" s="1">
        <v>45709</v>
      </c>
      <c r="E241" s="1">
        <v>45735</v>
      </c>
      <c r="F241" t="s">
        <v>65</v>
      </c>
      <c r="G241" t="s">
        <v>66</v>
      </c>
      <c r="H241" t="s">
        <v>67</v>
      </c>
      <c r="I241" t="s">
        <v>115</v>
      </c>
      <c r="J241" t="s">
        <v>98</v>
      </c>
      <c r="K241" t="s">
        <v>99</v>
      </c>
      <c r="L241" t="s">
        <v>116</v>
      </c>
      <c r="M241" t="s">
        <v>43</v>
      </c>
      <c r="N241">
        <v>4</v>
      </c>
      <c r="O241" t="s">
        <v>54</v>
      </c>
      <c r="P241" s="48">
        <v>105787.9</v>
      </c>
      <c r="Q241" s="48">
        <v>17737.46</v>
      </c>
      <c r="R241" s="48">
        <v>5822.04</v>
      </c>
      <c r="S241" s="48">
        <v>1193.9100000000001</v>
      </c>
      <c r="T241" s="48">
        <v>1057.8800000000001</v>
      </c>
      <c r="U241" s="48">
        <v>599.16</v>
      </c>
      <c r="V241" s="48">
        <v>686.06</v>
      </c>
      <c r="W241" s="48">
        <v>78691.39</v>
      </c>
      <c r="X241">
        <v>0</v>
      </c>
      <c r="Y241" t="s">
        <v>45</v>
      </c>
      <c r="Z241">
        <v>147.81</v>
      </c>
      <c r="AA241" t="s">
        <v>46</v>
      </c>
      <c r="AB241" t="s">
        <v>47</v>
      </c>
      <c r="AC241" t="s">
        <v>60</v>
      </c>
      <c r="AD241" t="s">
        <v>93</v>
      </c>
      <c r="AE241" t="s">
        <v>71</v>
      </c>
      <c r="AF241" s="5">
        <f>DATE(YEAR(C241),MONTH(C241),1)</f>
        <v>45689</v>
      </c>
      <c r="AG241">
        <f>E241-D241</f>
        <v>26</v>
      </c>
      <c r="AH241" s="6">
        <f t="shared" si="3"/>
        <v>74.386002557948501</v>
      </c>
    </row>
    <row r="242" spans="1:34">
      <c r="A242" t="s">
        <v>597</v>
      </c>
      <c r="B242" t="s">
        <v>598</v>
      </c>
      <c r="C242" s="1">
        <v>45677</v>
      </c>
      <c r="D242" s="1">
        <v>45679</v>
      </c>
      <c r="E242" s="1">
        <v>45703</v>
      </c>
      <c r="F242" t="s">
        <v>53</v>
      </c>
      <c r="G242" t="s">
        <v>54</v>
      </c>
      <c r="H242" t="s">
        <v>55</v>
      </c>
      <c r="I242" t="s">
        <v>56</v>
      </c>
      <c r="J242" t="s">
        <v>57</v>
      </c>
      <c r="K242" t="s">
        <v>58</v>
      </c>
      <c r="L242" t="s">
        <v>100</v>
      </c>
      <c r="M242" t="s">
        <v>79</v>
      </c>
      <c r="N242">
        <v>4</v>
      </c>
      <c r="O242" t="s">
        <v>69</v>
      </c>
      <c r="P242" s="48">
        <v>99807.67</v>
      </c>
      <c r="Q242" s="48">
        <v>17606.560000000001</v>
      </c>
      <c r="R242" s="48">
        <v>5995.3</v>
      </c>
      <c r="S242" s="48">
        <v>1009.83</v>
      </c>
      <c r="T242" s="48">
        <v>998.08</v>
      </c>
      <c r="U242" s="48">
        <v>489.96</v>
      </c>
      <c r="V242" s="48">
        <v>2346.5700000000002</v>
      </c>
      <c r="W242" s="48">
        <v>71361.37</v>
      </c>
      <c r="X242">
        <v>12</v>
      </c>
      <c r="Y242" t="s">
        <v>117</v>
      </c>
      <c r="Z242">
        <v>146.72</v>
      </c>
      <c r="AA242" t="s">
        <v>91</v>
      </c>
      <c r="AB242" t="s">
        <v>92</v>
      </c>
      <c r="AC242" t="s">
        <v>70</v>
      </c>
      <c r="AD242" t="s">
        <v>49</v>
      </c>
      <c r="AE242" t="s">
        <v>102</v>
      </c>
      <c r="AF242" s="5">
        <f>DATE(YEAR(C242),MONTH(C242),1)</f>
        <v>45658</v>
      </c>
      <c r="AG242">
        <f>E242-D242</f>
        <v>24</v>
      </c>
      <c r="AH242" s="6">
        <f t="shared" si="3"/>
        <v>71.498883803218732</v>
      </c>
    </row>
    <row r="243" spans="1:34">
      <c r="A243" t="s">
        <v>599</v>
      </c>
      <c r="B243" t="s">
        <v>600</v>
      </c>
      <c r="C243" s="1">
        <v>45852</v>
      </c>
      <c r="D243" s="1">
        <v>45856</v>
      </c>
      <c r="E243" s="1">
        <v>45875</v>
      </c>
      <c r="F243" t="s">
        <v>83</v>
      </c>
      <c r="G243" t="s">
        <v>84</v>
      </c>
      <c r="H243" t="s">
        <v>85</v>
      </c>
      <c r="I243" t="s">
        <v>86</v>
      </c>
      <c r="J243" t="s">
        <v>87</v>
      </c>
      <c r="K243" t="s">
        <v>88</v>
      </c>
      <c r="L243" t="s">
        <v>59</v>
      </c>
      <c r="M243" t="s">
        <v>108</v>
      </c>
      <c r="N243">
        <v>2</v>
      </c>
      <c r="O243" t="s">
        <v>80</v>
      </c>
      <c r="P243" s="48">
        <v>87813.11</v>
      </c>
      <c r="Q243" s="48">
        <v>17537.14</v>
      </c>
      <c r="R243" s="48">
        <v>4507.6000000000004</v>
      </c>
      <c r="S243" s="48">
        <v>1417.87</v>
      </c>
      <c r="T243" s="48">
        <v>878.13</v>
      </c>
      <c r="U243" s="48">
        <v>714.61</v>
      </c>
      <c r="V243" s="48">
        <v>475.54</v>
      </c>
      <c r="W243" s="48">
        <v>62282.22</v>
      </c>
      <c r="X243">
        <v>0</v>
      </c>
      <c r="Y243" t="s">
        <v>45</v>
      </c>
      <c r="Z243">
        <v>146.13999999999999</v>
      </c>
      <c r="AA243" t="s">
        <v>46</v>
      </c>
      <c r="AB243" t="s">
        <v>47</v>
      </c>
      <c r="AC243" t="s">
        <v>70</v>
      </c>
      <c r="AD243" t="s">
        <v>49</v>
      </c>
      <c r="AE243" t="s">
        <v>50</v>
      </c>
      <c r="AF243" s="5">
        <f>DATE(YEAR(C243),MONTH(C243),1)</f>
        <v>45839</v>
      </c>
      <c r="AG243">
        <f>E243-D243</f>
        <v>19</v>
      </c>
      <c r="AH243" s="6">
        <f t="shared" si="3"/>
        <v>70.925878835176206</v>
      </c>
    </row>
    <row r="244" spans="1:34">
      <c r="A244" t="s">
        <v>601</v>
      </c>
      <c r="B244" t="s">
        <v>602</v>
      </c>
      <c r="C244" s="1">
        <v>45774</v>
      </c>
      <c r="D244" s="1">
        <v>45775</v>
      </c>
      <c r="E244" s="1">
        <v>45787</v>
      </c>
      <c r="F244" t="s">
        <v>120</v>
      </c>
      <c r="G244" t="s">
        <v>75</v>
      </c>
      <c r="H244" t="s">
        <v>121</v>
      </c>
      <c r="I244" t="s">
        <v>77</v>
      </c>
      <c r="J244" t="s">
        <v>56</v>
      </c>
      <c r="K244" t="s">
        <v>41</v>
      </c>
      <c r="L244" t="s">
        <v>59</v>
      </c>
      <c r="M244" t="s">
        <v>108</v>
      </c>
      <c r="N244">
        <v>2</v>
      </c>
      <c r="O244" t="s">
        <v>80</v>
      </c>
      <c r="P244" s="48">
        <v>73671.05</v>
      </c>
      <c r="Q244" s="48">
        <v>17456.29</v>
      </c>
      <c r="R244" s="48">
        <v>4211.8</v>
      </c>
      <c r="S244" s="48">
        <v>1560.24</v>
      </c>
      <c r="T244" s="48">
        <v>736.71</v>
      </c>
      <c r="U244" s="48">
        <v>149.55000000000001</v>
      </c>
      <c r="V244" s="48">
        <v>945.21</v>
      </c>
      <c r="W244" s="48">
        <v>48611.25</v>
      </c>
      <c r="X244">
        <v>0</v>
      </c>
      <c r="Y244" t="s">
        <v>45</v>
      </c>
      <c r="Z244">
        <v>145.47</v>
      </c>
      <c r="AA244" t="s">
        <v>46</v>
      </c>
      <c r="AB244" t="s">
        <v>47</v>
      </c>
      <c r="AC244" t="s">
        <v>60</v>
      </c>
      <c r="AD244" t="s">
        <v>144</v>
      </c>
      <c r="AE244" t="s">
        <v>102</v>
      </c>
      <c r="AF244" s="5">
        <f>DATE(YEAR(C244),MONTH(C244),1)</f>
        <v>45748</v>
      </c>
      <c r="AG244">
        <f>E244-D244</f>
        <v>12</v>
      </c>
      <c r="AH244" s="6">
        <f t="shared" si="3"/>
        <v>65.984195963000388</v>
      </c>
    </row>
    <row r="245" spans="1:34">
      <c r="A245" t="s">
        <v>603</v>
      </c>
      <c r="B245" t="s">
        <v>604</v>
      </c>
      <c r="C245" s="1">
        <v>45965</v>
      </c>
      <c r="D245" s="1">
        <v>45968</v>
      </c>
      <c r="E245" s="1">
        <v>45993</v>
      </c>
      <c r="F245" t="s">
        <v>36</v>
      </c>
      <c r="G245" t="s">
        <v>37</v>
      </c>
      <c r="H245" t="s">
        <v>38</v>
      </c>
      <c r="I245" t="s">
        <v>57</v>
      </c>
      <c r="J245" t="s">
        <v>98</v>
      </c>
      <c r="K245" t="s">
        <v>99</v>
      </c>
      <c r="L245" t="s">
        <v>78</v>
      </c>
      <c r="M245" t="s">
        <v>43</v>
      </c>
      <c r="N245">
        <v>4</v>
      </c>
      <c r="O245" t="s">
        <v>89</v>
      </c>
      <c r="P245" s="48">
        <v>77920.22</v>
      </c>
      <c r="Q245" s="48">
        <v>17442.98</v>
      </c>
      <c r="R245" s="48">
        <v>4582.83</v>
      </c>
      <c r="S245" s="48">
        <v>2248.58</v>
      </c>
      <c r="T245" s="48">
        <v>779.2</v>
      </c>
      <c r="U245" s="48">
        <v>791.41</v>
      </c>
      <c r="V245" s="48">
        <v>2215.6799999999998</v>
      </c>
      <c r="W245" s="48">
        <v>49859.54</v>
      </c>
      <c r="X245">
        <v>0</v>
      </c>
      <c r="Y245" t="s">
        <v>45</v>
      </c>
      <c r="Z245">
        <v>145.36000000000001</v>
      </c>
      <c r="AA245" t="s">
        <v>46</v>
      </c>
      <c r="AB245" t="s">
        <v>92</v>
      </c>
      <c r="AC245" t="s">
        <v>70</v>
      </c>
      <c r="AD245" t="s">
        <v>144</v>
      </c>
      <c r="AE245" t="s">
        <v>62</v>
      </c>
      <c r="AF245" s="5">
        <f>DATE(YEAR(C245),MONTH(C245),1)</f>
        <v>45962</v>
      </c>
      <c r="AG245">
        <f>E245-D245</f>
        <v>25</v>
      </c>
      <c r="AH245" s="6">
        <f t="shared" si="3"/>
        <v>63.987935352338589</v>
      </c>
    </row>
    <row r="246" spans="1:34">
      <c r="A246" t="s">
        <v>605</v>
      </c>
      <c r="B246" t="s">
        <v>606</v>
      </c>
      <c r="C246" s="1">
        <v>45832</v>
      </c>
      <c r="D246" s="1">
        <v>45836</v>
      </c>
      <c r="E246" s="1">
        <v>45862</v>
      </c>
      <c r="F246" t="s">
        <v>149</v>
      </c>
      <c r="G246" t="s">
        <v>111</v>
      </c>
      <c r="H246" t="s">
        <v>150</v>
      </c>
      <c r="I246" t="s">
        <v>115</v>
      </c>
      <c r="J246" t="s">
        <v>98</v>
      </c>
      <c r="K246" t="s">
        <v>99</v>
      </c>
      <c r="L246" t="s">
        <v>127</v>
      </c>
      <c r="M246" t="s">
        <v>79</v>
      </c>
      <c r="N246">
        <v>4</v>
      </c>
      <c r="O246" t="s">
        <v>105</v>
      </c>
      <c r="P246" s="48">
        <v>62271.68</v>
      </c>
      <c r="Q246" s="48">
        <v>17425.71</v>
      </c>
      <c r="R246" s="48">
        <v>3544.97</v>
      </c>
      <c r="S246" s="48">
        <v>1821.53</v>
      </c>
      <c r="T246" s="48">
        <v>622.72</v>
      </c>
      <c r="U246" s="48">
        <v>877.31</v>
      </c>
      <c r="V246" s="48">
        <v>2311.04</v>
      </c>
      <c r="W246" s="48">
        <v>35668.400000000001</v>
      </c>
      <c r="X246">
        <v>0</v>
      </c>
      <c r="Y246" t="s">
        <v>45</v>
      </c>
      <c r="Z246">
        <v>145.21</v>
      </c>
      <c r="AA246" t="s">
        <v>46</v>
      </c>
      <c r="AB246" t="s">
        <v>47</v>
      </c>
      <c r="AC246" t="s">
        <v>70</v>
      </c>
      <c r="AD246" t="s">
        <v>130</v>
      </c>
      <c r="AE246" t="s">
        <v>102</v>
      </c>
      <c r="AF246" s="5">
        <f>DATE(YEAR(C246),MONTH(C246),1)</f>
        <v>45809</v>
      </c>
      <c r="AG246">
        <f>E246-D246</f>
        <v>26</v>
      </c>
      <c r="AH246" s="6">
        <f t="shared" si="3"/>
        <v>57.278685913082803</v>
      </c>
    </row>
    <row r="247" spans="1:34">
      <c r="A247" t="s">
        <v>607</v>
      </c>
      <c r="B247" t="s">
        <v>608</v>
      </c>
      <c r="C247" s="1">
        <v>45725</v>
      </c>
      <c r="D247" s="1">
        <v>45728</v>
      </c>
      <c r="E247" s="1">
        <v>45747</v>
      </c>
      <c r="F247" t="s">
        <v>120</v>
      </c>
      <c r="G247" t="s">
        <v>75</v>
      </c>
      <c r="H247" t="s">
        <v>121</v>
      </c>
      <c r="I247" t="s">
        <v>40</v>
      </c>
      <c r="J247" t="s">
        <v>86</v>
      </c>
      <c r="K247" t="s">
        <v>41</v>
      </c>
      <c r="L247" t="s">
        <v>155</v>
      </c>
      <c r="M247" t="s">
        <v>68</v>
      </c>
      <c r="N247">
        <v>2</v>
      </c>
      <c r="O247" t="s">
        <v>44</v>
      </c>
      <c r="P247" s="48">
        <v>83861.16</v>
      </c>
      <c r="Q247" s="48">
        <v>17423.29</v>
      </c>
      <c r="R247" s="48">
        <v>4973.75</v>
      </c>
      <c r="S247" s="48">
        <v>1261.3900000000001</v>
      </c>
      <c r="T247" s="48">
        <v>838.61</v>
      </c>
      <c r="U247" s="48">
        <v>529.54999999999995</v>
      </c>
      <c r="V247" s="48">
        <v>1288.74</v>
      </c>
      <c r="W247" s="48">
        <v>57545.83</v>
      </c>
      <c r="X247">
        <v>0</v>
      </c>
      <c r="Y247" t="s">
        <v>45</v>
      </c>
      <c r="Z247">
        <v>145.19</v>
      </c>
      <c r="AA247" t="s">
        <v>46</v>
      </c>
      <c r="AB247" t="s">
        <v>47</v>
      </c>
      <c r="AC247" t="s">
        <v>70</v>
      </c>
      <c r="AD247" t="s">
        <v>130</v>
      </c>
      <c r="AE247" t="s">
        <v>71</v>
      </c>
      <c r="AF247" s="5">
        <f>DATE(YEAR(C247),MONTH(C247),1)</f>
        <v>45717</v>
      </c>
      <c r="AG247">
        <f>E247-D247</f>
        <v>19</v>
      </c>
      <c r="AH247" s="6">
        <f t="shared" si="3"/>
        <v>68.620360128574418</v>
      </c>
    </row>
    <row r="248" spans="1:34">
      <c r="A248" t="s">
        <v>609</v>
      </c>
      <c r="B248" t="s">
        <v>610</v>
      </c>
      <c r="C248" s="1">
        <v>45957</v>
      </c>
      <c r="D248" s="1">
        <v>45961</v>
      </c>
      <c r="E248" s="1">
        <v>45989</v>
      </c>
      <c r="F248" t="s">
        <v>53</v>
      </c>
      <c r="G248" t="s">
        <v>54</v>
      </c>
      <c r="H248" t="s">
        <v>55</v>
      </c>
      <c r="I248" t="s">
        <v>57</v>
      </c>
      <c r="J248" t="s">
        <v>39</v>
      </c>
      <c r="K248" t="s">
        <v>41</v>
      </c>
      <c r="L248" t="s">
        <v>42</v>
      </c>
      <c r="M248" t="s">
        <v>68</v>
      </c>
      <c r="N248">
        <v>2</v>
      </c>
      <c r="O248" t="s">
        <v>89</v>
      </c>
      <c r="P248" s="48">
        <v>79196.649999999994</v>
      </c>
      <c r="Q248" s="48">
        <v>17361.419999999998</v>
      </c>
      <c r="R248" s="48">
        <v>5110.7299999999996</v>
      </c>
      <c r="S248" s="48">
        <v>2137.2199999999998</v>
      </c>
      <c r="T248" s="48">
        <v>791.97</v>
      </c>
      <c r="U248" s="48">
        <v>458.95</v>
      </c>
      <c r="V248" s="48">
        <v>1727.43</v>
      </c>
      <c r="W248" s="48">
        <v>51608.93</v>
      </c>
      <c r="X248">
        <v>0</v>
      </c>
      <c r="Y248" t="s">
        <v>45</v>
      </c>
      <c r="Z248">
        <v>144.68</v>
      </c>
      <c r="AA248" t="s">
        <v>46</v>
      </c>
      <c r="AB248" t="s">
        <v>47</v>
      </c>
      <c r="AC248" t="s">
        <v>48</v>
      </c>
      <c r="AD248" t="s">
        <v>144</v>
      </c>
      <c r="AE248" t="s">
        <v>62</v>
      </c>
      <c r="AF248" s="5">
        <f>DATE(YEAR(C248),MONTH(C248),1)</f>
        <v>45931</v>
      </c>
      <c r="AG248">
        <f>E248-D248</f>
        <v>28</v>
      </c>
      <c r="AH248" s="6">
        <f t="shared" si="3"/>
        <v>65.165546775021426</v>
      </c>
    </row>
    <row r="249" spans="1:34">
      <c r="A249" t="s">
        <v>611</v>
      </c>
      <c r="B249" t="s">
        <v>612</v>
      </c>
      <c r="C249" s="1">
        <v>45935</v>
      </c>
      <c r="D249" s="1">
        <v>45938</v>
      </c>
      <c r="E249" s="1">
        <v>45964</v>
      </c>
      <c r="F249" t="s">
        <v>138</v>
      </c>
      <c r="G249" t="s">
        <v>139</v>
      </c>
      <c r="H249" t="s">
        <v>76</v>
      </c>
      <c r="I249" t="s">
        <v>56</v>
      </c>
      <c r="J249" t="s">
        <v>57</v>
      </c>
      <c r="K249" t="s">
        <v>58</v>
      </c>
      <c r="L249" t="s">
        <v>59</v>
      </c>
      <c r="M249" t="s">
        <v>43</v>
      </c>
      <c r="N249">
        <v>4</v>
      </c>
      <c r="O249" t="s">
        <v>54</v>
      </c>
      <c r="P249" s="48">
        <v>59585.32</v>
      </c>
      <c r="Q249" s="48">
        <v>17329.84</v>
      </c>
      <c r="R249" s="48">
        <v>2520.5300000000002</v>
      </c>
      <c r="S249" s="48">
        <v>1335.65</v>
      </c>
      <c r="T249" s="48">
        <v>595.85</v>
      </c>
      <c r="U249" s="48">
        <v>656.28</v>
      </c>
      <c r="V249" s="48">
        <v>1289.71</v>
      </c>
      <c r="W249" s="48">
        <v>35857.46</v>
      </c>
      <c r="X249">
        <v>8</v>
      </c>
      <c r="Y249" t="s">
        <v>101</v>
      </c>
      <c r="Z249">
        <v>144.41999999999999</v>
      </c>
      <c r="AA249" t="s">
        <v>91</v>
      </c>
      <c r="AB249" t="s">
        <v>92</v>
      </c>
      <c r="AC249" t="s">
        <v>70</v>
      </c>
      <c r="AD249" t="s">
        <v>61</v>
      </c>
      <c r="AE249" t="s">
        <v>62</v>
      </c>
      <c r="AF249" s="5">
        <f>DATE(YEAR(C249),MONTH(C249),1)</f>
        <v>45931</v>
      </c>
      <c r="AG249">
        <f>E249-D249</f>
        <v>26</v>
      </c>
      <c r="AH249" s="6">
        <f t="shared" si="3"/>
        <v>60.178345941584269</v>
      </c>
    </row>
    <row r="250" spans="1:34">
      <c r="A250" t="s">
        <v>613</v>
      </c>
      <c r="B250" t="s">
        <v>614</v>
      </c>
      <c r="C250" s="1">
        <v>45853</v>
      </c>
      <c r="D250" s="1">
        <v>45857</v>
      </c>
      <c r="E250" s="1">
        <v>45883</v>
      </c>
      <c r="F250" t="s">
        <v>83</v>
      </c>
      <c r="G250" t="s">
        <v>84</v>
      </c>
      <c r="H250" t="s">
        <v>85</v>
      </c>
      <c r="I250" t="s">
        <v>86</v>
      </c>
      <c r="J250" t="s">
        <v>87</v>
      </c>
      <c r="K250" t="s">
        <v>88</v>
      </c>
      <c r="L250" t="s">
        <v>155</v>
      </c>
      <c r="M250" t="s">
        <v>79</v>
      </c>
      <c r="N250">
        <v>2</v>
      </c>
      <c r="O250" t="s">
        <v>89</v>
      </c>
      <c r="P250" s="48">
        <v>62000.71</v>
      </c>
      <c r="Q250" s="48">
        <v>17260.12</v>
      </c>
      <c r="R250" s="48">
        <v>2899.12</v>
      </c>
      <c r="S250" s="48">
        <v>1386.15</v>
      </c>
      <c r="T250" s="48">
        <v>620.01</v>
      </c>
      <c r="U250" s="48">
        <v>214.29</v>
      </c>
      <c r="V250" s="48">
        <v>728.36</v>
      </c>
      <c r="W250" s="48">
        <v>38892.660000000003</v>
      </c>
      <c r="X250">
        <v>12</v>
      </c>
      <c r="Y250" t="s">
        <v>117</v>
      </c>
      <c r="Z250">
        <v>143.83000000000001</v>
      </c>
      <c r="AA250" t="s">
        <v>91</v>
      </c>
      <c r="AB250" t="s">
        <v>92</v>
      </c>
      <c r="AC250" t="s">
        <v>70</v>
      </c>
      <c r="AD250" t="s">
        <v>93</v>
      </c>
      <c r="AE250" t="s">
        <v>50</v>
      </c>
      <c r="AF250" s="5">
        <f>DATE(YEAR(C250),MONTH(C250),1)</f>
        <v>45839</v>
      </c>
      <c r="AG250">
        <f>E250-D250</f>
        <v>26</v>
      </c>
      <c r="AH250" s="6">
        <f t="shared" si="3"/>
        <v>62.729378421634209</v>
      </c>
    </row>
    <row r="251" spans="1:34">
      <c r="A251" t="s">
        <v>615</v>
      </c>
      <c r="B251" t="s">
        <v>616</v>
      </c>
      <c r="C251" s="1">
        <v>45768</v>
      </c>
      <c r="D251" s="1">
        <v>45770</v>
      </c>
      <c r="E251" s="1">
        <v>45785</v>
      </c>
      <c r="F251" t="s">
        <v>180</v>
      </c>
      <c r="G251" t="s">
        <v>181</v>
      </c>
      <c r="H251" t="s">
        <v>38</v>
      </c>
      <c r="I251" t="s">
        <v>40</v>
      </c>
      <c r="J251" t="s">
        <v>122</v>
      </c>
      <c r="K251" t="s">
        <v>123</v>
      </c>
      <c r="L251" t="s">
        <v>155</v>
      </c>
      <c r="M251" t="s">
        <v>79</v>
      </c>
      <c r="N251">
        <v>2</v>
      </c>
      <c r="O251" t="s">
        <v>44</v>
      </c>
      <c r="P251" s="48">
        <v>84590.2</v>
      </c>
      <c r="Q251" s="48">
        <v>17240.419999999998</v>
      </c>
      <c r="R251" s="48">
        <v>4071.64</v>
      </c>
      <c r="S251" s="48">
        <v>1587.15</v>
      </c>
      <c r="T251" s="48">
        <v>845.9</v>
      </c>
      <c r="U251" s="48">
        <v>240.96</v>
      </c>
      <c r="V251" s="48">
        <v>1128.21</v>
      </c>
      <c r="W251" s="48">
        <v>59475.92</v>
      </c>
      <c r="X251">
        <v>8</v>
      </c>
      <c r="Y251" t="s">
        <v>135</v>
      </c>
      <c r="Z251">
        <v>143.66999999999999</v>
      </c>
      <c r="AA251" t="s">
        <v>91</v>
      </c>
      <c r="AB251" t="s">
        <v>92</v>
      </c>
      <c r="AC251" t="s">
        <v>70</v>
      </c>
      <c r="AD251" t="s">
        <v>144</v>
      </c>
      <c r="AE251" t="s">
        <v>62</v>
      </c>
      <c r="AF251" s="5">
        <f>DATE(YEAR(C251),MONTH(C251),1)</f>
        <v>45748</v>
      </c>
      <c r="AG251">
        <f>E251-D251</f>
        <v>15</v>
      </c>
      <c r="AH251" s="6">
        <f t="shared" si="3"/>
        <v>70.310650642745856</v>
      </c>
    </row>
    <row r="252" spans="1:34">
      <c r="A252" t="s">
        <v>617</v>
      </c>
      <c r="B252" t="s">
        <v>618</v>
      </c>
      <c r="C252" s="1">
        <v>45909</v>
      </c>
      <c r="D252" s="1">
        <v>45912</v>
      </c>
      <c r="E252" s="1">
        <v>45937</v>
      </c>
      <c r="F252" t="s">
        <v>138</v>
      </c>
      <c r="G252" t="s">
        <v>139</v>
      </c>
      <c r="H252" t="s">
        <v>76</v>
      </c>
      <c r="I252" t="s">
        <v>122</v>
      </c>
      <c r="J252" t="s">
        <v>98</v>
      </c>
      <c r="K252" t="s">
        <v>41</v>
      </c>
      <c r="L252" t="s">
        <v>116</v>
      </c>
      <c r="M252" t="s">
        <v>108</v>
      </c>
      <c r="N252">
        <v>2</v>
      </c>
      <c r="O252" t="s">
        <v>54</v>
      </c>
      <c r="P252" s="48">
        <v>79090.600000000006</v>
      </c>
      <c r="Q252" s="48">
        <v>17229.560000000001</v>
      </c>
      <c r="R252" s="48">
        <v>3526.2</v>
      </c>
      <c r="S252" s="48">
        <v>1688.79</v>
      </c>
      <c r="T252" s="48">
        <v>790.91</v>
      </c>
      <c r="U252" s="48">
        <v>608.19000000000005</v>
      </c>
      <c r="V252" s="48">
        <v>1265.3399999999999</v>
      </c>
      <c r="W252" s="48">
        <v>53981.61</v>
      </c>
      <c r="X252">
        <v>24</v>
      </c>
      <c r="Y252" t="s">
        <v>117</v>
      </c>
      <c r="Z252">
        <v>143.58000000000001</v>
      </c>
      <c r="AA252" t="s">
        <v>91</v>
      </c>
      <c r="AB252" t="s">
        <v>47</v>
      </c>
      <c r="AC252" t="s">
        <v>60</v>
      </c>
      <c r="AD252" t="s">
        <v>93</v>
      </c>
      <c r="AE252" t="s">
        <v>102</v>
      </c>
      <c r="AF252" s="5">
        <f>DATE(YEAR(C252),MONTH(C252),1)</f>
        <v>45901</v>
      </c>
      <c r="AG252">
        <f>E252-D252</f>
        <v>25</v>
      </c>
      <c r="AH252" s="6">
        <f t="shared" si="3"/>
        <v>68.252877080209274</v>
      </c>
    </row>
    <row r="253" spans="1:34">
      <c r="A253" t="s">
        <v>619</v>
      </c>
      <c r="B253" t="s">
        <v>620</v>
      </c>
      <c r="C253" s="1">
        <v>45685</v>
      </c>
      <c r="D253" s="1">
        <v>45686</v>
      </c>
      <c r="E253" s="1">
        <v>45711</v>
      </c>
      <c r="F253" t="s">
        <v>65</v>
      </c>
      <c r="G253" t="s">
        <v>66</v>
      </c>
      <c r="H253" t="s">
        <v>67</v>
      </c>
      <c r="I253" t="s">
        <v>40</v>
      </c>
      <c r="J253" t="s">
        <v>122</v>
      </c>
      <c r="K253" t="s">
        <v>123</v>
      </c>
      <c r="L253" t="s">
        <v>42</v>
      </c>
      <c r="M253" t="s">
        <v>79</v>
      </c>
      <c r="N253">
        <v>4</v>
      </c>
      <c r="O253" t="s">
        <v>54</v>
      </c>
      <c r="P253" s="48">
        <v>74142.28</v>
      </c>
      <c r="Q253" s="48">
        <v>17226.259999999998</v>
      </c>
      <c r="R253" s="48">
        <v>4540.3100000000004</v>
      </c>
      <c r="S253" s="48">
        <v>2210.75</v>
      </c>
      <c r="T253" s="48">
        <v>741.42</v>
      </c>
      <c r="U253" s="48">
        <v>127.4</v>
      </c>
      <c r="V253" s="48">
        <v>1336.03</v>
      </c>
      <c r="W253" s="48">
        <v>47960.11</v>
      </c>
      <c r="X253">
        <v>0</v>
      </c>
      <c r="Y253" t="s">
        <v>45</v>
      </c>
      <c r="Z253">
        <v>143.55000000000001</v>
      </c>
      <c r="AA253" t="s">
        <v>46</v>
      </c>
      <c r="AB253" t="s">
        <v>47</v>
      </c>
      <c r="AC253" t="s">
        <v>70</v>
      </c>
      <c r="AD253" t="s">
        <v>130</v>
      </c>
      <c r="AE253" t="s">
        <v>62</v>
      </c>
      <c r="AF253" s="5">
        <f>DATE(YEAR(C253),MONTH(C253),1)</f>
        <v>45658</v>
      </c>
      <c r="AG253">
        <f>E253-D253</f>
        <v>25</v>
      </c>
      <c r="AH253" s="6">
        <f t="shared" si="3"/>
        <v>64.686586384988431</v>
      </c>
    </row>
    <row r="254" spans="1:34">
      <c r="A254" t="s">
        <v>621</v>
      </c>
      <c r="B254" t="s">
        <v>622</v>
      </c>
      <c r="C254" s="1">
        <v>46004</v>
      </c>
      <c r="D254" s="1">
        <v>46006</v>
      </c>
      <c r="E254" s="1">
        <v>46030</v>
      </c>
      <c r="F254" t="s">
        <v>234</v>
      </c>
      <c r="G254" t="s">
        <v>111</v>
      </c>
      <c r="H254" t="s">
        <v>150</v>
      </c>
      <c r="I254" t="s">
        <v>57</v>
      </c>
      <c r="J254" t="s">
        <v>98</v>
      </c>
      <c r="K254" t="s">
        <v>99</v>
      </c>
      <c r="L254" t="s">
        <v>100</v>
      </c>
      <c r="M254" t="s">
        <v>43</v>
      </c>
      <c r="N254">
        <v>4</v>
      </c>
      <c r="O254" t="s">
        <v>111</v>
      </c>
      <c r="P254" s="48">
        <v>104776.04</v>
      </c>
      <c r="Q254" s="48">
        <v>17185.46</v>
      </c>
      <c r="R254" s="48">
        <v>6518.31</v>
      </c>
      <c r="S254" s="48">
        <v>2020.53</v>
      </c>
      <c r="T254" s="48">
        <v>1047.76</v>
      </c>
      <c r="U254" s="48">
        <v>846.12</v>
      </c>
      <c r="V254" s="48">
        <v>1999.97</v>
      </c>
      <c r="W254" s="48">
        <v>75157.89</v>
      </c>
      <c r="X254">
        <v>48</v>
      </c>
      <c r="Y254" t="s">
        <v>101</v>
      </c>
      <c r="Z254">
        <v>143.21</v>
      </c>
      <c r="AA254" t="s">
        <v>91</v>
      </c>
      <c r="AB254" t="s">
        <v>47</v>
      </c>
      <c r="AC254" t="s">
        <v>60</v>
      </c>
      <c r="AD254" t="s">
        <v>144</v>
      </c>
      <c r="AE254" t="s">
        <v>50</v>
      </c>
      <c r="AF254" s="5">
        <f>DATE(YEAR(C254),MONTH(C254),1)</f>
        <v>45992</v>
      </c>
      <c r="AG254">
        <f>E254-D254</f>
        <v>24</v>
      </c>
      <c r="AH254" s="6">
        <f t="shared" si="3"/>
        <v>71.731943677199482</v>
      </c>
    </row>
    <row r="255" spans="1:34">
      <c r="A255" t="s">
        <v>623</v>
      </c>
      <c r="B255" t="s">
        <v>624</v>
      </c>
      <c r="C255" s="1">
        <v>45813</v>
      </c>
      <c r="D255" s="1">
        <v>45816</v>
      </c>
      <c r="E255" s="1">
        <v>45832</v>
      </c>
      <c r="F255" t="s">
        <v>180</v>
      </c>
      <c r="G255" t="s">
        <v>181</v>
      </c>
      <c r="H255" t="s">
        <v>38</v>
      </c>
      <c r="I255" t="s">
        <v>86</v>
      </c>
      <c r="J255" t="s">
        <v>87</v>
      </c>
      <c r="K255" t="s">
        <v>88</v>
      </c>
      <c r="L255" t="s">
        <v>116</v>
      </c>
      <c r="M255" t="s">
        <v>68</v>
      </c>
      <c r="N255">
        <v>2</v>
      </c>
      <c r="O255" t="s">
        <v>105</v>
      </c>
      <c r="P255" s="48">
        <v>80187.929999999993</v>
      </c>
      <c r="Q255" s="48">
        <v>17170.52</v>
      </c>
      <c r="R255" s="48">
        <v>3572.72</v>
      </c>
      <c r="S255" s="48">
        <v>1196.92</v>
      </c>
      <c r="T255" s="48">
        <v>801.88</v>
      </c>
      <c r="U255" s="48">
        <v>480.48</v>
      </c>
      <c r="V255" s="48">
        <v>488.96</v>
      </c>
      <c r="W255" s="48">
        <v>56476.45</v>
      </c>
      <c r="X255">
        <v>24</v>
      </c>
      <c r="Y255" t="s">
        <v>135</v>
      </c>
      <c r="Z255">
        <v>143.09</v>
      </c>
      <c r="AA255" t="s">
        <v>91</v>
      </c>
      <c r="AB255" t="s">
        <v>47</v>
      </c>
      <c r="AC255" t="s">
        <v>60</v>
      </c>
      <c r="AD255" t="s">
        <v>130</v>
      </c>
      <c r="AE255" t="s">
        <v>62</v>
      </c>
      <c r="AF255" s="5">
        <f>DATE(YEAR(C255),MONTH(C255),1)</f>
        <v>45809</v>
      </c>
      <c r="AG255">
        <f>E255-D255</f>
        <v>16</v>
      </c>
      <c r="AH255" s="6">
        <f t="shared" si="3"/>
        <v>70.43011335995331</v>
      </c>
    </row>
    <row r="256" spans="1:34">
      <c r="A256" t="s">
        <v>625</v>
      </c>
      <c r="B256" t="s">
        <v>626</v>
      </c>
      <c r="C256" s="1">
        <v>45844</v>
      </c>
      <c r="D256" s="1">
        <v>45848</v>
      </c>
      <c r="E256" s="1">
        <v>45872</v>
      </c>
      <c r="F256" t="s">
        <v>83</v>
      </c>
      <c r="G256" t="s">
        <v>84</v>
      </c>
      <c r="H256" t="s">
        <v>85</v>
      </c>
      <c r="I256" t="s">
        <v>56</v>
      </c>
      <c r="J256" t="s">
        <v>57</v>
      </c>
      <c r="K256" t="s">
        <v>58</v>
      </c>
      <c r="L256" t="s">
        <v>78</v>
      </c>
      <c r="M256" t="s">
        <v>43</v>
      </c>
      <c r="N256">
        <v>4</v>
      </c>
      <c r="O256" t="s">
        <v>54</v>
      </c>
      <c r="P256" s="48">
        <v>91961.71</v>
      </c>
      <c r="Q256" s="48">
        <v>17137.61</v>
      </c>
      <c r="R256" s="48">
        <v>6452.03</v>
      </c>
      <c r="S256" s="48">
        <v>2597.58</v>
      </c>
      <c r="T256" s="48">
        <v>919.62</v>
      </c>
      <c r="U256" s="48">
        <v>123.05</v>
      </c>
      <c r="V256" s="48">
        <v>2212.77</v>
      </c>
      <c r="W256" s="48">
        <v>62519.05</v>
      </c>
      <c r="X256">
        <v>48</v>
      </c>
      <c r="Y256" t="s">
        <v>112</v>
      </c>
      <c r="Z256">
        <v>142.81</v>
      </c>
      <c r="AA256" t="s">
        <v>91</v>
      </c>
      <c r="AB256" t="s">
        <v>47</v>
      </c>
      <c r="AC256" t="s">
        <v>70</v>
      </c>
      <c r="AD256" t="s">
        <v>49</v>
      </c>
      <c r="AE256" t="s">
        <v>62</v>
      </c>
      <c r="AF256" s="5">
        <f>DATE(YEAR(C256),MONTH(C256),1)</f>
        <v>45839</v>
      </c>
      <c r="AG256">
        <f>E256-D256</f>
        <v>24</v>
      </c>
      <c r="AH256" s="6">
        <f t="shared" si="3"/>
        <v>67.983783685623067</v>
      </c>
    </row>
    <row r="257" spans="1:34">
      <c r="A257" t="s">
        <v>627</v>
      </c>
      <c r="B257" t="s">
        <v>628</v>
      </c>
      <c r="C257" s="1">
        <v>45762</v>
      </c>
      <c r="D257" s="1">
        <v>45765</v>
      </c>
      <c r="E257" s="1">
        <v>45788</v>
      </c>
      <c r="F257" t="s">
        <v>149</v>
      </c>
      <c r="G257" t="s">
        <v>111</v>
      </c>
      <c r="H257" t="s">
        <v>150</v>
      </c>
      <c r="I257" t="s">
        <v>86</v>
      </c>
      <c r="J257" t="s">
        <v>56</v>
      </c>
      <c r="K257" t="s">
        <v>41</v>
      </c>
      <c r="L257" t="s">
        <v>155</v>
      </c>
      <c r="M257" t="s">
        <v>68</v>
      </c>
      <c r="N257">
        <v>2</v>
      </c>
      <c r="O257" t="s">
        <v>54</v>
      </c>
      <c r="P257" s="48">
        <v>71946.179999999993</v>
      </c>
      <c r="Q257" s="48">
        <v>17094.95</v>
      </c>
      <c r="R257" s="48">
        <v>3285.58</v>
      </c>
      <c r="S257" s="48">
        <v>1072.05</v>
      </c>
      <c r="T257" s="48">
        <v>719.46</v>
      </c>
      <c r="U257" s="48">
        <v>270.22000000000003</v>
      </c>
      <c r="V257" s="48">
        <v>2248.4499999999998</v>
      </c>
      <c r="W257" s="48">
        <v>47255.47</v>
      </c>
      <c r="X257">
        <v>48</v>
      </c>
      <c r="Y257" t="s">
        <v>90</v>
      </c>
      <c r="Z257">
        <v>142.46</v>
      </c>
      <c r="AA257" t="s">
        <v>91</v>
      </c>
      <c r="AB257" t="s">
        <v>47</v>
      </c>
      <c r="AC257" t="s">
        <v>48</v>
      </c>
      <c r="AD257" t="s">
        <v>49</v>
      </c>
      <c r="AE257" t="s">
        <v>50</v>
      </c>
      <c r="AF257" s="5">
        <f>DATE(YEAR(C257),MONTH(C257),1)</f>
        <v>45748</v>
      </c>
      <c r="AG257">
        <f>E257-D257</f>
        <v>23</v>
      </c>
      <c r="AH257" s="6">
        <f t="shared" si="3"/>
        <v>65.681694288703042</v>
      </c>
    </row>
    <row r="258" spans="1:34">
      <c r="A258" t="s">
        <v>629</v>
      </c>
      <c r="B258" t="s">
        <v>630</v>
      </c>
      <c r="C258" s="1">
        <v>45751</v>
      </c>
      <c r="D258" s="1">
        <v>45755</v>
      </c>
      <c r="E258" s="1">
        <v>45775</v>
      </c>
      <c r="F258" t="s">
        <v>53</v>
      </c>
      <c r="G258" t="s">
        <v>54</v>
      </c>
      <c r="H258" t="s">
        <v>55</v>
      </c>
      <c r="I258" t="s">
        <v>40</v>
      </c>
      <c r="J258" t="s">
        <v>122</v>
      </c>
      <c r="K258" t="s">
        <v>123</v>
      </c>
      <c r="L258" t="s">
        <v>100</v>
      </c>
      <c r="M258" t="s">
        <v>68</v>
      </c>
      <c r="N258">
        <v>2</v>
      </c>
      <c r="O258" t="s">
        <v>80</v>
      </c>
      <c r="P258" s="48">
        <v>76254.210000000006</v>
      </c>
      <c r="Q258" s="48">
        <v>17084.23</v>
      </c>
      <c r="R258" s="48">
        <v>4672.34</v>
      </c>
      <c r="S258" s="48">
        <v>1363.4</v>
      </c>
      <c r="T258" s="48">
        <v>762.54</v>
      </c>
      <c r="U258" s="48">
        <v>825.49</v>
      </c>
      <c r="V258" s="48">
        <v>560.64</v>
      </c>
      <c r="W258" s="48">
        <v>50985.57</v>
      </c>
      <c r="X258">
        <v>24</v>
      </c>
      <c r="Y258" t="s">
        <v>135</v>
      </c>
      <c r="Z258">
        <v>142.37</v>
      </c>
      <c r="AA258" t="s">
        <v>91</v>
      </c>
      <c r="AB258" t="s">
        <v>47</v>
      </c>
      <c r="AC258" t="s">
        <v>48</v>
      </c>
      <c r="AD258" t="s">
        <v>130</v>
      </c>
      <c r="AE258" t="s">
        <v>102</v>
      </c>
      <c r="AF258" s="5">
        <f>DATE(YEAR(C258),MONTH(C258),1)</f>
        <v>45748</v>
      </c>
      <c r="AG258">
        <f>E258-D258</f>
        <v>20</v>
      </c>
      <c r="AH258" s="6">
        <f t="shared" si="3"/>
        <v>66.862629617433583</v>
      </c>
    </row>
    <row r="259" spans="1:34">
      <c r="A259" t="s">
        <v>631</v>
      </c>
      <c r="B259" t="s">
        <v>632</v>
      </c>
      <c r="C259" s="1">
        <v>45798</v>
      </c>
      <c r="D259" s="1">
        <v>45799</v>
      </c>
      <c r="E259" s="1">
        <v>45821</v>
      </c>
      <c r="F259" t="s">
        <v>36</v>
      </c>
      <c r="G259" t="s">
        <v>37</v>
      </c>
      <c r="H259" t="s">
        <v>38</v>
      </c>
      <c r="I259" t="s">
        <v>86</v>
      </c>
      <c r="J259" t="s">
        <v>87</v>
      </c>
      <c r="K259" t="s">
        <v>88</v>
      </c>
      <c r="L259" t="s">
        <v>155</v>
      </c>
      <c r="M259" t="s">
        <v>43</v>
      </c>
      <c r="N259">
        <v>2</v>
      </c>
      <c r="O259" t="s">
        <v>54</v>
      </c>
      <c r="P259" s="48">
        <v>79598.84</v>
      </c>
      <c r="Q259" s="48">
        <v>17046.34</v>
      </c>
      <c r="R259" s="48">
        <v>4942.8999999999996</v>
      </c>
      <c r="S259" s="48">
        <v>1909.03</v>
      </c>
      <c r="T259" s="48">
        <v>795.99</v>
      </c>
      <c r="U259" s="48">
        <v>422.2</v>
      </c>
      <c r="V259" s="48">
        <v>1703.03</v>
      </c>
      <c r="W259" s="48">
        <v>52779.35</v>
      </c>
      <c r="X259">
        <v>4</v>
      </c>
      <c r="Y259" t="s">
        <v>90</v>
      </c>
      <c r="Z259">
        <v>142.05000000000001</v>
      </c>
      <c r="AA259" t="s">
        <v>91</v>
      </c>
      <c r="AB259" t="s">
        <v>92</v>
      </c>
      <c r="AC259" t="s">
        <v>60</v>
      </c>
      <c r="AD259" t="s">
        <v>130</v>
      </c>
      <c r="AE259" t="s">
        <v>71</v>
      </c>
      <c r="AF259" s="5">
        <f>DATE(YEAR(C259),MONTH(C259),1)</f>
        <v>45778</v>
      </c>
      <c r="AG259">
        <f>E259-D259</f>
        <v>22</v>
      </c>
      <c r="AH259" s="6">
        <f t="shared" ref="AH259:AH322" si="4">W259/P259*100</f>
        <v>66.306682358687638</v>
      </c>
    </row>
    <row r="260" spans="1:34">
      <c r="A260" t="s">
        <v>633</v>
      </c>
      <c r="B260" t="s">
        <v>634</v>
      </c>
      <c r="C260" s="1">
        <v>45727</v>
      </c>
      <c r="D260" s="1">
        <v>45728</v>
      </c>
      <c r="E260" s="1">
        <v>45740</v>
      </c>
      <c r="F260" t="s">
        <v>74</v>
      </c>
      <c r="G260" t="s">
        <v>75</v>
      </c>
      <c r="H260" t="s">
        <v>76</v>
      </c>
      <c r="I260" t="s">
        <v>86</v>
      </c>
      <c r="J260" t="s">
        <v>98</v>
      </c>
      <c r="K260" t="s">
        <v>41</v>
      </c>
      <c r="L260" t="s">
        <v>100</v>
      </c>
      <c r="M260" t="s">
        <v>79</v>
      </c>
      <c r="N260">
        <v>2</v>
      </c>
      <c r="O260" t="s">
        <v>105</v>
      </c>
      <c r="P260" s="48">
        <v>57545.7</v>
      </c>
      <c r="Q260" s="48">
        <v>17010.43</v>
      </c>
      <c r="R260" s="48">
        <v>4492.92</v>
      </c>
      <c r="S260" s="48">
        <v>1569.89</v>
      </c>
      <c r="T260" s="48">
        <v>575.46</v>
      </c>
      <c r="U260" s="48">
        <v>706.15</v>
      </c>
      <c r="V260" s="48">
        <v>371.25</v>
      </c>
      <c r="W260" s="48">
        <v>32819.599999999999</v>
      </c>
      <c r="X260">
        <v>0</v>
      </c>
      <c r="Y260" t="s">
        <v>45</v>
      </c>
      <c r="Z260">
        <v>141.75</v>
      </c>
      <c r="AA260" t="s">
        <v>46</v>
      </c>
      <c r="AB260" t="s">
        <v>92</v>
      </c>
      <c r="AC260" t="s">
        <v>70</v>
      </c>
      <c r="AD260" t="s">
        <v>61</v>
      </c>
      <c r="AE260" t="s">
        <v>62</v>
      </c>
      <c r="AF260" s="5">
        <f>DATE(YEAR(C260),MONTH(C260),1)</f>
        <v>45717</v>
      </c>
      <c r="AG260">
        <f>E260-D260</f>
        <v>12</v>
      </c>
      <c r="AH260" s="6">
        <f t="shared" si="4"/>
        <v>57.032236987298788</v>
      </c>
    </row>
    <row r="261" spans="1:34">
      <c r="A261" t="s">
        <v>635</v>
      </c>
      <c r="B261" t="s">
        <v>636</v>
      </c>
      <c r="C261" s="1">
        <v>45765</v>
      </c>
      <c r="D261" s="1">
        <v>45768</v>
      </c>
      <c r="E261" s="1">
        <v>45795</v>
      </c>
      <c r="F261" t="s">
        <v>53</v>
      </c>
      <c r="G261" t="s">
        <v>54</v>
      </c>
      <c r="H261" t="s">
        <v>55</v>
      </c>
      <c r="I261" t="s">
        <v>115</v>
      </c>
      <c r="J261" t="s">
        <v>98</v>
      </c>
      <c r="K261" t="s">
        <v>99</v>
      </c>
      <c r="L261" t="s">
        <v>124</v>
      </c>
      <c r="M261" t="s">
        <v>68</v>
      </c>
      <c r="N261">
        <v>4</v>
      </c>
      <c r="O261" t="s">
        <v>69</v>
      </c>
      <c r="P261" s="48">
        <v>71294.2</v>
      </c>
      <c r="Q261" s="48">
        <v>17001.79</v>
      </c>
      <c r="R261" s="48">
        <v>4338.9799999999996</v>
      </c>
      <c r="S261" s="48">
        <v>1263.69</v>
      </c>
      <c r="T261" s="48">
        <v>712.94</v>
      </c>
      <c r="U261" s="48">
        <v>564.95000000000005</v>
      </c>
      <c r="V261" s="48">
        <v>828.14</v>
      </c>
      <c r="W261" s="48">
        <v>46583.71</v>
      </c>
      <c r="X261">
        <v>0</v>
      </c>
      <c r="Y261" t="s">
        <v>45</v>
      </c>
      <c r="Z261">
        <v>141.68</v>
      </c>
      <c r="AA261" t="s">
        <v>46</v>
      </c>
      <c r="AB261" t="s">
        <v>92</v>
      </c>
      <c r="AC261" t="s">
        <v>48</v>
      </c>
      <c r="AD261" t="s">
        <v>49</v>
      </c>
      <c r="AE261" t="s">
        <v>62</v>
      </c>
      <c r="AF261" s="5">
        <f>DATE(YEAR(C261),MONTH(C261),1)</f>
        <v>45748</v>
      </c>
      <c r="AG261">
        <f>E261-D261</f>
        <v>27</v>
      </c>
      <c r="AH261" s="6">
        <f t="shared" si="4"/>
        <v>65.340111818352682</v>
      </c>
    </row>
    <row r="262" spans="1:34">
      <c r="A262" t="s">
        <v>637</v>
      </c>
      <c r="B262" t="s">
        <v>638</v>
      </c>
      <c r="C262" s="1">
        <v>45698</v>
      </c>
      <c r="D262" s="1">
        <v>45702</v>
      </c>
      <c r="E262" s="1">
        <v>45723</v>
      </c>
      <c r="F262" t="s">
        <v>149</v>
      </c>
      <c r="G262" t="s">
        <v>111</v>
      </c>
      <c r="H262" t="s">
        <v>150</v>
      </c>
      <c r="I262" t="s">
        <v>77</v>
      </c>
      <c r="J262" t="s">
        <v>86</v>
      </c>
      <c r="K262" t="s">
        <v>41</v>
      </c>
      <c r="L262" t="s">
        <v>42</v>
      </c>
      <c r="M262" t="s">
        <v>43</v>
      </c>
      <c r="N262">
        <v>2</v>
      </c>
      <c r="O262" t="s">
        <v>89</v>
      </c>
      <c r="P262" s="48">
        <v>71259.31</v>
      </c>
      <c r="Q262" s="48">
        <v>16935.93</v>
      </c>
      <c r="R262" s="48">
        <v>3956.43</v>
      </c>
      <c r="S262" s="48">
        <v>1388.5</v>
      </c>
      <c r="T262" s="48">
        <v>712.59</v>
      </c>
      <c r="U262" s="48">
        <v>685.4</v>
      </c>
      <c r="V262" s="48">
        <v>1057.3</v>
      </c>
      <c r="W262" s="48">
        <v>46523.16</v>
      </c>
      <c r="X262">
        <v>0</v>
      </c>
      <c r="Y262" t="s">
        <v>45</v>
      </c>
      <c r="Z262">
        <v>141.13</v>
      </c>
      <c r="AA262" t="s">
        <v>46</v>
      </c>
      <c r="AB262" t="s">
        <v>47</v>
      </c>
      <c r="AC262" t="s">
        <v>48</v>
      </c>
      <c r="AD262" t="s">
        <v>130</v>
      </c>
      <c r="AE262" t="s">
        <v>102</v>
      </c>
      <c r="AF262" s="5">
        <f>DATE(YEAR(C262),MONTH(C262),1)</f>
        <v>45689</v>
      </c>
      <c r="AG262">
        <f>E262-D262</f>
        <v>21</v>
      </c>
      <c r="AH262" s="6">
        <f t="shared" si="4"/>
        <v>65.287132305940105</v>
      </c>
    </row>
    <row r="263" spans="1:34">
      <c r="A263" t="s">
        <v>639</v>
      </c>
      <c r="B263" t="s">
        <v>640</v>
      </c>
      <c r="C263" s="1">
        <v>45739</v>
      </c>
      <c r="D263" s="1">
        <v>45740</v>
      </c>
      <c r="E263" s="1">
        <v>45759</v>
      </c>
      <c r="F263" t="s">
        <v>74</v>
      </c>
      <c r="G263" t="s">
        <v>75</v>
      </c>
      <c r="H263" t="s">
        <v>76</v>
      </c>
      <c r="I263" t="s">
        <v>40</v>
      </c>
      <c r="J263" t="s">
        <v>122</v>
      </c>
      <c r="K263" t="s">
        <v>123</v>
      </c>
      <c r="L263" t="s">
        <v>59</v>
      </c>
      <c r="M263" t="s">
        <v>43</v>
      </c>
      <c r="N263">
        <v>2</v>
      </c>
      <c r="O263" t="s">
        <v>111</v>
      </c>
      <c r="P263" s="48">
        <v>69712.39</v>
      </c>
      <c r="Q263" s="48">
        <v>16856.13</v>
      </c>
      <c r="R263" s="48">
        <v>3493.86</v>
      </c>
      <c r="S263" s="48">
        <v>1611.15</v>
      </c>
      <c r="T263" s="48">
        <v>697.12</v>
      </c>
      <c r="U263" s="48">
        <v>657.17</v>
      </c>
      <c r="V263" s="48">
        <v>2304.0300000000002</v>
      </c>
      <c r="W263" s="48">
        <v>44092.93</v>
      </c>
      <c r="X263">
        <v>0</v>
      </c>
      <c r="Y263" t="s">
        <v>45</v>
      </c>
      <c r="Z263">
        <v>140.47</v>
      </c>
      <c r="AA263" t="s">
        <v>46</v>
      </c>
      <c r="AB263" t="s">
        <v>47</v>
      </c>
      <c r="AC263" t="s">
        <v>48</v>
      </c>
      <c r="AD263" t="s">
        <v>61</v>
      </c>
      <c r="AE263" t="s">
        <v>71</v>
      </c>
      <c r="AF263" s="5">
        <f>DATE(YEAR(C263),MONTH(C263),1)</f>
        <v>45717</v>
      </c>
      <c r="AG263">
        <f>E263-D263</f>
        <v>19</v>
      </c>
      <c r="AH263" s="6">
        <f t="shared" si="4"/>
        <v>63.249775255159093</v>
      </c>
    </row>
    <row r="264" spans="1:34">
      <c r="A264" t="s">
        <v>641</v>
      </c>
      <c r="B264" t="s">
        <v>642</v>
      </c>
      <c r="C264" s="1">
        <v>45860</v>
      </c>
      <c r="D264" s="1">
        <v>45861</v>
      </c>
      <c r="E264" s="1">
        <v>45872</v>
      </c>
      <c r="F264" t="s">
        <v>96</v>
      </c>
      <c r="G264" t="s">
        <v>97</v>
      </c>
      <c r="H264" t="s">
        <v>76</v>
      </c>
      <c r="I264" t="s">
        <v>86</v>
      </c>
      <c r="J264" t="s">
        <v>122</v>
      </c>
      <c r="K264" t="s">
        <v>41</v>
      </c>
      <c r="L264" t="s">
        <v>100</v>
      </c>
      <c r="M264" t="s">
        <v>79</v>
      </c>
      <c r="N264">
        <v>2</v>
      </c>
      <c r="O264" t="s">
        <v>80</v>
      </c>
      <c r="P264" s="48">
        <v>61289.63</v>
      </c>
      <c r="Q264" s="48">
        <v>16820.349999999999</v>
      </c>
      <c r="R264" s="48">
        <v>4612.3599999999997</v>
      </c>
      <c r="S264" s="48">
        <v>993</v>
      </c>
      <c r="T264" s="48">
        <v>612.9</v>
      </c>
      <c r="U264" s="48">
        <v>126.81</v>
      </c>
      <c r="V264" s="48">
        <v>1355.16</v>
      </c>
      <c r="W264" s="48">
        <v>36769.050000000003</v>
      </c>
      <c r="X264">
        <v>12</v>
      </c>
      <c r="Y264" t="s">
        <v>112</v>
      </c>
      <c r="Z264">
        <v>140.16999999999999</v>
      </c>
      <c r="AA264" t="s">
        <v>91</v>
      </c>
      <c r="AB264" t="s">
        <v>47</v>
      </c>
      <c r="AC264" t="s">
        <v>70</v>
      </c>
      <c r="AD264" t="s">
        <v>130</v>
      </c>
      <c r="AE264" t="s">
        <v>62</v>
      </c>
      <c r="AF264" s="5">
        <f>DATE(YEAR(C264),MONTH(C264),1)</f>
        <v>45839</v>
      </c>
      <c r="AG264">
        <f>E264-D264</f>
        <v>11</v>
      </c>
      <c r="AH264" s="6">
        <f t="shared" si="4"/>
        <v>59.992285807566468</v>
      </c>
    </row>
    <row r="265" spans="1:34">
      <c r="A265" t="s">
        <v>643</v>
      </c>
      <c r="B265" t="s">
        <v>644</v>
      </c>
      <c r="C265" s="1">
        <v>45861</v>
      </c>
      <c r="D265" s="1">
        <v>45863</v>
      </c>
      <c r="E265" s="1">
        <v>45877</v>
      </c>
      <c r="F265" t="s">
        <v>74</v>
      </c>
      <c r="G265" t="s">
        <v>75</v>
      </c>
      <c r="H265" t="s">
        <v>76</v>
      </c>
      <c r="I265" t="s">
        <v>39</v>
      </c>
      <c r="J265" t="s">
        <v>122</v>
      </c>
      <c r="K265" t="s">
        <v>41</v>
      </c>
      <c r="L265" t="s">
        <v>59</v>
      </c>
      <c r="M265" t="s">
        <v>108</v>
      </c>
      <c r="N265">
        <v>2</v>
      </c>
      <c r="O265" t="s">
        <v>105</v>
      </c>
      <c r="P265" s="48">
        <v>68976.38</v>
      </c>
      <c r="Q265" s="48">
        <v>16790.54</v>
      </c>
      <c r="R265" s="48">
        <v>2761.1</v>
      </c>
      <c r="S265" s="48">
        <v>951.93</v>
      </c>
      <c r="T265" s="48">
        <v>689.76</v>
      </c>
      <c r="U265" s="48">
        <v>103.26</v>
      </c>
      <c r="V265" s="48">
        <v>1295.72</v>
      </c>
      <c r="W265" s="48">
        <v>46384.07</v>
      </c>
      <c r="X265">
        <v>0</v>
      </c>
      <c r="Y265" t="s">
        <v>45</v>
      </c>
      <c r="Z265">
        <v>139.91999999999999</v>
      </c>
      <c r="AA265" t="s">
        <v>46</v>
      </c>
      <c r="AB265" t="s">
        <v>47</v>
      </c>
      <c r="AC265" t="s">
        <v>48</v>
      </c>
      <c r="AD265" t="s">
        <v>61</v>
      </c>
      <c r="AE265" t="s">
        <v>71</v>
      </c>
      <c r="AF265" s="5">
        <f>DATE(YEAR(C265),MONTH(C265),1)</f>
        <v>45839</v>
      </c>
      <c r="AG265">
        <f>E265-D265</f>
        <v>14</v>
      </c>
      <c r="AH265" s="6">
        <f t="shared" si="4"/>
        <v>67.246309533785336</v>
      </c>
    </row>
    <row r="266" spans="1:34">
      <c r="A266" t="s">
        <v>645</v>
      </c>
      <c r="B266" t="s">
        <v>646</v>
      </c>
      <c r="C266" s="1">
        <v>45758</v>
      </c>
      <c r="D266" s="1">
        <v>45762</v>
      </c>
      <c r="E266" s="1">
        <v>45786</v>
      </c>
      <c r="F266" t="s">
        <v>153</v>
      </c>
      <c r="G266" t="s">
        <v>75</v>
      </c>
      <c r="H266" t="s">
        <v>154</v>
      </c>
      <c r="I266" t="s">
        <v>56</v>
      </c>
      <c r="J266" t="s">
        <v>40</v>
      </c>
      <c r="K266" t="s">
        <v>41</v>
      </c>
      <c r="L266" t="s">
        <v>78</v>
      </c>
      <c r="M266" t="s">
        <v>79</v>
      </c>
      <c r="N266">
        <v>2</v>
      </c>
      <c r="O266" t="s">
        <v>80</v>
      </c>
      <c r="P266" s="48">
        <v>85453.82</v>
      </c>
      <c r="Q266" s="48">
        <v>16774.259999999998</v>
      </c>
      <c r="R266" s="48">
        <v>4902.88</v>
      </c>
      <c r="S266" s="48">
        <v>1183.3</v>
      </c>
      <c r="T266" s="48">
        <v>854.54</v>
      </c>
      <c r="U266" s="48">
        <v>196.69</v>
      </c>
      <c r="V266" s="48">
        <v>1199.4000000000001</v>
      </c>
      <c r="W266" s="48">
        <v>60342.75</v>
      </c>
      <c r="X266">
        <v>36</v>
      </c>
      <c r="Y266" t="s">
        <v>112</v>
      </c>
      <c r="Z266">
        <v>139.79</v>
      </c>
      <c r="AA266" t="s">
        <v>91</v>
      </c>
      <c r="AB266" t="s">
        <v>47</v>
      </c>
      <c r="AC266" t="s">
        <v>60</v>
      </c>
      <c r="AD266" t="s">
        <v>130</v>
      </c>
      <c r="AE266" t="s">
        <v>102</v>
      </c>
      <c r="AF266" s="5">
        <f>DATE(YEAR(C266),MONTH(C266),1)</f>
        <v>45748</v>
      </c>
      <c r="AG266">
        <f>E266-D266</f>
        <v>24</v>
      </c>
      <c r="AH266" s="6">
        <f t="shared" si="4"/>
        <v>70.614455854635878</v>
      </c>
    </row>
    <row r="267" spans="1:34">
      <c r="A267" t="s">
        <v>647</v>
      </c>
      <c r="B267" t="s">
        <v>648</v>
      </c>
      <c r="C267" s="1">
        <v>45987</v>
      </c>
      <c r="D267" s="1">
        <v>45990</v>
      </c>
      <c r="E267" s="1">
        <v>46009</v>
      </c>
      <c r="F267" t="s">
        <v>149</v>
      </c>
      <c r="G267" t="s">
        <v>111</v>
      </c>
      <c r="H267" t="s">
        <v>150</v>
      </c>
      <c r="I267" t="s">
        <v>115</v>
      </c>
      <c r="J267" t="s">
        <v>98</v>
      </c>
      <c r="K267" t="s">
        <v>99</v>
      </c>
      <c r="L267" t="s">
        <v>78</v>
      </c>
      <c r="M267" t="s">
        <v>68</v>
      </c>
      <c r="N267">
        <v>2</v>
      </c>
      <c r="O267" t="s">
        <v>105</v>
      </c>
      <c r="P267" s="48">
        <v>61345.7</v>
      </c>
      <c r="Q267" s="48">
        <v>16763.89</v>
      </c>
      <c r="R267" s="48">
        <v>2904.06</v>
      </c>
      <c r="S267" s="48">
        <v>1454</v>
      </c>
      <c r="T267" s="48">
        <v>613.46</v>
      </c>
      <c r="U267" s="48">
        <v>400.24</v>
      </c>
      <c r="V267" s="48">
        <v>2476.0300000000002</v>
      </c>
      <c r="W267" s="48">
        <v>36734.019999999997</v>
      </c>
      <c r="X267">
        <v>0</v>
      </c>
      <c r="Y267" t="s">
        <v>45</v>
      </c>
      <c r="Z267">
        <v>139.69999999999999</v>
      </c>
      <c r="AA267" t="s">
        <v>46</v>
      </c>
      <c r="AB267" t="s">
        <v>47</v>
      </c>
      <c r="AC267" t="s">
        <v>70</v>
      </c>
      <c r="AD267" t="s">
        <v>93</v>
      </c>
      <c r="AE267" t="s">
        <v>50</v>
      </c>
      <c r="AF267" s="5">
        <f>DATE(YEAR(C267),MONTH(C267),1)</f>
        <v>45962</v>
      </c>
      <c r="AG267">
        <f>E267-D267</f>
        <v>19</v>
      </c>
      <c r="AH267" s="6">
        <f t="shared" si="4"/>
        <v>59.880350211995292</v>
      </c>
    </row>
    <row r="268" spans="1:34">
      <c r="A268" t="s">
        <v>649</v>
      </c>
      <c r="B268" t="s">
        <v>650</v>
      </c>
      <c r="C268" s="1">
        <v>45999</v>
      </c>
      <c r="D268" s="1">
        <v>46000</v>
      </c>
      <c r="E268" s="1">
        <v>46024</v>
      </c>
      <c r="F268" t="s">
        <v>53</v>
      </c>
      <c r="G268" t="s">
        <v>54</v>
      </c>
      <c r="H268" t="s">
        <v>55</v>
      </c>
      <c r="I268" t="s">
        <v>40</v>
      </c>
      <c r="J268" t="s">
        <v>87</v>
      </c>
      <c r="K268" t="s">
        <v>41</v>
      </c>
      <c r="L268" t="s">
        <v>124</v>
      </c>
      <c r="M268" t="s">
        <v>68</v>
      </c>
      <c r="N268">
        <v>4</v>
      </c>
      <c r="O268" t="s">
        <v>89</v>
      </c>
      <c r="P268" s="48">
        <v>79200.61</v>
      </c>
      <c r="Q268" s="48">
        <v>16738.27</v>
      </c>
      <c r="R268" s="48">
        <v>5837.13</v>
      </c>
      <c r="S268" s="48">
        <v>1888.1</v>
      </c>
      <c r="T268" s="48">
        <v>792.01</v>
      </c>
      <c r="U268" s="48">
        <v>420.46</v>
      </c>
      <c r="V268" s="48">
        <v>1323.13</v>
      </c>
      <c r="W268" s="48">
        <v>52201.51</v>
      </c>
      <c r="X268">
        <v>48</v>
      </c>
      <c r="Y268" t="s">
        <v>112</v>
      </c>
      <c r="Z268">
        <v>139.49</v>
      </c>
      <c r="AA268" t="s">
        <v>91</v>
      </c>
      <c r="AB268" t="s">
        <v>92</v>
      </c>
      <c r="AC268" t="s">
        <v>48</v>
      </c>
      <c r="AD268" t="s">
        <v>49</v>
      </c>
      <c r="AE268" t="s">
        <v>102</v>
      </c>
      <c r="AF268" s="5">
        <f>DATE(YEAR(C268),MONTH(C268),1)</f>
        <v>45992</v>
      </c>
      <c r="AG268">
        <f>E268-D268</f>
        <v>24</v>
      </c>
      <c r="AH268" s="6">
        <f t="shared" si="4"/>
        <v>65.910489830823266</v>
      </c>
    </row>
    <row r="269" spans="1:34">
      <c r="A269" t="s">
        <v>651</v>
      </c>
      <c r="B269" t="s">
        <v>652</v>
      </c>
      <c r="C269" s="1">
        <v>45677</v>
      </c>
      <c r="D269" s="1">
        <v>45681</v>
      </c>
      <c r="E269" s="1">
        <v>45695</v>
      </c>
      <c r="F269" t="s">
        <v>53</v>
      </c>
      <c r="G269" t="s">
        <v>54</v>
      </c>
      <c r="H269" t="s">
        <v>55</v>
      </c>
      <c r="I269" t="s">
        <v>115</v>
      </c>
      <c r="J269" t="s">
        <v>56</v>
      </c>
      <c r="K269" t="s">
        <v>41</v>
      </c>
      <c r="L269" t="s">
        <v>116</v>
      </c>
      <c r="M269" t="s">
        <v>43</v>
      </c>
      <c r="N269">
        <v>2</v>
      </c>
      <c r="O269" t="s">
        <v>54</v>
      </c>
      <c r="P269" s="48">
        <v>86496.75</v>
      </c>
      <c r="Q269" s="48">
        <v>16729.310000000001</v>
      </c>
      <c r="R269" s="48">
        <v>6421.32</v>
      </c>
      <c r="S269" s="48">
        <v>2090.4699999999998</v>
      </c>
      <c r="T269" s="48">
        <v>864.97</v>
      </c>
      <c r="U269" s="48">
        <v>859.45</v>
      </c>
      <c r="V269" s="48">
        <v>387.99</v>
      </c>
      <c r="W269" s="48">
        <v>59143.24</v>
      </c>
      <c r="X269">
        <v>12</v>
      </c>
      <c r="Y269" t="s">
        <v>135</v>
      </c>
      <c r="Z269">
        <v>139.41</v>
      </c>
      <c r="AA269" t="s">
        <v>91</v>
      </c>
      <c r="AB269" t="s">
        <v>47</v>
      </c>
      <c r="AC269" t="s">
        <v>70</v>
      </c>
      <c r="AD269" t="s">
        <v>144</v>
      </c>
      <c r="AE269" t="s">
        <v>71</v>
      </c>
      <c r="AF269" s="5">
        <f>DATE(YEAR(C269),MONTH(C269),1)</f>
        <v>45658</v>
      </c>
      <c r="AG269">
        <f>E269-D269</f>
        <v>14</v>
      </c>
      <c r="AH269" s="6">
        <f t="shared" si="4"/>
        <v>68.376256911386847</v>
      </c>
    </row>
    <row r="270" spans="1:34">
      <c r="A270" t="s">
        <v>653</v>
      </c>
      <c r="B270" t="s">
        <v>654</v>
      </c>
      <c r="C270" s="1">
        <v>45668</v>
      </c>
      <c r="D270" s="1">
        <v>45671</v>
      </c>
      <c r="E270" s="1">
        <v>45686</v>
      </c>
      <c r="F270" t="s">
        <v>153</v>
      </c>
      <c r="G270" t="s">
        <v>75</v>
      </c>
      <c r="H270" t="s">
        <v>154</v>
      </c>
      <c r="I270" t="s">
        <v>57</v>
      </c>
      <c r="J270" t="s">
        <v>98</v>
      </c>
      <c r="K270" t="s">
        <v>99</v>
      </c>
      <c r="L270" t="s">
        <v>59</v>
      </c>
      <c r="M270" t="s">
        <v>43</v>
      </c>
      <c r="N270">
        <v>4</v>
      </c>
      <c r="O270" t="s">
        <v>111</v>
      </c>
      <c r="P270" s="48">
        <v>65496.68</v>
      </c>
      <c r="Q270" s="48">
        <v>16701.080000000002</v>
      </c>
      <c r="R270" s="48">
        <v>4771.6099999999997</v>
      </c>
      <c r="S270" s="48">
        <v>1736.81</v>
      </c>
      <c r="T270" s="48">
        <v>654.97</v>
      </c>
      <c r="U270" s="48">
        <v>599.92999999999995</v>
      </c>
      <c r="V270" s="48">
        <v>2439.6</v>
      </c>
      <c r="W270" s="48">
        <v>38592.68</v>
      </c>
      <c r="X270">
        <v>0</v>
      </c>
      <c r="Y270" t="s">
        <v>45</v>
      </c>
      <c r="Z270">
        <v>139.18</v>
      </c>
      <c r="AA270" t="s">
        <v>46</v>
      </c>
      <c r="AB270" t="s">
        <v>47</v>
      </c>
      <c r="AC270" t="s">
        <v>60</v>
      </c>
      <c r="AD270" t="s">
        <v>61</v>
      </c>
      <c r="AE270" t="s">
        <v>102</v>
      </c>
      <c r="AF270" s="5">
        <f>DATE(YEAR(C270),MONTH(C270),1)</f>
        <v>45658</v>
      </c>
      <c r="AG270">
        <f>E270-D270</f>
        <v>15</v>
      </c>
      <c r="AH270" s="6">
        <f t="shared" si="4"/>
        <v>58.923108774368416</v>
      </c>
    </row>
    <row r="271" spans="1:34">
      <c r="A271" t="s">
        <v>655</v>
      </c>
      <c r="B271" t="s">
        <v>656</v>
      </c>
      <c r="C271" s="1">
        <v>46008</v>
      </c>
      <c r="D271" s="1">
        <v>46009</v>
      </c>
      <c r="E271" s="1">
        <v>46030</v>
      </c>
      <c r="F271" t="s">
        <v>138</v>
      </c>
      <c r="G271" t="s">
        <v>139</v>
      </c>
      <c r="H271" t="s">
        <v>76</v>
      </c>
      <c r="I271" t="s">
        <v>57</v>
      </c>
      <c r="J271" t="s">
        <v>98</v>
      </c>
      <c r="K271" t="s">
        <v>99</v>
      </c>
      <c r="L271" t="s">
        <v>78</v>
      </c>
      <c r="M271" t="s">
        <v>43</v>
      </c>
      <c r="N271">
        <v>2</v>
      </c>
      <c r="O271" t="s">
        <v>69</v>
      </c>
      <c r="P271" s="48">
        <v>65088.54</v>
      </c>
      <c r="Q271" s="48">
        <v>16649.93</v>
      </c>
      <c r="R271" s="48">
        <v>4056.39</v>
      </c>
      <c r="S271" s="48">
        <v>1890.48</v>
      </c>
      <c r="T271" s="48">
        <v>650.89</v>
      </c>
      <c r="U271" s="48">
        <v>665.48</v>
      </c>
      <c r="V271" s="48">
        <v>1765.68</v>
      </c>
      <c r="W271" s="48">
        <v>39409.69</v>
      </c>
      <c r="X271">
        <v>24</v>
      </c>
      <c r="Y271" t="s">
        <v>117</v>
      </c>
      <c r="Z271">
        <v>138.75</v>
      </c>
      <c r="AA271" t="s">
        <v>91</v>
      </c>
      <c r="AB271" t="s">
        <v>47</v>
      </c>
      <c r="AC271" t="s">
        <v>48</v>
      </c>
      <c r="AD271" t="s">
        <v>130</v>
      </c>
      <c r="AE271" t="s">
        <v>50</v>
      </c>
      <c r="AF271" s="5">
        <f>DATE(YEAR(C271),MONTH(C271),1)</f>
        <v>45992</v>
      </c>
      <c r="AG271">
        <f>E271-D271</f>
        <v>21</v>
      </c>
      <c r="AH271" s="6">
        <f t="shared" si="4"/>
        <v>60.547816866071969</v>
      </c>
    </row>
    <row r="272" spans="1:34">
      <c r="A272" t="s">
        <v>657</v>
      </c>
      <c r="B272" t="s">
        <v>658</v>
      </c>
      <c r="C272" s="1">
        <v>45805</v>
      </c>
      <c r="D272" s="1">
        <v>45809</v>
      </c>
      <c r="E272" s="1">
        <v>45823</v>
      </c>
      <c r="F272" t="s">
        <v>53</v>
      </c>
      <c r="G272" t="s">
        <v>54</v>
      </c>
      <c r="H272" t="s">
        <v>55</v>
      </c>
      <c r="I272" t="s">
        <v>122</v>
      </c>
      <c r="J272" t="s">
        <v>98</v>
      </c>
      <c r="K272" t="s">
        <v>41</v>
      </c>
      <c r="L272" t="s">
        <v>42</v>
      </c>
      <c r="M272" t="s">
        <v>43</v>
      </c>
      <c r="N272">
        <v>2</v>
      </c>
      <c r="O272" t="s">
        <v>80</v>
      </c>
      <c r="P272" s="48">
        <v>62589.4</v>
      </c>
      <c r="Q272" s="48">
        <v>16624.169999999998</v>
      </c>
      <c r="R272" s="48">
        <v>3673.84</v>
      </c>
      <c r="S272" s="48">
        <v>1356.32</v>
      </c>
      <c r="T272" s="48">
        <v>625.89</v>
      </c>
      <c r="U272" s="48">
        <v>522.38</v>
      </c>
      <c r="V272" s="48">
        <v>825.52</v>
      </c>
      <c r="W272" s="48">
        <v>38961.279999999999</v>
      </c>
      <c r="X272">
        <v>36</v>
      </c>
      <c r="Y272" t="s">
        <v>101</v>
      </c>
      <c r="Z272">
        <v>138.53</v>
      </c>
      <c r="AA272" t="s">
        <v>91</v>
      </c>
      <c r="AB272" t="s">
        <v>47</v>
      </c>
      <c r="AC272" t="s">
        <v>70</v>
      </c>
      <c r="AD272" t="s">
        <v>130</v>
      </c>
      <c r="AE272" t="s">
        <v>50</v>
      </c>
      <c r="AF272" s="5">
        <f>DATE(YEAR(C272),MONTH(C272),1)</f>
        <v>45778</v>
      </c>
      <c r="AG272">
        <f>E272-D272</f>
        <v>14</v>
      </c>
      <c r="AH272" s="6">
        <f t="shared" si="4"/>
        <v>62.249007020358071</v>
      </c>
    </row>
    <row r="273" spans="1:34">
      <c r="A273" t="s">
        <v>659</v>
      </c>
      <c r="B273" t="s">
        <v>660</v>
      </c>
      <c r="C273" s="1">
        <v>45735</v>
      </c>
      <c r="D273" s="1">
        <v>45739</v>
      </c>
      <c r="E273" s="1">
        <v>45756</v>
      </c>
      <c r="F273" t="s">
        <v>138</v>
      </c>
      <c r="G273" t="s">
        <v>139</v>
      </c>
      <c r="H273" t="s">
        <v>76</v>
      </c>
      <c r="I273" t="s">
        <v>57</v>
      </c>
      <c r="J273" t="s">
        <v>98</v>
      </c>
      <c r="K273" t="s">
        <v>99</v>
      </c>
      <c r="L273" t="s">
        <v>155</v>
      </c>
      <c r="M273" t="s">
        <v>108</v>
      </c>
      <c r="N273">
        <v>4</v>
      </c>
      <c r="O273" t="s">
        <v>69</v>
      </c>
      <c r="P273" s="48">
        <v>103860.67</v>
      </c>
      <c r="Q273" s="48">
        <v>16623.43</v>
      </c>
      <c r="R273" s="48">
        <v>7600.7</v>
      </c>
      <c r="S273" s="48">
        <v>2354.15</v>
      </c>
      <c r="T273" s="48">
        <v>1038.6099999999999</v>
      </c>
      <c r="U273" s="48">
        <v>251.86</v>
      </c>
      <c r="V273" s="48">
        <v>2230.65</v>
      </c>
      <c r="W273" s="48">
        <v>73761.27</v>
      </c>
      <c r="X273">
        <v>0</v>
      </c>
      <c r="Y273" t="s">
        <v>45</v>
      </c>
      <c r="Z273">
        <v>138.53</v>
      </c>
      <c r="AA273" t="s">
        <v>46</v>
      </c>
      <c r="AB273" t="s">
        <v>47</v>
      </c>
      <c r="AC273" t="s">
        <v>48</v>
      </c>
      <c r="AD273" t="s">
        <v>93</v>
      </c>
      <c r="AE273" t="s">
        <v>50</v>
      </c>
      <c r="AF273" s="5">
        <f>DATE(YEAR(C273),MONTH(C273),1)</f>
        <v>45717</v>
      </c>
      <c r="AG273">
        <f>E273-D273</f>
        <v>17</v>
      </c>
      <c r="AH273" s="6">
        <f t="shared" si="4"/>
        <v>71.01944364502944</v>
      </c>
    </row>
    <row r="274" spans="1:34">
      <c r="A274" t="s">
        <v>661</v>
      </c>
      <c r="B274" t="s">
        <v>662</v>
      </c>
      <c r="C274" s="1">
        <v>45682</v>
      </c>
      <c r="D274" s="1">
        <v>45683</v>
      </c>
      <c r="E274" s="1">
        <v>45698</v>
      </c>
      <c r="F274" t="s">
        <v>180</v>
      </c>
      <c r="G274" t="s">
        <v>181</v>
      </c>
      <c r="H274" t="s">
        <v>38</v>
      </c>
      <c r="I274" t="s">
        <v>115</v>
      </c>
      <c r="J274" t="s">
        <v>98</v>
      </c>
      <c r="K274" t="s">
        <v>99</v>
      </c>
      <c r="L274" t="s">
        <v>127</v>
      </c>
      <c r="M274" t="s">
        <v>68</v>
      </c>
      <c r="N274">
        <v>2</v>
      </c>
      <c r="O274" t="s">
        <v>80</v>
      </c>
      <c r="P274" s="48">
        <v>55381.54</v>
      </c>
      <c r="Q274" s="48">
        <v>16612.37</v>
      </c>
      <c r="R274" s="48">
        <v>3590.9</v>
      </c>
      <c r="S274" s="48">
        <v>1093.99</v>
      </c>
      <c r="T274" s="48">
        <v>553.82000000000005</v>
      </c>
      <c r="U274" s="48">
        <v>146.38999999999999</v>
      </c>
      <c r="V274" s="48">
        <v>888.1</v>
      </c>
      <c r="W274" s="48">
        <v>32495.97</v>
      </c>
      <c r="X274">
        <v>48</v>
      </c>
      <c r="Y274" t="s">
        <v>117</v>
      </c>
      <c r="Z274">
        <v>138.44</v>
      </c>
      <c r="AA274" t="s">
        <v>91</v>
      </c>
      <c r="AB274" t="s">
        <v>92</v>
      </c>
      <c r="AC274" t="s">
        <v>48</v>
      </c>
      <c r="AD274" t="s">
        <v>93</v>
      </c>
      <c r="AE274" t="s">
        <v>71</v>
      </c>
      <c r="AF274" s="5">
        <f>DATE(YEAR(C274),MONTH(C274),1)</f>
        <v>45658</v>
      </c>
      <c r="AG274">
        <f>E274-D274</f>
        <v>15</v>
      </c>
      <c r="AH274" s="6">
        <f t="shared" si="4"/>
        <v>58.676537344393097</v>
      </c>
    </row>
    <row r="275" spans="1:34">
      <c r="A275" t="s">
        <v>663</v>
      </c>
      <c r="B275" t="s">
        <v>664</v>
      </c>
      <c r="C275" s="1">
        <v>45749</v>
      </c>
      <c r="D275" s="1">
        <v>45753</v>
      </c>
      <c r="E275" s="1">
        <v>45779</v>
      </c>
      <c r="F275" t="s">
        <v>74</v>
      </c>
      <c r="G275" t="s">
        <v>75</v>
      </c>
      <c r="H275" t="s">
        <v>76</v>
      </c>
      <c r="I275" t="s">
        <v>56</v>
      </c>
      <c r="J275" t="s">
        <v>57</v>
      </c>
      <c r="K275" t="s">
        <v>58</v>
      </c>
      <c r="L275" t="s">
        <v>42</v>
      </c>
      <c r="M275" t="s">
        <v>108</v>
      </c>
      <c r="N275">
        <v>4</v>
      </c>
      <c r="O275" t="s">
        <v>80</v>
      </c>
      <c r="P275" s="48">
        <v>76030.720000000001</v>
      </c>
      <c r="Q275" s="48">
        <v>16607.91</v>
      </c>
      <c r="R275" s="48">
        <v>5584.67</v>
      </c>
      <c r="S275" s="48">
        <v>1065.71</v>
      </c>
      <c r="T275" s="48">
        <v>760.31</v>
      </c>
      <c r="U275" s="48">
        <v>663.37</v>
      </c>
      <c r="V275" s="48">
        <v>1088.5999999999999</v>
      </c>
      <c r="W275" s="48">
        <v>50260.15</v>
      </c>
      <c r="X275">
        <v>48</v>
      </c>
      <c r="Y275" t="s">
        <v>112</v>
      </c>
      <c r="Z275">
        <v>138.4</v>
      </c>
      <c r="AA275" t="s">
        <v>91</v>
      </c>
      <c r="AB275" t="s">
        <v>47</v>
      </c>
      <c r="AC275" t="s">
        <v>48</v>
      </c>
      <c r="AD275" t="s">
        <v>130</v>
      </c>
      <c r="AE275" t="s">
        <v>71</v>
      </c>
      <c r="AF275" s="5">
        <f>DATE(YEAR(C275),MONTH(C275),1)</f>
        <v>45748</v>
      </c>
      <c r="AG275">
        <f>E275-D275</f>
        <v>26</v>
      </c>
      <c r="AH275" s="6">
        <f t="shared" si="4"/>
        <v>66.105055956329224</v>
      </c>
    </row>
    <row r="276" spans="1:34">
      <c r="A276" t="s">
        <v>665</v>
      </c>
      <c r="B276" t="s">
        <v>666</v>
      </c>
      <c r="C276" s="1">
        <v>45912</v>
      </c>
      <c r="D276" s="1">
        <v>45915</v>
      </c>
      <c r="E276" s="1">
        <v>45925</v>
      </c>
      <c r="F276" t="s">
        <v>180</v>
      </c>
      <c r="G276" t="s">
        <v>181</v>
      </c>
      <c r="H276" t="s">
        <v>38</v>
      </c>
      <c r="I276" t="s">
        <v>40</v>
      </c>
      <c r="J276" t="s">
        <v>122</v>
      </c>
      <c r="K276" t="s">
        <v>123</v>
      </c>
      <c r="L276" t="s">
        <v>78</v>
      </c>
      <c r="M276" t="s">
        <v>79</v>
      </c>
      <c r="N276">
        <v>2</v>
      </c>
      <c r="O276" t="s">
        <v>54</v>
      </c>
      <c r="P276" s="48">
        <v>61785.7</v>
      </c>
      <c r="Q276" s="48">
        <v>16600.46</v>
      </c>
      <c r="R276" s="48">
        <v>3087.69</v>
      </c>
      <c r="S276" s="48">
        <v>681.23</v>
      </c>
      <c r="T276" s="48">
        <v>617.86</v>
      </c>
      <c r="U276" s="48">
        <v>702.64</v>
      </c>
      <c r="V276" s="48">
        <v>2386.6</v>
      </c>
      <c r="W276" s="48">
        <v>37709.22</v>
      </c>
      <c r="X276">
        <v>12</v>
      </c>
      <c r="Y276" t="s">
        <v>117</v>
      </c>
      <c r="Z276">
        <v>138.34</v>
      </c>
      <c r="AA276" t="s">
        <v>91</v>
      </c>
      <c r="AB276" t="s">
        <v>92</v>
      </c>
      <c r="AC276" t="s">
        <v>48</v>
      </c>
      <c r="AD276" t="s">
        <v>61</v>
      </c>
      <c r="AE276" t="s">
        <v>50</v>
      </c>
      <c r="AF276" s="5">
        <f>DATE(YEAR(C276),MONTH(C276),1)</f>
        <v>45901</v>
      </c>
      <c r="AG276">
        <f>E276-D276</f>
        <v>10</v>
      </c>
      <c r="AH276" s="6">
        <f t="shared" si="4"/>
        <v>61.032277695324332</v>
      </c>
    </row>
    <row r="277" spans="1:34">
      <c r="A277" t="s">
        <v>667</v>
      </c>
      <c r="B277" t="s">
        <v>668</v>
      </c>
      <c r="C277" s="1">
        <v>45983</v>
      </c>
      <c r="D277" s="1">
        <v>45985</v>
      </c>
      <c r="E277" s="1">
        <v>46002</v>
      </c>
      <c r="F277" t="s">
        <v>74</v>
      </c>
      <c r="G277" t="s">
        <v>75</v>
      </c>
      <c r="H277" t="s">
        <v>76</v>
      </c>
      <c r="I277" t="s">
        <v>56</v>
      </c>
      <c r="J277" t="s">
        <v>57</v>
      </c>
      <c r="K277" t="s">
        <v>41</v>
      </c>
      <c r="L277" t="s">
        <v>155</v>
      </c>
      <c r="M277" t="s">
        <v>108</v>
      </c>
      <c r="N277">
        <v>2</v>
      </c>
      <c r="O277" t="s">
        <v>54</v>
      </c>
      <c r="P277" s="48">
        <v>88414.87</v>
      </c>
      <c r="Q277" s="48">
        <v>16571.39</v>
      </c>
      <c r="R277" s="48">
        <v>4874.37</v>
      </c>
      <c r="S277" s="48">
        <v>2098.39</v>
      </c>
      <c r="T277" s="48">
        <v>884.15</v>
      </c>
      <c r="U277" s="48">
        <v>744.82</v>
      </c>
      <c r="V277" s="48">
        <v>1029.23</v>
      </c>
      <c r="W277" s="48">
        <v>62212.52</v>
      </c>
      <c r="X277">
        <v>0</v>
      </c>
      <c r="Y277" t="s">
        <v>45</v>
      </c>
      <c r="Z277">
        <v>138.09</v>
      </c>
      <c r="AA277" t="s">
        <v>46</v>
      </c>
      <c r="AB277" t="s">
        <v>47</v>
      </c>
      <c r="AC277" t="s">
        <v>60</v>
      </c>
      <c r="AD277" t="s">
        <v>130</v>
      </c>
      <c r="AE277" t="s">
        <v>71</v>
      </c>
      <c r="AF277" s="5">
        <f>DATE(YEAR(C277),MONTH(C277),1)</f>
        <v>45962</v>
      </c>
      <c r="AG277">
        <f>E277-D277</f>
        <v>17</v>
      </c>
      <c r="AH277" s="6">
        <f t="shared" si="4"/>
        <v>70.364317676427063</v>
      </c>
    </row>
    <row r="278" spans="1:34">
      <c r="A278" t="s">
        <v>669</v>
      </c>
      <c r="B278" t="s">
        <v>670</v>
      </c>
      <c r="C278" s="1">
        <v>45701</v>
      </c>
      <c r="D278" s="1">
        <v>45703</v>
      </c>
      <c r="E278" s="1">
        <v>45723</v>
      </c>
      <c r="F278" t="s">
        <v>120</v>
      </c>
      <c r="G278" t="s">
        <v>75</v>
      </c>
      <c r="H278" t="s">
        <v>121</v>
      </c>
      <c r="I278" t="s">
        <v>40</v>
      </c>
      <c r="J278" t="s">
        <v>122</v>
      </c>
      <c r="K278" t="s">
        <v>123</v>
      </c>
      <c r="L278" t="s">
        <v>127</v>
      </c>
      <c r="M278" t="s">
        <v>68</v>
      </c>
      <c r="N278">
        <v>2</v>
      </c>
      <c r="O278" t="s">
        <v>89</v>
      </c>
      <c r="P278" s="48">
        <v>89082.18</v>
      </c>
      <c r="Q278" s="48">
        <v>16548.05</v>
      </c>
      <c r="R278" s="48">
        <v>6660.57</v>
      </c>
      <c r="S278" s="48">
        <v>2521.7600000000002</v>
      </c>
      <c r="T278" s="48">
        <v>890.82</v>
      </c>
      <c r="U278" s="48">
        <v>411.34</v>
      </c>
      <c r="V278" s="48">
        <v>1469.61</v>
      </c>
      <c r="W278" s="48">
        <v>60580.03</v>
      </c>
      <c r="X278">
        <v>8</v>
      </c>
      <c r="Y278" t="s">
        <v>135</v>
      </c>
      <c r="Z278">
        <v>137.9</v>
      </c>
      <c r="AA278" t="s">
        <v>91</v>
      </c>
      <c r="AB278" t="s">
        <v>92</v>
      </c>
      <c r="AC278" t="s">
        <v>60</v>
      </c>
      <c r="AD278" t="s">
        <v>130</v>
      </c>
      <c r="AE278" t="s">
        <v>50</v>
      </c>
      <c r="AF278" s="5">
        <f>DATE(YEAR(C278),MONTH(C278),1)</f>
        <v>45689</v>
      </c>
      <c r="AG278">
        <f>E278-D278</f>
        <v>20</v>
      </c>
      <c r="AH278" s="6">
        <f t="shared" si="4"/>
        <v>68.004655925573445</v>
      </c>
    </row>
    <row r="279" spans="1:34">
      <c r="A279" t="s">
        <v>671</v>
      </c>
      <c r="B279" t="s">
        <v>672</v>
      </c>
      <c r="C279" s="1">
        <v>45904</v>
      </c>
      <c r="D279" s="1">
        <v>45905</v>
      </c>
      <c r="E279" s="1">
        <v>45923</v>
      </c>
      <c r="F279" t="s">
        <v>53</v>
      </c>
      <c r="G279" t="s">
        <v>54</v>
      </c>
      <c r="H279" t="s">
        <v>55</v>
      </c>
      <c r="I279" t="s">
        <v>57</v>
      </c>
      <c r="J279" t="s">
        <v>87</v>
      </c>
      <c r="K279" t="s">
        <v>41</v>
      </c>
      <c r="L279" t="s">
        <v>100</v>
      </c>
      <c r="M279" t="s">
        <v>108</v>
      </c>
      <c r="N279">
        <v>2</v>
      </c>
      <c r="O279" t="s">
        <v>44</v>
      </c>
      <c r="P279" s="48">
        <v>67048.41</v>
      </c>
      <c r="Q279" s="48">
        <v>16525.900000000001</v>
      </c>
      <c r="R279" s="48">
        <v>3877.31</v>
      </c>
      <c r="S279" s="48">
        <v>1050.58</v>
      </c>
      <c r="T279" s="48">
        <v>670.48</v>
      </c>
      <c r="U279" s="48">
        <v>828.01</v>
      </c>
      <c r="V279" s="48">
        <v>1952.37</v>
      </c>
      <c r="W279" s="48">
        <v>42143.76</v>
      </c>
      <c r="X279">
        <v>0</v>
      </c>
      <c r="Y279" t="s">
        <v>45</v>
      </c>
      <c r="Z279">
        <v>137.72</v>
      </c>
      <c r="AA279" t="s">
        <v>46</v>
      </c>
      <c r="AB279" t="s">
        <v>47</v>
      </c>
      <c r="AC279" t="s">
        <v>70</v>
      </c>
      <c r="AD279" t="s">
        <v>49</v>
      </c>
      <c r="AE279" t="s">
        <v>50</v>
      </c>
      <c r="AF279" s="5">
        <f>DATE(YEAR(C279),MONTH(C279),1)</f>
        <v>45901</v>
      </c>
      <c r="AG279">
        <f>E279-D279</f>
        <v>18</v>
      </c>
      <c r="AH279" s="6">
        <f t="shared" si="4"/>
        <v>62.855718726215883</v>
      </c>
    </row>
    <row r="280" spans="1:34">
      <c r="A280" t="s">
        <v>673</v>
      </c>
      <c r="B280" t="s">
        <v>674</v>
      </c>
      <c r="C280" s="1">
        <v>45781</v>
      </c>
      <c r="D280" s="1">
        <v>45782</v>
      </c>
      <c r="E280" s="1">
        <v>45809</v>
      </c>
      <c r="F280" t="s">
        <v>180</v>
      </c>
      <c r="G280" t="s">
        <v>181</v>
      </c>
      <c r="H280" t="s">
        <v>38</v>
      </c>
      <c r="I280" t="s">
        <v>86</v>
      </c>
      <c r="J280" t="s">
        <v>98</v>
      </c>
      <c r="K280" t="s">
        <v>41</v>
      </c>
      <c r="L280" t="s">
        <v>100</v>
      </c>
      <c r="M280" t="s">
        <v>68</v>
      </c>
      <c r="N280">
        <v>2</v>
      </c>
      <c r="O280" t="s">
        <v>111</v>
      </c>
      <c r="P280" s="48">
        <v>75509.86</v>
      </c>
      <c r="Q280" s="48">
        <v>16510.759999999998</v>
      </c>
      <c r="R280" s="48">
        <v>3118.01</v>
      </c>
      <c r="S280" s="48">
        <v>1451.96</v>
      </c>
      <c r="T280" s="48">
        <v>755.1</v>
      </c>
      <c r="U280" s="48">
        <v>811.37</v>
      </c>
      <c r="V280" s="48">
        <v>481.06</v>
      </c>
      <c r="W280" s="48">
        <v>52381.599999999999</v>
      </c>
      <c r="X280">
        <v>0</v>
      </c>
      <c r="Y280" t="s">
        <v>45</v>
      </c>
      <c r="Z280">
        <v>137.59</v>
      </c>
      <c r="AA280" t="s">
        <v>46</v>
      </c>
      <c r="AB280" t="s">
        <v>92</v>
      </c>
      <c r="AC280" t="s">
        <v>60</v>
      </c>
      <c r="AD280" t="s">
        <v>61</v>
      </c>
      <c r="AE280" t="s">
        <v>102</v>
      </c>
      <c r="AF280" s="5">
        <f>DATE(YEAR(C280),MONTH(C280),1)</f>
        <v>45778</v>
      </c>
      <c r="AG280">
        <f>E280-D280</f>
        <v>27</v>
      </c>
      <c r="AH280" s="6">
        <f t="shared" si="4"/>
        <v>69.370543131718165</v>
      </c>
    </row>
    <row r="281" spans="1:34">
      <c r="A281" t="s">
        <v>675</v>
      </c>
      <c r="B281" t="s">
        <v>676</v>
      </c>
      <c r="C281" s="1">
        <v>45776</v>
      </c>
      <c r="D281" s="1">
        <v>45777</v>
      </c>
      <c r="E281" s="1">
        <v>45793</v>
      </c>
      <c r="F281" t="s">
        <v>149</v>
      </c>
      <c r="G281" t="s">
        <v>111</v>
      </c>
      <c r="H281" t="s">
        <v>150</v>
      </c>
      <c r="I281" t="s">
        <v>40</v>
      </c>
      <c r="J281" t="s">
        <v>122</v>
      </c>
      <c r="K281" t="s">
        <v>123</v>
      </c>
      <c r="L281" t="s">
        <v>59</v>
      </c>
      <c r="M281" t="s">
        <v>108</v>
      </c>
      <c r="N281">
        <v>2</v>
      </c>
      <c r="O281" t="s">
        <v>54</v>
      </c>
      <c r="P281" s="48">
        <v>88043.6</v>
      </c>
      <c r="Q281" s="48">
        <v>16411.560000000001</v>
      </c>
      <c r="R281" s="48">
        <v>6524.12</v>
      </c>
      <c r="S281" s="48">
        <v>1395.04</v>
      </c>
      <c r="T281" s="48">
        <v>880.44</v>
      </c>
      <c r="U281" s="48">
        <v>727.45</v>
      </c>
      <c r="V281" s="48">
        <v>406.83</v>
      </c>
      <c r="W281" s="48">
        <v>61698.16</v>
      </c>
      <c r="X281">
        <v>48</v>
      </c>
      <c r="Y281" t="s">
        <v>117</v>
      </c>
      <c r="Z281">
        <v>136.76</v>
      </c>
      <c r="AA281" t="s">
        <v>91</v>
      </c>
      <c r="AB281" t="s">
        <v>92</v>
      </c>
      <c r="AC281" t="s">
        <v>70</v>
      </c>
      <c r="AD281" t="s">
        <v>130</v>
      </c>
      <c r="AE281" t="s">
        <v>71</v>
      </c>
      <c r="AF281" s="5">
        <f>DATE(YEAR(C281),MONTH(C281),1)</f>
        <v>45748</v>
      </c>
      <c r="AG281">
        <f>E281-D281</f>
        <v>16</v>
      </c>
      <c r="AH281" s="6">
        <f t="shared" si="4"/>
        <v>70.076825572784401</v>
      </c>
    </row>
    <row r="282" spans="1:34">
      <c r="A282" t="s">
        <v>677</v>
      </c>
      <c r="B282" t="s">
        <v>678</v>
      </c>
      <c r="C282" s="1">
        <v>45933</v>
      </c>
      <c r="D282" s="1">
        <v>45935</v>
      </c>
      <c r="E282" s="1">
        <v>45955</v>
      </c>
      <c r="F282" t="s">
        <v>180</v>
      </c>
      <c r="G282" t="s">
        <v>181</v>
      </c>
      <c r="H282" t="s">
        <v>38</v>
      </c>
      <c r="I282" t="s">
        <v>56</v>
      </c>
      <c r="J282" t="s">
        <v>57</v>
      </c>
      <c r="K282" t="s">
        <v>58</v>
      </c>
      <c r="L282" t="s">
        <v>155</v>
      </c>
      <c r="M282" t="s">
        <v>108</v>
      </c>
      <c r="N282">
        <v>2</v>
      </c>
      <c r="O282" t="s">
        <v>111</v>
      </c>
      <c r="P282" s="48">
        <v>67189.05</v>
      </c>
      <c r="Q282" s="48">
        <v>16327.3</v>
      </c>
      <c r="R282" s="48">
        <v>3905.56</v>
      </c>
      <c r="S282" s="48">
        <v>848.65</v>
      </c>
      <c r="T282" s="48">
        <v>671.89</v>
      </c>
      <c r="U282" s="48">
        <v>626.51</v>
      </c>
      <c r="V282" s="48">
        <v>1302.54</v>
      </c>
      <c r="W282" s="48">
        <v>43506.6</v>
      </c>
      <c r="X282">
        <v>4</v>
      </c>
      <c r="Y282" t="s">
        <v>135</v>
      </c>
      <c r="Z282">
        <v>136.06</v>
      </c>
      <c r="AA282" t="s">
        <v>91</v>
      </c>
      <c r="AB282" t="s">
        <v>92</v>
      </c>
      <c r="AC282" t="s">
        <v>70</v>
      </c>
      <c r="AD282" t="s">
        <v>144</v>
      </c>
      <c r="AE282" t="s">
        <v>62</v>
      </c>
      <c r="AF282" s="5">
        <f>DATE(YEAR(C282),MONTH(C282),1)</f>
        <v>45931</v>
      </c>
      <c r="AG282">
        <f>E282-D282</f>
        <v>20</v>
      </c>
      <c r="AH282" s="6">
        <f t="shared" si="4"/>
        <v>64.752515476852253</v>
      </c>
    </row>
    <row r="283" spans="1:34">
      <c r="A283" t="s">
        <v>679</v>
      </c>
      <c r="B283" t="s">
        <v>680</v>
      </c>
      <c r="C283" s="1">
        <v>45960</v>
      </c>
      <c r="D283" s="1">
        <v>45962</v>
      </c>
      <c r="E283" s="1">
        <v>45987</v>
      </c>
      <c r="F283" t="s">
        <v>36</v>
      </c>
      <c r="G283" t="s">
        <v>37</v>
      </c>
      <c r="H283" t="s">
        <v>38</v>
      </c>
      <c r="I283" t="s">
        <v>56</v>
      </c>
      <c r="J283" t="s">
        <v>57</v>
      </c>
      <c r="K283" t="s">
        <v>58</v>
      </c>
      <c r="L283" t="s">
        <v>116</v>
      </c>
      <c r="M283" t="s">
        <v>108</v>
      </c>
      <c r="N283">
        <v>4</v>
      </c>
      <c r="O283" t="s">
        <v>111</v>
      </c>
      <c r="P283" s="48">
        <v>57467</v>
      </c>
      <c r="Q283" s="48">
        <v>16306.5</v>
      </c>
      <c r="R283" s="48">
        <v>2680.18</v>
      </c>
      <c r="S283" s="48">
        <v>1414.99</v>
      </c>
      <c r="T283" s="48">
        <v>574.66999999999996</v>
      </c>
      <c r="U283" s="48">
        <v>630.44000000000005</v>
      </c>
      <c r="V283" s="48">
        <v>2361.86</v>
      </c>
      <c r="W283" s="48">
        <v>33498.36</v>
      </c>
      <c r="X283">
        <v>4</v>
      </c>
      <c r="Y283" t="s">
        <v>135</v>
      </c>
      <c r="Z283">
        <v>135.88999999999999</v>
      </c>
      <c r="AA283" t="s">
        <v>91</v>
      </c>
      <c r="AB283" t="s">
        <v>92</v>
      </c>
      <c r="AC283" t="s">
        <v>48</v>
      </c>
      <c r="AD283" t="s">
        <v>130</v>
      </c>
      <c r="AE283" t="s">
        <v>102</v>
      </c>
      <c r="AF283" s="5">
        <f>DATE(YEAR(C283),MONTH(C283),1)</f>
        <v>45931</v>
      </c>
      <c r="AG283">
        <f>E283-D283</f>
        <v>25</v>
      </c>
      <c r="AH283" s="6">
        <f t="shared" si="4"/>
        <v>58.291471627194738</v>
      </c>
    </row>
    <row r="284" spans="1:34">
      <c r="A284" t="s">
        <v>681</v>
      </c>
      <c r="B284" t="s">
        <v>682</v>
      </c>
      <c r="C284" s="1">
        <v>45677</v>
      </c>
      <c r="D284" s="1">
        <v>45680</v>
      </c>
      <c r="E284" s="1">
        <v>45703</v>
      </c>
      <c r="F284" t="s">
        <v>234</v>
      </c>
      <c r="G284" t="s">
        <v>111</v>
      </c>
      <c r="H284" t="s">
        <v>150</v>
      </c>
      <c r="I284" t="s">
        <v>98</v>
      </c>
      <c r="J284" t="s">
        <v>98</v>
      </c>
      <c r="K284" t="s">
        <v>41</v>
      </c>
      <c r="L284" t="s">
        <v>78</v>
      </c>
      <c r="M284" t="s">
        <v>108</v>
      </c>
      <c r="N284">
        <v>4</v>
      </c>
      <c r="O284" t="s">
        <v>80</v>
      </c>
      <c r="P284" s="48">
        <v>76743.81</v>
      </c>
      <c r="Q284" s="48">
        <v>16305.82</v>
      </c>
      <c r="R284" s="48">
        <v>5993.26</v>
      </c>
      <c r="S284" s="48">
        <v>1248.18</v>
      </c>
      <c r="T284" s="48">
        <v>767.44</v>
      </c>
      <c r="U284" s="48">
        <v>388.46</v>
      </c>
      <c r="V284" s="48">
        <v>454.96</v>
      </c>
      <c r="W284" s="48">
        <v>51585.69</v>
      </c>
      <c r="X284">
        <v>0</v>
      </c>
      <c r="Y284" t="s">
        <v>45</v>
      </c>
      <c r="Z284">
        <v>135.88</v>
      </c>
      <c r="AA284" t="s">
        <v>46</v>
      </c>
      <c r="AB284" t="s">
        <v>92</v>
      </c>
      <c r="AC284" t="s">
        <v>48</v>
      </c>
      <c r="AD284" t="s">
        <v>130</v>
      </c>
      <c r="AE284" t="s">
        <v>62</v>
      </c>
      <c r="AF284" s="5">
        <f>DATE(YEAR(C284),MONTH(C284),1)</f>
        <v>45658</v>
      </c>
      <c r="AG284">
        <f>E284-D284</f>
        <v>23</v>
      </c>
      <c r="AH284" s="6">
        <f t="shared" si="4"/>
        <v>67.218046641155809</v>
      </c>
    </row>
    <row r="285" spans="1:34">
      <c r="A285" t="s">
        <v>683</v>
      </c>
      <c r="B285" t="s">
        <v>684</v>
      </c>
      <c r="C285" s="1">
        <v>45736</v>
      </c>
      <c r="D285" s="1">
        <v>45739</v>
      </c>
      <c r="E285" s="1">
        <v>45766</v>
      </c>
      <c r="F285" t="s">
        <v>36</v>
      </c>
      <c r="G285" t="s">
        <v>37</v>
      </c>
      <c r="H285" t="s">
        <v>38</v>
      </c>
      <c r="I285" t="s">
        <v>86</v>
      </c>
      <c r="J285" t="s">
        <v>77</v>
      </c>
      <c r="K285" t="s">
        <v>41</v>
      </c>
      <c r="L285" t="s">
        <v>124</v>
      </c>
      <c r="M285" t="s">
        <v>79</v>
      </c>
      <c r="N285">
        <v>4</v>
      </c>
      <c r="O285" t="s">
        <v>54</v>
      </c>
      <c r="P285" s="48">
        <v>65928.14</v>
      </c>
      <c r="Q285" s="48">
        <v>16189.9</v>
      </c>
      <c r="R285" s="48">
        <v>3275.43</v>
      </c>
      <c r="S285" s="48">
        <v>868.12</v>
      </c>
      <c r="T285" s="48">
        <v>659.28</v>
      </c>
      <c r="U285" s="48">
        <v>600.12</v>
      </c>
      <c r="V285" s="48">
        <v>448.94</v>
      </c>
      <c r="W285" s="48">
        <v>43886.35</v>
      </c>
      <c r="X285">
        <v>0</v>
      </c>
      <c r="Y285" t="s">
        <v>45</v>
      </c>
      <c r="Z285">
        <v>134.91999999999999</v>
      </c>
      <c r="AA285" t="s">
        <v>46</v>
      </c>
      <c r="AB285" t="s">
        <v>92</v>
      </c>
      <c r="AC285" t="s">
        <v>48</v>
      </c>
      <c r="AD285" t="s">
        <v>144</v>
      </c>
      <c r="AE285" t="s">
        <v>62</v>
      </c>
      <c r="AF285" s="5">
        <f>DATE(YEAR(C285),MONTH(C285),1)</f>
        <v>45717</v>
      </c>
      <c r="AG285">
        <f>E285-D285</f>
        <v>27</v>
      </c>
      <c r="AH285" s="6">
        <f t="shared" si="4"/>
        <v>66.566946981971583</v>
      </c>
    </row>
    <row r="286" spans="1:34">
      <c r="A286" t="s">
        <v>685</v>
      </c>
      <c r="B286" t="s">
        <v>686</v>
      </c>
      <c r="C286" s="1">
        <v>45937</v>
      </c>
      <c r="D286" s="1">
        <v>45941</v>
      </c>
      <c r="E286" s="1">
        <v>45966</v>
      </c>
      <c r="F286" t="s">
        <v>65</v>
      </c>
      <c r="G286" t="s">
        <v>66</v>
      </c>
      <c r="H286" t="s">
        <v>67</v>
      </c>
      <c r="I286" t="s">
        <v>56</v>
      </c>
      <c r="J286" t="s">
        <v>57</v>
      </c>
      <c r="K286" t="s">
        <v>58</v>
      </c>
      <c r="L286" t="s">
        <v>100</v>
      </c>
      <c r="M286" t="s">
        <v>68</v>
      </c>
      <c r="N286">
        <v>2</v>
      </c>
      <c r="O286" t="s">
        <v>54</v>
      </c>
      <c r="P286" s="48">
        <v>76330.78</v>
      </c>
      <c r="Q286" s="48">
        <v>16134.07</v>
      </c>
      <c r="R286" s="48">
        <v>4562.47</v>
      </c>
      <c r="S286" s="48">
        <v>1347.54</v>
      </c>
      <c r="T286" s="48">
        <v>763.31</v>
      </c>
      <c r="U286" s="48">
        <v>861.62</v>
      </c>
      <c r="V286" s="48">
        <v>1587.14</v>
      </c>
      <c r="W286" s="48">
        <v>51074.63</v>
      </c>
      <c r="X286">
        <v>48</v>
      </c>
      <c r="Y286" t="s">
        <v>112</v>
      </c>
      <c r="Z286">
        <v>134.44999999999999</v>
      </c>
      <c r="AA286" t="s">
        <v>91</v>
      </c>
      <c r="AB286" t="s">
        <v>92</v>
      </c>
      <c r="AC286" t="s">
        <v>60</v>
      </c>
      <c r="AD286" t="s">
        <v>130</v>
      </c>
      <c r="AE286" t="s">
        <v>62</v>
      </c>
      <c r="AF286" s="5">
        <f>DATE(YEAR(C286),MONTH(C286),1)</f>
        <v>45931</v>
      </c>
      <c r="AG286">
        <f>E286-D286</f>
        <v>25</v>
      </c>
      <c r="AH286" s="6">
        <f t="shared" si="4"/>
        <v>66.912233832799814</v>
      </c>
    </row>
    <row r="287" spans="1:34">
      <c r="A287" t="s">
        <v>687</v>
      </c>
      <c r="B287" t="s">
        <v>688</v>
      </c>
      <c r="C287" s="1">
        <v>45956</v>
      </c>
      <c r="D287" s="1">
        <v>45960</v>
      </c>
      <c r="E287" s="1">
        <v>45983</v>
      </c>
      <c r="F287" t="s">
        <v>83</v>
      </c>
      <c r="G287" t="s">
        <v>84</v>
      </c>
      <c r="H287" t="s">
        <v>85</v>
      </c>
      <c r="I287" t="s">
        <v>40</v>
      </c>
      <c r="J287" t="s">
        <v>122</v>
      </c>
      <c r="K287" t="s">
        <v>123</v>
      </c>
      <c r="L287" t="s">
        <v>42</v>
      </c>
      <c r="M287" t="s">
        <v>79</v>
      </c>
      <c r="N287">
        <v>2</v>
      </c>
      <c r="O287" t="s">
        <v>111</v>
      </c>
      <c r="P287" s="48">
        <v>57783.59</v>
      </c>
      <c r="Q287" s="48">
        <v>16129.49</v>
      </c>
      <c r="R287" s="48">
        <v>4086.69</v>
      </c>
      <c r="S287" s="48">
        <v>652.01</v>
      </c>
      <c r="T287" s="48">
        <v>577.84</v>
      </c>
      <c r="U287" s="48">
        <v>285.82</v>
      </c>
      <c r="V287" s="48">
        <v>391.21</v>
      </c>
      <c r="W287" s="48">
        <v>35660.53</v>
      </c>
      <c r="X287">
        <v>8</v>
      </c>
      <c r="Y287" t="s">
        <v>117</v>
      </c>
      <c r="Z287">
        <v>134.41</v>
      </c>
      <c r="AA287" t="s">
        <v>91</v>
      </c>
      <c r="AB287" t="s">
        <v>92</v>
      </c>
      <c r="AC287" t="s">
        <v>60</v>
      </c>
      <c r="AD287" t="s">
        <v>130</v>
      </c>
      <c r="AE287" t="s">
        <v>50</v>
      </c>
      <c r="AF287" s="5">
        <f>DATE(YEAR(C287),MONTH(C287),1)</f>
        <v>45931</v>
      </c>
      <c r="AG287">
        <f>E287-D287</f>
        <v>23</v>
      </c>
      <c r="AH287" s="6">
        <f t="shared" si="4"/>
        <v>61.713939891931261</v>
      </c>
    </row>
    <row r="288" spans="1:34">
      <c r="A288" t="s">
        <v>689</v>
      </c>
      <c r="B288" t="s">
        <v>690</v>
      </c>
      <c r="C288" s="1">
        <v>45812</v>
      </c>
      <c r="D288" s="1">
        <v>45814</v>
      </c>
      <c r="E288" s="1">
        <v>45841</v>
      </c>
      <c r="F288" t="s">
        <v>65</v>
      </c>
      <c r="G288" t="s">
        <v>66</v>
      </c>
      <c r="H288" t="s">
        <v>67</v>
      </c>
      <c r="I288" t="s">
        <v>56</v>
      </c>
      <c r="J288" t="s">
        <v>57</v>
      </c>
      <c r="K288" t="s">
        <v>58</v>
      </c>
      <c r="L288" t="s">
        <v>59</v>
      </c>
      <c r="M288" t="s">
        <v>68</v>
      </c>
      <c r="N288">
        <v>2</v>
      </c>
      <c r="O288" t="s">
        <v>111</v>
      </c>
      <c r="P288" s="48">
        <v>55893.63</v>
      </c>
      <c r="Q288" s="48">
        <v>16100.29</v>
      </c>
      <c r="R288" s="48">
        <v>3046.56</v>
      </c>
      <c r="S288" s="48">
        <v>846.25</v>
      </c>
      <c r="T288" s="48">
        <v>558.94000000000005</v>
      </c>
      <c r="U288" s="48">
        <v>184.19</v>
      </c>
      <c r="V288" s="48">
        <v>1019.62</v>
      </c>
      <c r="W288" s="48">
        <v>34137.78</v>
      </c>
      <c r="X288">
        <v>0</v>
      </c>
      <c r="Y288" t="s">
        <v>45</v>
      </c>
      <c r="Z288">
        <v>134.16999999999999</v>
      </c>
      <c r="AA288" t="s">
        <v>46</v>
      </c>
      <c r="AB288" t="s">
        <v>47</v>
      </c>
      <c r="AC288" t="s">
        <v>48</v>
      </c>
      <c r="AD288" t="s">
        <v>61</v>
      </c>
      <c r="AE288" t="s">
        <v>102</v>
      </c>
      <c r="AF288" s="5">
        <f>DATE(YEAR(C288),MONTH(C288),1)</f>
        <v>45809</v>
      </c>
      <c r="AG288">
        <f>E288-D288</f>
        <v>27</v>
      </c>
      <c r="AH288" s="6">
        <f t="shared" si="4"/>
        <v>61.076333743219038</v>
      </c>
    </row>
    <row r="289" spans="1:34">
      <c r="A289" t="s">
        <v>691</v>
      </c>
      <c r="B289" t="s">
        <v>692</v>
      </c>
      <c r="C289" s="1">
        <v>45797</v>
      </c>
      <c r="D289" s="1">
        <v>45801</v>
      </c>
      <c r="E289" s="1">
        <v>45819</v>
      </c>
      <c r="F289" t="s">
        <v>153</v>
      </c>
      <c r="G289" t="s">
        <v>75</v>
      </c>
      <c r="H289" t="s">
        <v>154</v>
      </c>
      <c r="I289" t="s">
        <v>40</v>
      </c>
      <c r="J289" t="s">
        <v>122</v>
      </c>
      <c r="K289" t="s">
        <v>123</v>
      </c>
      <c r="L289" t="s">
        <v>42</v>
      </c>
      <c r="M289" t="s">
        <v>68</v>
      </c>
      <c r="N289">
        <v>2</v>
      </c>
      <c r="O289" t="s">
        <v>111</v>
      </c>
      <c r="P289" s="48">
        <v>67143.350000000006</v>
      </c>
      <c r="Q289" s="48">
        <v>16037.09</v>
      </c>
      <c r="R289" s="48">
        <v>4735.67</v>
      </c>
      <c r="S289" s="48">
        <v>921.94</v>
      </c>
      <c r="T289" s="48">
        <v>671.43</v>
      </c>
      <c r="U289" s="48">
        <v>138.58000000000001</v>
      </c>
      <c r="V289" s="48">
        <v>2037.73</v>
      </c>
      <c r="W289" s="48">
        <v>42600.91</v>
      </c>
      <c r="X289">
        <v>0</v>
      </c>
      <c r="Y289" t="s">
        <v>45</v>
      </c>
      <c r="Z289">
        <v>133.63999999999999</v>
      </c>
      <c r="AA289" t="s">
        <v>46</v>
      </c>
      <c r="AB289" t="s">
        <v>92</v>
      </c>
      <c r="AC289" t="s">
        <v>48</v>
      </c>
      <c r="AD289" t="s">
        <v>61</v>
      </c>
      <c r="AE289" t="s">
        <v>50</v>
      </c>
      <c r="AF289" s="5">
        <f>DATE(YEAR(C289),MONTH(C289),1)</f>
        <v>45778</v>
      </c>
      <c r="AG289">
        <f>E289-D289</f>
        <v>18</v>
      </c>
      <c r="AH289" s="6">
        <f t="shared" si="4"/>
        <v>63.447698096684178</v>
      </c>
    </row>
    <row r="290" spans="1:34">
      <c r="A290" t="s">
        <v>693</v>
      </c>
      <c r="B290" t="s">
        <v>694</v>
      </c>
      <c r="C290" s="1">
        <v>46020</v>
      </c>
      <c r="D290" s="1">
        <v>46022</v>
      </c>
      <c r="E290" s="1">
        <v>46038</v>
      </c>
      <c r="F290" t="s">
        <v>74</v>
      </c>
      <c r="G290" t="s">
        <v>75</v>
      </c>
      <c r="H290" t="s">
        <v>76</v>
      </c>
      <c r="I290" t="s">
        <v>87</v>
      </c>
      <c r="J290" t="s">
        <v>115</v>
      </c>
      <c r="K290" t="s">
        <v>41</v>
      </c>
      <c r="L290" t="s">
        <v>127</v>
      </c>
      <c r="M290" t="s">
        <v>79</v>
      </c>
      <c r="N290">
        <v>2</v>
      </c>
      <c r="O290" t="s">
        <v>89</v>
      </c>
      <c r="P290" s="48">
        <v>53642.01</v>
      </c>
      <c r="Q290" s="48">
        <v>16016.51</v>
      </c>
      <c r="R290" s="48">
        <v>2360.88</v>
      </c>
      <c r="S290" s="48">
        <v>1501.92</v>
      </c>
      <c r="T290" s="48">
        <v>536.41999999999996</v>
      </c>
      <c r="U290" s="48">
        <v>254.52</v>
      </c>
      <c r="V290" s="48">
        <v>1241.27</v>
      </c>
      <c r="W290" s="48">
        <v>31730.49</v>
      </c>
      <c r="X290">
        <v>24</v>
      </c>
      <c r="Y290" t="s">
        <v>90</v>
      </c>
      <c r="Z290">
        <v>133.47</v>
      </c>
      <c r="AA290" t="s">
        <v>91</v>
      </c>
      <c r="AB290" t="s">
        <v>92</v>
      </c>
      <c r="AC290" t="s">
        <v>60</v>
      </c>
      <c r="AD290" t="s">
        <v>130</v>
      </c>
      <c r="AE290" t="s">
        <v>50</v>
      </c>
      <c r="AF290" s="5">
        <f>DATE(YEAR(C290),MONTH(C290),1)</f>
        <v>45992</v>
      </c>
      <c r="AG290">
        <f>E290-D290</f>
        <v>16</v>
      </c>
      <c r="AH290" s="6">
        <f t="shared" si="4"/>
        <v>59.152313643728114</v>
      </c>
    </row>
    <row r="291" spans="1:34">
      <c r="A291" t="s">
        <v>695</v>
      </c>
      <c r="B291" t="s">
        <v>696</v>
      </c>
      <c r="C291" s="1">
        <v>45731</v>
      </c>
      <c r="D291" s="1">
        <v>45733</v>
      </c>
      <c r="E291" s="1">
        <v>45743</v>
      </c>
      <c r="F291" t="s">
        <v>180</v>
      </c>
      <c r="G291" t="s">
        <v>181</v>
      </c>
      <c r="H291" t="s">
        <v>38</v>
      </c>
      <c r="I291" t="s">
        <v>57</v>
      </c>
      <c r="J291" t="s">
        <v>98</v>
      </c>
      <c r="K291" t="s">
        <v>99</v>
      </c>
      <c r="L291" t="s">
        <v>42</v>
      </c>
      <c r="M291" t="s">
        <v>43</v>
      </c>
      <c r="N291">
        <v>2</v>
      </c>
      <c r="O291" t="s">
        <v>54</v>
      </c>
      <c r="P291" s="48">
        <v>83184.7</v>
      </c>
      <c r="Q291" s="48">
        <v>15965.74</v>
      </c>
      <c r="R291" s="48">
        <v>6552.62</v>
      </c>
      <c r="S291" s="48">
        <v>2193.11</v>
      </c>
      <c r="T291" s="48">
        <v>831.85</v>
      </c>
      <c r="U291" s="48">
        <v>642.91999999999996</v>
      </c>
      <c r="V291" s="48">
        <v>1152.6500000000001</v>
      </c>
      <c r="W291" s="48">
        <v>55845.81</v>
      </c>
      <c r="X291">
        <v>4</v>
      </c>
      <c r="Y291" t="s">
        <v>135</v>
      </c>
      <c r="Z291">
        <v>133.05000000000001</v>
      </c>
      <c r="AA291" t="s">
        <v>91</v>
      </c>
      <c r="AB291" t="s">
        <v>47</v>
      </c>
      <c r="AC291" t="s">
        <v>60</v>
      </c>
      <c r="AD291" t="s">
        <v>144</v>
      </c>
      <c r="AE291" t="s">
        <v>50</v>
      </c>
      <c r="AF291" s="5">
        <f>DATE(YEAR(C291),MONTH(C291),1)</f>
        <v>45717</v>
      </c>
      <c r="AG291">
        <f>E291-D291</f>
        <v>10</v>
      </c>
      <c r="AH291" s="6">
        <f t="shared" si="4"/>
        <v>67.134713474953926</v>
      </c>
    </row>
    <row r="292" spans="1:34">
      <c r="A292" t="s">
        <v>697</v>
      </c>
      <c r="B292" t="s">
        <v>698</v>
      </c>
      <c r="C292" s="1">
        <v>45972</v>
      </c>
      <c r="D292" s="1">
        <v>45975</v>
      </c>
      <c r="E292" s="1">
        <v>45996</v>
      </c>
      <c r="F292" t="s">
        <v>234</v>
      </c>
      <c r="G292" t="s">
        <v>111</v>
      </c>
      <c r="H292" t="s">
        <v>150</v>
      </c>
      <c r="I292" t="s">
        <v>87</v>
      </c>
      <c r="J292" t="s">
        <v>39</v>
      </c>
      <c r="K292" t="s">
        <v>41</v>
      </c>
      <c r="L292" t="s">
        <v>124</v>
      </c>
      <c r="M292" t="s">
        <v>79</v>
      </c>
      <c r="N292">
        <v>2</v>
      </c>
      <c r="O292" t="s">
        <v>44</v>
      </c>
      <c r="P292" s="48">
        <v>54519.83</v>
      </c>
      <c r="Q292" s="48">
        <v>15949.51</v>
      </c>
      <c r="R292" s="48">
        <v>2942.11</v>
      </c>
      <c r="S292" s="48">
        <v>1008.44</v>
      </c>
      <c r="T292" s="48">
        <v>545.20000000000005</v>
      </c>
      <c r="U292" s="48">
        <v>877.32</v>
      </c>
      <c r="V292" s="48">
        <v>1839.95</v>
      </c>
      <c r="W292" s="48">
        <v>31357.3</v>
      </c>
      <c r="X292">
        <v>48</v>
      </c>
      <c r="Y292" t="s">
        <v>101</v>
      </c>
      <c r="Z292">
        <v>132.91</v>
      </c>
      <c r="AA292" t="s">
        <v>91</v>
      </c>
      <c r="AB292" t="s">
        <v>47</v>
      </c>
      <c r="AC292" t="s">
        <v>60</v>
      </c>
      <c r="AD292" t="s">
        <v>130</v>
      </c>
      <c r="AE292" t="s">
        <v>62</v>
      </c>
      <c r="AF292" s="5">
        <f>DATE(YEAR(C292),MONTH(C292),1)</f>
        <v>45962</v>
      </c>
      <c r="AG292">
        <f>E292-D292</f>
        <v>21</v>
      </c>
      <c r="AH292" s="6">
        <f t="shared" si="4"/>
        <v>57.515403111124883</v>
      </c>
    </row>
    <row r="293" spans="1:34">
      <c r="A293" t="s">
        <v>699</v>
      </c>
      <c r="B293" t="s">
        <v>700</v>
      </c>
      <c r="C293" s="1">
        <v>45682</v>
      </c>
      <c r="D293" s="1">
        <v>45685</v>
      </c>
      <c r="E293" s="1">
        <v>45708</v>
      </c>
      <c r="F293" t="s">
        <v>96</v>
      </c>
      <c r="G293" t="s">
        <v>97</v>
      </c>
      <c r="H293" t="s">
        <v>76</v>
      </c>
      <c r="I293" t="s">
        <v>115</v>
      </c>
      <c r="J293" t="s">
        <v>98</v>
      </c>
      <c r="K293" t="s">
        <v>99</v>
      </c>
      <c r="L293" t="s">
        <v>116</v>
      </c>
      <c r="M293" t="s">
        <v>79</v>
      </c>
      <c r="N293">
        <v>2</v>
      </c>
      <c r="O293" t="s">
        <v>69</v>
      </c>
      <c r="P293" s="48">
        <v>70497.63</v>
      </c>
      <c r="Q293" s="48">
        <v>15918.07</v>
      </c>
      <c r="R293" s="48">
        <v>5083.54</v>
      </c>
      <c r="S293" s="48">
        <v>1251.03</v>
      </c>
      <c r="T293" s="48">
        <v>704.98</v>
      </c>
      <c r="U293" s="48">
        <v>502.47</v>
      </c>
      <c r="V293" s="48">
        <v>1985.67</v>
      </c>
      <c r="W293" s="48">
        <v>45051.87</v>
      </c>
      <c r="X293">
        <v>12</v>
      </c>
      <c r="Y293" t="s">
        <v>117</v>
      </c>
      <c r="Z293">
        <v>132.65</v>
      </c>
      <c r="AA293" t="s">
        <v>91</v>
      </c>
      <c r="AB293" t="s">
        <v>92</v>
      </c>
      <c r="AC293" t="s">
        <v>48</v>
      </c>
      <c r="AD293" t="s">
        <v>144</v>
      </c>
      <c r="AE293" t="s">
        <v>102</v>
      </c>
      <c r="AF293" s="5">
        <f>DATE(YEAR(C293),MONTH(C293),1)</f>
        <v>45658</v>
      </c>
      <c r="AG293">
        <f>E293-D293</f>
        <v>23</v>
      </c>
      <c r="AH293" s="6">
        <f t="shared" si="4"/>
        <v>63.905510015017533</v>
      </c>
    </row>
    <row r="294" spans="1:34">
      <c r="A294" t="s">
        <v>701</v>
      </c>
      <c r="B294" t="s">
        <v>702</v>
      </c>
      <c r="C294" s="1">
        <v>45820</v>
      </c>
      <c r="D294" s="1">
        <v>45823</v>
      </c>
      <c r="E294" s="1">
        <v>45850</v>
      </c>
      <c r="F294" t="s">
        <v>74</v>
      </c>
      <c r="G294" t="s">
        <v>75</v>
      </c>
      <c r="H294" t="s">
        <v>76</v>
      </c>
      <c r="I294" t="s">
        <v>57</v>
      </c>
      <c r="J294" t="s">
        <v>98</v>
      </c>
      <c r="K294" t="s">
        <v>99</v>
      </c>
      <c r="L294" t="s">
        <v>124</v>
      </c>
      <c r="M294" t="s">
        <v>79</v>
      </c>
      <c r="N294">
        <v>4</v>
      </c>
      <c r="O294" t="s">
        <v>69</v>
      </c>
      <c r="P294" s="48">
        <v>93543.98</v>
      </c>
      <c r="Q294" s="48">
        <v>15902.84</v>
      </c>
      <c r="R294" s="48">
        <v>4380.58</v>
      </c>
      <c r="S294" s="48">
        <v>2731.19</v>
      </c>
      <c r="T294" s="48">
        <v>935.44</v>
      </c>
      <c r="U294" s="48">
        <v>430.36</v>
      </c>
      <c r="V294" s="48">
        <v>634.16999999999996</v>
      </c>
      <c r="W294" s="48">
        <v>68529.399999999994</v>
      </c>
      <c r="X294">
        <v>36</v>
      </c>
      <c r="Y294" t="s">
        <v>117</v>
      </c>
      <c r="Z294">
        <v>132.52000000000001</v>
      </c>
      <c r="AA294" t="s">
        <v>91</v>
      </c>
      <c r="AB294" t="s">
        <v>47</v>
      </c>
      <c r="AC294" t="s">
        <v>60</v>
      </c>
      <c r="AD294" t="s">
        <v>130</v>
      </c>
      <c r="AE294" t="s">
        <v>71</v>
      </c>
      <c r="AF294" s="5">
        <f>DATE(YEAR(C294),MONTH(C294),1)</f>
        <v>45809</v>
      </c>
      <c r="AG294">
        <f>E294-D294</f>
        <v>27</v>
      </c>
      <c r="AH294" s="6">
        <f t="shared" si="4"/>
        <v>73.259016774783376</v>
      </c>
    </row>
    <row r="295" spans="1:34">
      <c r="A295" t="s">
        <v>703</v>
      </c>
      <c r="B295" t="s">
        <v>704</v>
      </c>
      <c r="C295" s="1">
        <v>45786</v>
      </c>
      <c r="D295" s="1">
        <v>45788</v>
      </c>
      <c r="E295" s="1">
        <v>45809</v>
      </c>
      <c r="F295" t="s">
        <v>180</v>
      </c>
      <c r="G295" t="s">
        <v>181</v>
      </c>
      <c r="H295" t="s">
        <v>38</v>
      </c>
      <c r="I295" t="s">
        <v>115</v>
      </c>
      <c r="J295" t="s">
        <v>98</v>
      </c>
      <c r="K295" t="s">
        <v>99</v>
      </c>
      <c r="L295" t="s">
        <v>127</v>
      </c>
      <c r="M295" t="s">
        <v>108</v>
      </c>
      <c r="N295">
        <v>2</v>
      </c>
      <c r="O295" t="s">
        <v>54</v>
      </c>
      <c r="P295" s="48">
        <v>64360.94</v>
      </c>
      <c r="Q295" s="48">
        <v>15893.22</v>
      </c>
      <c r="R295" s="48">
        <v>3552.86</v>
      </c>
      <c r="S295" s="48">
        <v>646.03</v>
      </c>
      <c r="T295" s="48">
        <v>643.61</v>
      </c>
      <c r="U295" s="48">
        <v>139.08000000000001</v>
      </c>
      <c r="V295" s="48">
        <v>1785.92</v>
      </c>
      <c r="W295" s="48">
        <v>41700.22</v>
      </c>
      <c r="X295">
        <v>48</v>
      </c>
      <c r="Y295" t="s">
        <v>117</v>
      </c>
      <c r="Z295">
        <v>132.44</v>
      </c>
      <c r="AA295" t="s">
        <v>91</v>
      </c>
      <c r="AB295" t="s">
        <v>92</v>
      </c>
      <c r="AC295" t="s">
        <v>48</v>
      </c>
      <c r="AD295" t="s">
        <v>130</v>
      </c>
      <c r="AE295" t="s">
        <v>102</v>
      </c>
      <c r="AF295" s="5">
        <f>DATE(YEAR(C295),MONTH(C295),1)</f>
        <v>45778</v>
      </c>
      <c r="AG295">
        <f>E295-D295</f>
        <v>21</v>
      </c>
      <c r="AH295" s="6">
        <f t="shared" si="4"/>
        <v>64.791191676193677</v>
      </c>
    </row>
    <row r="296" spans="1:34">
      <c r="A296" t="s">
        <v>705</v>
      </c>
      <c r="B296" t="s">
        <v>706</v>
      </c>
      <c r="C296" s="1">
        <v>45759</v>
      </c>
      <c r="D296" s="1">
        <v>45761</v>
      </c>
      <c r="E296" s="1">
        <v>45781</v>
      </c>
      <c r="F296" t="s">
        <v>65</v>
      </c>
      <c r="G296" t="s">
        <v>66</v>
      </c>
      <c r="H296" t="s">
        <v>67</v>
      </c>
      <c r="I296" t="s">
        <v>40</v>
      </c>
      <c r="J296" t="s">
        <v>98</v>
      </c>
      <c r="K296" t="s">
        <v>41</v>
      </c>
      <c r="L296" t="s">
        <v>155</v>
      </c>
      <c r="M296" t="s">
        <v>43</v>
      </c>
      <c r="N296">
        <v>2</v>
      </c>
      <c r="O296" t="s">
        <v>89</v>
      </c>
      <c r="P296" s="48">
        <v>68111.759999999995</v>
      </c>
      <c r="Q296" s="48">
        <v>15887.62</v>
      </c>
      <c r="R296" s="48">
        <v>4228.3100000000004</v>
      </c>
      <c r="S296" s="48">
        <v>1675.96</v>
      </c>
      <c r="T296" s="48">
        <v>681.12</v>
      </c>
      <c r="U296" s="48">
        <v>805.68</v>
      </c>
      <c r="V296" s="48">
        <v>2013.66</v>
      </c>
      <c r="W296" s="48">
        <v>42819.41</v>
      </c>
      <c r="X296">
        <v>0</v>
      </c>
      <c r="Y296" t="s">
        <v>45</v>
      </c>
      <c r="Z296">
        <v>132.4</v>
      </c>
      <c r="AA296" t="s">
        <v>46</v>
      </c>
      <c r="AB296" t="s">
        <v>47</v>
      </c>
      <c r="AC296" t="s">
        <v>70</v>
      </c>
      <c r="AD296" t="s">
        <v>130</v>
      </c>
      <c r="AE296" t="s">
        <v>50</v>
      </c>
      <c r="AF296" s="5">
        <f>DATE(YEAR(C296),MONTH(C296),1)</f>
        <v>45748</v>
      </c>
      <c r="AG296">
        <f>E296-D296</f>
        <v>20</v>
      </c>
      <c r="AH296" s="6">
        <f t="shared" si="4"/>
        <v>62.866397814415606</v>
      </c>
    </row>
    <row r="297" spans="1:34">
      <c r="A297" t="s">
        <v>707</v>
      </c>
      <c r="B297" t="s">
        <v>708</v>
      </c>
      <c r="C297" s="1">
        <v>45721</v>
      </c>
      <c r="D297" s="1">
        <v>45725</v>
      </c>
      <c r="E297" s="1">
        <v>45753</v>
      </c>
      <c r="F297" t="s">
        <v>96</v>
      </c>
      <c r="G297" t="s">
        <v>97</v>
      </c>
      <c r="H297" t="s">
        <v>76</v>
      </c>
      <c r="I297" t="s">
        <v>56</v>
      </c>
      <c r="J297" t="s">
        <v>57</v>
      </c>
      <c r="K297" t="s">
        <v>58</v>
      </c>
      <c r="L297" t="s">
        <v>100</v>
      </c>
      <c r="M297" t="s">
        <v>79</v>
      </c>
      <c r="N297">
        <v>2</v>
      </c>
      <c r="O297" t="s">
        <v>111</v>
      </c>
      <c r="P297" s="48">
        <v>76576.05</v>
      </c>
      <c r="Q297" s="48">
        <v>15870.21</v>
      </c>
      <c r="R297" s="48">
        <v>3629.17</v>
      </c>
      <c r="S297" s="48">
        <v>1614.71</v>
      </c>
      <c r="T297" s="48">
        <v>765.76</v>
      </c>
      <c r="U297" s="48">
        <v>122.76</v>
      </c>
      <c r="V297" s="48">
        <v>1105.73</v>
      </c>
      <c r="W297" s="48">
        <v>53467.71</v>
      </c>
      <c r="X297">
        <v>0</v>
      </c>
      <c r="Y297" t="s">
        <v>45</v>
      </c>
      <c r="Z297">
        <v>132.25</v>
      </c>
      <c r="AA297" t="s">
        <v>46</v>
      </c>
      <c r="AB297" t="s">
        <v>92</v>
      </c>
      <c r="AC297" t="s">
        <v>48</v>
      </c>
      <c r="AD297" t="s">
        <v>61</v>
      </c>
      <c r="AE297" t="s">
        <v>62</v>
      </c>
      <c r="AF297" s="5">
        <f>DATE(YEAR(C297),MONTH(C297),1)</f>
        <v>45717</v>
      </c>
      <c r="AG297">
        <f>E297-D297</f>
        <v>28</v>
      </c>
      <c r="AH297" s="6">
        <f t="shared" si="4"/>
        <v>69.823019077113528</v>
      </c>
    </row>
    <row r="298" spans="1:34">
      <c r="A298" t="s">
        <v>709</v>
      </c>
      <c r="B298" t="s">
        <v>710</v>
      </c>
      <c r="C298" s="1">
        <v>45752</v>
      </c>
      <c r="D298" s="1">
        <v>45755</v>
      </c>
      <c r="E298" s="1">
        <v>45770</v>
      </c>
      <c r="F298" t="s">
        <v>65</v>
      </c>
      <c r="G298" t="s">
        <v>66</v>
      </c>
      <c r="H298" t="s">
        <v>67</v>
      </c>
      <c r="I298" t="s">
        <v>56</v>
      </c>
      <c r="J298" t="s">
        <v>57</v>
      </c>
      <c r="K298" t="s">
        <v>58</v>
      </c>
      <c r="L298" t="s">
        <v>127</v>
      </c>
      <c r="M298" t="s">
        <v>68</v>
      </c>
      <c r="N298">
        <v>4</v>
      </c>
      <c r="O298" t="s">
        <v>111</v>
      </c>
      <c r="P298" s="48">
        <v>80955</v>
      </c>
      <c r="Q298" s="48">
        <v>15849.94</v>
      </c>
      <c r="R298" s="48">
        <v>6313.18</v>
      </c>
      <c r="S298" s="48">
        <v>2286.7800000000002</v>
      </c>
      <c r="T298" s="48">
        <v>809.55</v>
      </c>
      <c r="U298" s="48">
        <v>251.47</v>
      </c>
      <c r="V298" s="48">
        <v>835.79</v>
      </c>
      <c r="W298" s="48">
        <v>54608.29</v>
      </c>
      <c r="X298">
        <v>0</v>
      </c>
      <c r="Y298" t="s">
        <v>45</v>
      </c>
      <c r="Z298">
        <v>132.08000000000001</v>
      </c>
      <c r="AA298" t="s">
        <v>46</v>
      </c>
      <c r="AB298" t="s">
        <v>47</v>
      </c>
      <c r="AC298" t="s">
        <v>48</v>
      </c>
      <c r="AD298" t="s">
        <v>144</v>
      </c>
      <c r="AE298" t="s">
        <v>62</v>
      </c>
      <c r="AF298" s="5">
        <f>DATE(YEAR(C298),MONTH(C298),1)</f>
        <v>45748</v>
      </c>
      <c r="AG298">
        <f>E298-D298</f>
        <v>15</v>
      </c>
      <c r="AH298" s="6">
        <f t="shared" si="4"/>
        <v>67.455117040331046</v>
      </c>
    </row>
    <row r="299" spans="1:34">
      <c r="A299" t="s">
        <v>711</v>
      </c>
      <c r="B299" t="s">
        <v>712</v>
      </c>
      <c r="C299" s="1">
        <v>45688</v>
      </c>
      <c r="D299" s="1">
        <v>45689</v>
      </c>
      <c r="E299" s="1">
        <v>45701</v>
      </c>
      <c r="F299" t="s">
        <v>149</v>
      </c>
      <c r="G299" t="s">
        <v>111</v>
      </c>
      <c r="H299" t="s">
        <v>150</v>
      </c>
      <c r="I299" t="s">
        <v>115</v>
      </c>
      <c r="J299" t="s">
        <v>98</v>
      </c>
      <c r="K299" t="s">
        <v>99</v>
      </c>
      <c r="L299" t="s">
        <v>127</v>
      </c>
      <c r="M299" t="s">
        <v>68</v>
      </c>
      <c r="N299">
        <v>2</v>
      </c>
      <c r="O299" t="s">
        <v>69</v>
      </c>
      <c r="P299" s="48">
        <v>71417.33</v>
      </c>
      <c r="Q299" s="48">
        <v>15842.12</v>
      </c>
      <c r="R299" s="48">
        <v>4335.12</v>
      </c>
      <c r="S299" s="48">
        <v>1763.56</v>
      </c>
      <c r="T299" s="48">
        <v>714.17</v>
      </c>
      <c r="U299" s="48">
        <v>808.02</v>
      </c>
      <c r="V299" s="48">
        <v>893.5</v>
      </c>
      <c r="W299" s="48">
        <v>47060.84</v>
      </c>
      <c r="X299">
        <v>0</v>
      </c>
      <c r="Y299" t="s">
        <v>45</v>
      </c>
      <c r="Z299">
        <v>132.02000000000001</v>
      </c>
      <c r="AA299" t="s">
        <v>46</v>
      </c>
      <c r="AB299" t="s">
        <v>92</v>
      </c>
      <c r="AC299" t="s">
        <v>60</v>
      </c>
      <c r="AD299" t="s">
        <v>144</v>
      </c>
      <c r="AE299" t="s">
        <v>50</v>
      </c>
      <c r="AF299" s="5">
        <f>DATE(YEAR(C299),MONTH(C299),1)</f>
        <v>45658</v>
      </c>
      <c r="AG299">
        <f>E299-D299</f>
        <v>12</v>
      </c>
      <c r="AH299" s="6">
        <f t="shared" si="4"/>
        <v>65.89554664113038</v>
      </c>
    </row>
    <row r="300" spans="1:34">
      <c r="A300" t="s">
        <v>713</v>
      </c>
      <c r="B300" t="s">
        <v>714</v>
      </c>
      <c r="C300" s="1">
        <v>45681</v>
      </c>
      <c r="D300" s="1">
        <v>45685</v>
      </c>
      <c r="E300" s="1">
        <v>45703</v>
      </c>
      <c r="F300" t="s">
        <v>83</v>
      </c>
      <c r="G300" t="s">
        <v>84</v>
      </c>
      <c r="H300" t="s">
        <v>85</v>
      </c>
      <c r="I300" t="s">
        <v>86</v>
      </c>
      <c r="J300" t="s">
        <v>87</v>
      </c>
      <c r="K300" t="s">
        <v>88</v>
      </c>
      <c r="L300" t="s">
        <v>78</v>
      </c>
      <c r="M300" t="s">
        <v>68</v>
      </c>
      <c r="N300">
        <v>2</v>
      </c>
      <c r="O300" t="s">
        <v>89</v>
      </c>
      <c r="P300" s="48">
        <v>66939.02</v>
      </c>
      <c r="Q300" s="48">
        <v>15777.19</v>
      </c>
      <c r="R300" s="48">
        <v>3326.02</v>
      </c>
      <c r="S300" s="48">
        <v>1083.76</v>
      </c>
      <c r="T300" s="48">
        <v>669.39</v>
      </c>
      <c r="U300" s="48">
        <v>166.85</v>
      </c>
      <c r="V300" s="48">
        <v>1507.67</v>
      </c>
      <c r="W300" s="48">
        <v>44408.14</v>
      </c>
      <c r="X300">
        <v>0</v>
      </c>
      <c r="Y300" t="s">
        <v>45</v>
      </c>
      <c r="Z300">
        <v>131.47999999999999</v>
      </c>
      <c r="AA300" t="s">
        <v>46</v>
      </c>
      <c r="AB300" t="s">
        <v>47</v>
      </c>
      <c r="AC300" t="s">
        <v>60</v>
      </c>
      <c r="AD300" t="s">
        <v>144</v>
      </c>
      <c r="AE300" t="s">
        <v>50</v>
      </c>
      <c r="AF300" s="5">
        <f>DATE(YEAR(C300),MONTH(C300),1)</f>
        <v>45658</v>
      </c>
      <c r="AG300">
        <f>E300-D300</f>
        <v>18</v>
      </c>
      <c r="AH300" s="6">
        <f t="shared" si="4"/>
        <v>66.341186351398633</v>
      </c>
    </row>
    <row r="301" spans="1:34">
      <c r="A301" t="s">
        <v>715</v>
      </c>
      <c r="B301" t="s">
        <v>716</v>
      </c>
      <c r="C301" s="1">
        <v>45986</v>
      </c>
      <c r="D301" s="1">
        <v>45988</v>
      </c>
      <c r="E301" s="1">
        <v>46009</v>
      </c>
      <c r="F301" t="s">
        <v>180</v>
      </c>
      <c r="G301" t="s">
        <v>181</v>
      </c>
      <c r="H301" t="s">
        <v>38</v>
      </c>
      <c r="I301" t="s">
        <v>86</v>
      </c>
      <c r="J301" t="s">
        <v>87</v>
      </c>
      <c r="K301" t="s">
        <v>88</v>
      </c>
      <c r="L301" t="s">
        <v>155</v>
      </c>
      <c r="M301" t="s">
        <v>108</v>
      </c>
      <c r="N301">
        <v>4</v>
      </c>
      <c r="O301" t="s">
        <v>44</v>
      </c>
      <c r="P301" s="48">
        <v>63889.71</v>
      </c>
      <c r="Q301" s="48">
        <v>15760.41</v>
      </c>
      <c r="R301" s="48">
        <v>4713.0600000000004</v>
      </c>
      <c r="S301" s="48">
        <v>1428.08</v>
      </c>
      <c r="T301" s="48">
        <v>638.9</v>
      </c>
      <c r="U301" s="48">
        <v>513.89</v>
      </c>
      <c r="V301" s="48">
        <v>2086.85</v>
      </c>
      <c r="W301" s="48">
        <v>38748.519999999997</v>
      </c>
      <c r="X301">
        <v>0</v>
      </c>
      <c r="Y301" t="s">
        <v>45</v>
      </c>
      <c r="Z301">
        <v>131.34</v>
      </c>
      <c r="AA301" t="s">
        <v>46</v>
      </c>
      <c r="AB301" t="s">
        <v>47</v>
      </c>
      <c r="AC301" t="s">
        <v>48</v>
      </c>
      <c r="AD301" t="s">
        <v>144</v>
      </c>
      <c r="AE301" t="s">
        <v>50</v>
      </c>
      <c r="AF301" s="5">
        <f>DATE(YEAR(C301),MONTH(C301),1)</f>
        <v>45962</v>
      </c>
      <c r="AG301">
        <f>E301-D301</f>
        <v>21</v>
      </c>
      <c r="AH301" s="6">
        <f t="shared" si="4"/>
        <v>60.649077918807272</v>
      </c>
    </row>
    <row r="302" spans="1:34">
      <c r="A302" t="s">
        <v>717</v>
      </c>
      <c r="B302" t="s">
        <v>718</v>
      </c>
      <c r="C302" s="1">
        <v>45870</v>
      </c>
      <c r="D302" s="1">
        <v>45871</v>
      </c>
      <c r="E302" s="1">
        <v>45890</v>
      </c>
      <c r="F302" t="s">
        <v>234</v>
      </c>
      <c r="G302" t="s">
        <v>111</v>
      </c>
      <c r="H302" t="s">
        <v>150</v>
      </c>
      <c r="I302" t="s">
        <v>56</v>
      </c>
      <c r="J302" t="s">
        <v>57</v>
      </c>
      <c r="K302" t="s">
        <v>58</v>
      </c>
      <c r="L302" t="s">
        <v>59</v>
      </c>
      <c r="M302" t="s">
        <v>43</v>
      </c>
      <c r="N302">
        <v>4</v>
      </c>
      <c r="O302" t="s">
        <v>89</v>
      </c>
      <c r="P302" s="48">
        <v>52516.74</v>
      </c>
      <c r="Q302" s="48">
        <v>15724.07</v>
      </c>
      <c r="R302" s="48">
        <v>3912.45</v>
      </c>
      <c r="S302" s="48">
        <v>1557.36</v>
      </c>
      <c r="T302" s="48">
        <v>525.16999999999996</v>
      </c>
      <c r="U302" s="48">
        <v>819.83</v>
      </c>
      <c r="V302" s="48">
        <v>1945.12</v>
      </c>
      <c r="W302" s="48">
        <v>28032.74</v>
      </c>
      <c r="X302">
        <v>0</v>
      </c>
      <c r="Y302" t="s">
        <v>45</v>
      </c>
      <c r="Z302">
        <v>131.03</v>
      </c>
      <c r="AA302" t="s">
        <v>46</v>
      </c>
      <c r="AB302" t="s">
        <v>92</v>
      </c>
      <c r="AC302" t="s">
        <v>60</v>
      </c>
      <c r="AD302" t="s">
        <v>93</v>
      </c>
      <c r="AE302" t="s">
        <v>50</v>
      </c>
      <c r="AF302" s="5">
        <f>DATE(YEAR(C302),MONTH(C302),1)</f>
        <v>45870</v>
      </c>
      <c r="AG302">
        <f>E302-D302</f>
        <v>19</v>
      </c>
      <c r="AH302" s="6">
        <f t="shared" si="4"/>
        <v>53.378675066274106</v>
      </c>
    </row>
    <row r="303" spans="1:34">
      <c r="A303" t="s">
        <v>719</v>
      </c>
      <c r="B303" t="s">
        <v>720</v>
      </c>
      <c r="C303" s="1">
        <v>45742</v>
      </c>
      <c r="D303" s="1">
        <v>45745</v>
      </c>
      <c r="E303" s="1">
        <v>45758</v>
      </c>
      <c r="F303" t="s">
        <v>96</v>
      </c>
      <c r="G303" t="s">
        <v>97</v>
      </c>
      <c r="H303" t="s">
        <v>76</v>
      </c>
      <c r="I303" t="s">
        <v>56</v>
      </c>
      <c r="J303" t="s">
        <v>57</v>
      </c>
      <c r="K303" t="s">
        <v>58</v>
      </c>
      <c r="L303" t="s">
        <v>124</v>
      </c>
      <c r="M303" t="s">
        <v>43</v>
      </c>
      <c r="N303">
        <v>4</v>
      </c>
      <c r="O303" t="s">
        <v>89</v>
      </c>
      <c r="P303" s="48">
        <v>62047.42</v>
      </c>
      <c r="Q303" s="48">
        <v>15724</v>
      </c>
      <c r="R303" s="48">
        <v>4830.3100000000004</v>
      </c>
      <c r="S303" s="48">
        <v>1068.48</v>
      </c>
      <c r="T303" s="48">
        <v>620.47</v>
      </c>
      <c r="U303" s="48">
        <v>233.15</v>
      </c>
      <c r="V303" s="48">
        <v>855.39</v>
      </c>
      <c r="W303" s="48">
        <v>38715.620000000003</v>
      </c>
      <c r="X303">
        <v>0</v>
      </c>
      <c r="Y303" t="s">
        <v>45</v>
      </c>
      <c r="Z303">
        <v>131.03</v>
      </c>
      <c r="AA303" t="s">
        <v>46</v>
      </c>
      <c r="AB303" t="s">
        <v>47</v>
      </c>
      <c r="AC303" t="s">
        <v>70</v>
      </c>
      <c r="AD303" t="s">
        <v>49</v>
      </c>
      <c r="AE303" t="s">
        <v>62</v>
      </c>
      <c r="AF303" s="5">
        <f>DATE(YEAR(C303),MONTH(C303),1)</f>
        <v>45717</v>
      </c>
      <c r="AG303">
        <f>E303-D303</f>
        <v>13</v>
      </c>
      <c r="AH303" s="6">
        <f t="shared" si="4"/>
        <v>62.396824880067534</v>
      </c>
    </row>
    <row r="304" spans="1:34">
      <c r="A304" t="s">
        <v>721</v>
      </c>
      <c r="B304" t="s">
        <v>722</v>
      </c>
      <c r="C304" s="1">
        <v>45701</v>
      </c>
      <c r="D304" s="1">
        <v>45703</v>
      </c>
      <c r="E304" s="1">
        <v>45729</v>
      </c>
      <c r="F304" t="s">
        <v>234</v>
      </c>
      <c r="G304" t="s">
        <v>111</v>
      </c>
      <c r="H304" t="s">
        <v>150</v>
      </c>
      <c r="I304" t="s">
        <v>86</v>
      </c>
      <c r="J304" t="s">
        <v>87</v>
      </c>
      <c r="K304" t="s">
        <v>88</v>
      </c>
      <c r="L304" t="s">
        <v>116</v>
      </c>
      <c r="M304" t="s">
        <v>79</v>
      </c>
      <c r="N304">
        <v>2</v>
      </c>
      <c r="O304" t="s">
        <v>69</v>
      </c>
      <c r="P304" s="48">
        <v>55477.39</v>
      </c>
      <c r="Q304" s="48">
        <v>15693.65</v>
      </c>
      <c r="R304" s="48">
        <v>3378.36</v>
      </c>
      <c r="S304" s="48">
        <v>724.12</v>
      </c>
      <c r="T304" s="48">
        <v>554.77</v>
      </c>
      <c r="U304" s="48">
        <v>379.15</v>
      </c>
      <c r="V304" s="48">
        <v>1783.87</v>
      </c>
      <c r="W304" s="48">
        <v>32963.47</v>
      </c>
      <c r="X304">
        <v>4</v>
      </c>
      <c r="Y304" t="s">
        <v>101</v>
      </c>
      <c r="Z304">
        <v>130.78</v>
      </c>
      <c r="AA304" t="s">
        <v>91</v>
      </c>
      <c r="AB304" t="s">
        <v>47</v>
      </c>
      <c r="AC304" t="s">
        <v>60</v>
      </c>
      <c r="AD304" t="s">
        <v>130</v>
      </c>
      <c r="AE304" t="s">
        <v>62</v>
      </c>
      <c r="AF304" s="5">
        <f>DATE(YEAR(C304),MONTH(C304),1)</f>
        <v>45689</v>
      </c>
      <c r="AG304">
        <f>E304-D304</f>
        <v>26</v>
      </c>
      <c r="AH304" s="6">
        <f t="shared" si="4"/>
        <v>59.41784572057194</v>
      </c>
    </row>
    <row r="305" spans="1:34">
      <c r="A305" t="s">
        <v>723</v>
      </c>
      <c r="B305" t="s">
        <v>724</v>
      </c>
      <c r="C305" s="1">
        <v>46006</v>
      </c>
      <c r="D305" s="1">
        <v>46007</v>
      </c>
      <c r="E305" s="1">
        <v>46030</v>
      </c>
      <c r="F305" t="s">
        <v>53</v>
      </c>
      <c r="G305" t="s">
        <v>54</v>
      </c>
      <c r="H305" t="s">
        <v>55</v>
      </c>
      <c r="I305" t="s">
        <v>40</v>
      </c>
      <c r="J305" t="s">
        <v>86</v>
      </c>
      <c r="K305" t="s">
        <v>41</v>
      </c>
      <c r="L305" t="s">
        <v>42</v>
      </c>
      <c r="M305" t="s">
        <v>108</v>
      </c>
      <c r="N305">
        <v>2</v>
      </c>
      <c r="O305" t="s">
        <v>44</v>
      </c>
      <c r="P305" s="48">
        <v>65100.33</v>
      </c>
      <c r="Q305" s="48">
        <v>15683.51</v>
      </c>
      <c r="R305" s="48">
        <v>4163.63</v>
      </c>
      <c r="S305" s="48">
        <v>1178.06</v>
      </c>
      <c r="T305" s="48">
        <v>651</v>
      </c>
      <c r="U305" s="48">
        <v>564.5</v>
      </c>
      <c r="V305" s="48">
        <v>2282.7800000000002</v>
      </c>
      <c r="W305" s="48">
        <v>40576.85</v>
      </c>
      <c r="X305">
        <v>0</v>
      </c>
      <c r="Y305" t="s">
        <v>45</v>
      </c>
      <c r="Z305">
        <v>130.69999999999999</v>
      </c>
      <c r="AA305" t="s">
        <v>46</v>
      </c>
      <c r="AB305" t="s">
        <v>47</v>
      </c>
      <c r="AC305" t="s">
        <v>60</v>
      </c>
      <c r="AD305" t="s">
        <v>49</v>
      </c>
      <c r="AE305" t="s">
        <v>50</v>
      </c>
      <c r="AF305" s="5">
        <f>DATE(YEAR(C305),MONTH(C305),1)</f>
        <v>45992</v>
      </c>
      <c r="AG305">
        <f>E305-D305</f>
        <v>23</v>
      </c>
      <c r="AH305" s="6">
        <f t="shared" si="4"/>
        <v>62.329714764886745</v>
      </c>
    </row>
    <row r="306" spans="1:34">
      <c r="A306" t="s">
        <v>725</v>
      </c>
      <c r="B306" t="s">
        <v>726</v>
      </c>
      <c r="C306" s="1">
        <v>45969</v>
      </c>
      <c r="D306" s="1">
        <v>45972</v>
      </c>
      <c r="E306" s="1">
        <v>45995</v>
      </c>
      <c r="F306" t="s">
        <v>65</v>
      </c>
      <c r="G306" t="s">
        <v>66</v>
      </c>
      <c r="H306" t="s">
        <v>67</v>
      </c>
      <c r="I306" t="s">
        <v>40</v>
      </c>
      <c r="J306" t="s">
        <v>122</v>
      </c>
      <c r="K306" t="s">
        <v>123</v>
      </c>
      <c r="L306" t="s">
        <v>127</v>
      </c>
      <c r="M306" t="s">
        <v>79</v>
      </c>
      <c r="N306">
        <v>2</v>
      </c>
      <c r="O306" t="s">
        <v>89</v>
      </c>
      <c r="P306" s="48">
        <v>84810.92</v>
      </c>
      <c r="Q306" s="48">
        <v>15637.59</v>
      </c>
      <c r="R306" s="48">
        <v>4483.53</v>
      </c>
      <c r="S306" s="48">
        <v>1107.58</v>
      </c>
      <c r="T306" s="48">
        <v>848.11</v>
      </c>
      <c r="U306" s="48">
        <v>609.47</v>
      </c>
      <c r="V306" s="48">
        <v>1658.3</v>
      </c>
      <c r="W306" s="48">
        <v>60466.34</v>
      </c>
      <c r="X306">
        <v>0</v>
      </c>
      <c r="Y306" t="s">
        <v>45</v>
      </c>
      <c r="Z306">
        <v>130.31</v>
      </c>
      <c r="AA306" t="s">
        <v>46</v>
      </c>
      <c r="AB306" t="s">
        <v>47</v>
      </c>
      <c r="AC306" t="s">
        <v>48</v>
      </c>
      <c r="AD306" t="s">
        <v>130</v>
      </c>
      <c r="AE306" t="s">
        <v>71</v>
      </c>
      <c r="AF306" s="5">
        <f>DATE(YEAR(C306),MONTH(C306),1)</f>
        <v>45962</v>
      </c>
      <c r="AG306">
        <f>E306-D306</f>
        <v>23</v>
      </c>
      <c r="AH306" s="6">
        <f t="shared" si="4"/>
        <v>71.295465253766849</v>
      </c>
    </row>
    <row r="307" spans="1:34">
      <c r="A307" t="s">
        <v>727</v>
      </c>
      <c r="B307" t="s">
        <v>728</v>
      </c>
      <c r="C307" s="1">
        <v>45969</v>
      </c>
      <c r="D307" s="1">
        <v>45971</v>
      </c>
      <c r="E307" s="1">
        <v>45998</v>
      </c>
      <c r="F307" t="s">
        <v>96</v>
      </c>
      <c r="G307" t="s">
        <v>97</v>
      </c>
      <c r="H307" t="s">
        <v>76</v>
      </c>
      <c r="I307" t="s">
        <v>115</v>
      </c>
      <c r="J307" t="s">
        <v>77</v>
      </c>
      <c r="K307" t="s">
        <v>41</v>
      </c>
      <c r="L307" t="s">
        <v>42</v>
      </c>
      <c r="M307" t="s">
        <v>43</v>
      </c>
      <c r="N307">
        <v>2</v>
      </c>
      <c r="O307" t="s">
        <v>44</v>
      </c>
      <c r="P307" s="48">
        <v>87255.5</v>
      </c>
      <c r="Q307" s="48">
        <v>15576.44</v>
      </c>
      <c r="R307" s="48">
        <v>3999.37</v>
      </c>
      <c r="S307" s="48">
        <v>2391.08</v>
      </c>
      <c r="T307" s="48">
        <v>872.56</v>
      </c>
      <c r="U307" s="48">
        <v>288.49</v>
      </c>
      <c r="V307" s="48">
        <v>1227.68</v>
      </c>
      <c r="W307" s="48">
        <v>62899.88</v>
      </c>
      <c r="X307">
        <v>4</v>
      </c>
      <c r="Y307" t="s">
        <v>117</v>
      </c>
      <c r="Z307">
        <v>129.80000000000001</v>
      </c>
      <c r="AA307" t="s">
        <v>91</v>
      </c>
      <c r="AB307" t="s">
        <v>92</v>
      </c>
      <c r="AC307" t="s">
        <v>60</v>
      </c>
      <c r="AD307" t="s">
        <v>130</v>
      </c>
      <c r="AE307" t="s">
        <v>71</v>
      </c>
      <c r="AF307" s="5">
        <f>DATE(YEAR(C307),MONTH(C307),1)</f>
        <v>45962</v>
      </c>
      <c r="AG307">
        <f>E307-D307</f>
        <v>27</v>
      </c>
      <c r="AH307" s="6">
        <f t="shared" si="4"/>
        <v>72.08700884184951</v>
      </c>
    </row>
    <row r="308" spans="1:34">
      <c r="A308" t="s">
        <v>729</v>
      </c>
      <c r="B308" t="s">
        <v>730</v>
      </c>
      <c r="C308" s="1">
        <v>45883</v>
      </c>
      <c r="D308" s="1">
        <v>45884</v>
      </c>
      <c r="E308" s="1">
        <v>45911</v>
      </c>
      <c r="F308" t="s">
        <v>65</v>
      </c>
      <c r="G308" t="s">
        <v>66</v>
      </c>
      <c r="H308" t="s">
        <v>67</v>
      </c>
      <c r="I308" t="s">
        <v>115</v>
      </c>
      <c r="J308" t="s">
        <v>98</v>
      </c>
      <c r="K308" t="s">
        <v>99</v>
      </c>
      <c r="L308" t="s">
        <v>78</v>
      </c>
      <c r="M308" t="s">
        <v>43</v>
      </c>
      <c r="N308">
        <v>2</v>
      </c>
      <c r="O308" t="s">
        <v>54</v>
      </c>
      <c r="P308" s="48">
        <v>57974.07</v>
      </c>
      <c r="Q308" s="48">
        <v>15560.01</v>
      </c>
      <c r="R308" s="48">
        <v>3242.59</v>
      </c>
      <c r="S308" s="48">
        <v>1061.57</v>
      </c>
      <c r="T308" s="48">
        <v>579.74</v>
      </c>
      <c r="U308" s="48">
        <v>486.39</v>
      </c>
      <c r="V308" s="48">
        <v>623.54</v>
      </c>
      <c r="W308" s="48">
        <v>36420.230000000003</v>
      </c>
      <c r="X308">
        <v>0</v>
      </c>
      <c r="Y308" t="s">
        <v>45</v>
      </c>
      <c r="Z308">
        <v>129.66999999999999</v>
      </c>
      <c r="AA308" t="s">
        <v>46</v>
      </c>
      <c r="AB308" t="s">
        <v>47</v>
      </c>
      <c r="AC308" t="s">
        <v>48</v>
      </c>
      <c r="AD308" t="s">
        <v>144</v>
      </c>
      <c r="AE308" t="s">
        <v>62</v>
      </c>
      <c r="AF308" s="5">
        <f>DATE(YEAR(C308),MONTH(C308),1)</f>
        <v>45870</v>
      </c>
      <c r="AG308">
        <f>E308-D308</f>
        <v>27</v>
      </c>
      <c r="AH308" s="6">
        <f t="shared" si="4"/>
        <v>62.821585581277986</v>
      </c>
    </row>
    <row r="309" spans="1:34">
      <c r="A309" t="s">
        <v>731</v>
      </c>
      <c r="B309" t="s">
        <v>732</v>
      </c>
      <c r="C309" s="1">
        <v>45842</v>
      </c>
      <c r="D309" s="1">
        <v>45844</v>
      </c>
      <c r="E309" s="1">
        <v>45862</v>
      </c>
      <c r="F309" t="s">
        <v>83</v>
      </c>
      <c r="G309" t="s">
        <v>84</v>
      </c>
      <c r="H309" t="s">
        <v>85</v>
      </c>
      <c r="I309" t="s">
        <v>57</v>
      </c>
      <c r="J309" t="s">
        <v>87</v>
      </c>
      <c r="K309" t="s">
        <v>41</v>
      </c>
      <c r="L309" t="s">
        <v>116</v>
      </c>
      <c r="M309" t="s">
        <v>108</v>
      </c>
      <c r="N309">
        <v>4</v>
      </c>
      <c r="O309" t="s">
        <v>54</v>
      </c>
      <c r="P309" s="48">
        <v>85639.08</v>
      </c>
      <c r="Q309" s="48">
        <v>15517.32</v>
      </c>
      <c r="R309" s="48">
        <v>5507.66</v>
      </c>
      <c r="S309" s="48">
        <v>1461.55</v>
      </c>
      <c r="T309" s="48">
        <v>856.39</v>
      </c>
      <c r="U309" s="48">
        <v>356.87</v>
      </c>
      <c r="V309" s="48">
        <v>2296.5300000000002</v>
      </c>
      <c r="W309" s="48">
        <v>59642.76</v>
      </c>
      <c r="X309">
        <v>48</v>
      </c>
      <c r="Y309" t="s">
        <v>101</v>
      </c>
      <c r="Z309">
        <v>129.31</v>
      </c>
      <c r="AA309" t="s">
        <v>91</v>
      </c>
      <c r="AB309" t="s">
        <v>92</v>
      </c>
      <c r="AC309" t="s">
        <v>48</v>
      </c>
      <c r="AD309" t="s">
        <v>49</v>
      </c>
      <c r="AE309" t="s">
        <v>62</v>
      </c>
      <c r="AF309" s="5">
        <f>DATE(YEAR(C309),MONTH(C309),1)</f>
        <v>45839</v>
      </c>
      <c r="AG309">
        <f>E309-D309</f>
        <v>18</v>
      </c>
      <c r="AH309" s="6">
        <f t="shared" si="4"/>
        <v>69.644325931572354</v>
      </c>
    </row>
    <row r="310" spans="1:34">
      <c r="A310" t="s">
        <v>733</v>
      </c>
      <c r="B310" t="s">
        <v>734</v>
      </c>
      <c r="C310" s="1">
        <v>45743</v>
      </c>
      <c r="D310" s="1">
        <v>45745</v>
      </c>
      <c r="E310" s="1">
        <v>45768</v>
      </c>
      <c r="F310" t="s">
        <v>234</v>
      </c>
      <c r="G310" t="s">
        <v>111</v>
      </c>
      <c r="H310" t="s">
        <v>150</v>
      </c>
      <c r="I310" t="s">
        <v>39</v>
      </c>
      <c r="J310" t="s">
        <v>56</v>
      </c>
      <c r="K310" t="s">
        <v>41</v>
      </c>
      <c r="L310" t="s">
        <v>116</v>
      </c>
      <c r="M310" t="s">
        <v>108</v>
      </c>
      <c r="N310">
        <v>2</v>
      </c>
      <c r="O310" t="s">
        <v>105</v>
      </c>
      <c r="P310" s="48">
        <v>61354.82</v>
      </c>
      <c r="Q310" s="48">
        <v>15422.81</v>
      </c>
      <c r="R310" s="48">
        <v>4364.28</v>
      </c>
      <c r="S310" s="48">
        <v>1107.6099999999999</v>
      </c>
      <c r="T310" s="48">
        <v>613.54999999999995</v>
      </c>
      <c r="U310" s="48">
        <v>646.09</v>
      </c>
      <c r="V310" s="48">
        <v>2440.08</v>
      </c>
      <c r="W310" s="48">
        <v>36760.400000000001</v>
      </c>
      <c r="X310">
        <v>0</v>
      </c>
      <c r="Y310" t="s">
        <v>45</v>
      </c>
      <c r="Z310">
        <v>128.52000000000001</v>
      </c>
      <c r="AA310" t="s">
        <v>46</v>
      </c>
      <c r="AB310" t="s">
        <v>92</v>
      </c>
      <c r="AC310" t="s">
        <v>48</v>
      </c>
      <c r="AD310" t="s">
        <v>144</v>
      </c>
      <c r="AE310" t="s">
        <v>62</v>
      </c>
      <c r="AF310" s="5">
        <f>DATE(YEAR(C310),MONTH(C310),1)</f>
        <v>45717</v>
      </c>
      <c r="AG310">
        <f>E310-D310</f>
        <v>23</v>
      </c>
      <c r="AH310" s="6">
        <f t="shared" si="4"/>
        <v>59.914445189473298</v>
      </c>
    </row>
    <row r="311" spans="1:34">
      <c r="A311" t="s">
        <v>735</v>
      </c>
      <c r="B311" t="s">
        <v>736</v>
      </c>
      <c r="C311" s="1">
        <v>45819</v>
      </c>
      <c r="D311" s="1">
        <v>45823</v>
      </c>
      <c r="E311" s="1">
        <v>45845</v>
      </c>
      <c r="F311" t="s">
        <v>149</v>
      </c>
      <c r="G311" t="s">
        <v>111</v>
      </c>
      <c r="H311" t="s">
        <v>150</v>
      </c>
      <c r="I311" t="s">
        <v>77</v>
      </c>
      <c r="J311" t="s">
        <v>56</v>
      </c>
      <c r="K311" t="s">
        <v>41</v>
      </c>
      <c r="L311" t="s">
        <v>100</v>
      </c>
      <c r="M311" t="s">
        <v>79</v>
      </c>
      <c r="N311">
        <v>2</v>
      </c>
      <c r="O311" t="s">
        <v>44</v>
      </c>
      <c r="P311" s="48">
        <v>55757.52</v>
      </c>
      <c r="Q311" s="48">
        <v>15415.04</v>
      </c>
      <c r="R311" s="48">
        <v>2413.1799999999998</v>
      </c>
      <c r="S311" s="48">
        <v>1190.45</v>
      </c>
      <c r="T311" s="48">
        <v>557.58000000000004</v>
      </c>
      <c r="U311" s="48">
        <v>879.98</v>
      </c>
      <c r="V311" s="48">
        <v>952.95</v>
      </c>
      <c r="W311" s="48">
        <v>34348.339999999997</v>
      </c>
      <c r="X311">
        <v>0</v>
      </c>
      <c r="Y311" t="s">
        <v>45</v>
      </c>
      <c r="Z311">
        <v>128.46</v>
      </c>
      <c r="AA311" t="s">
        <v>46</v>
      </c>
      <c r="AB311" t="s">
        <v>47</v>
      </c>
      <c r="AC311" t="s">
        <v>70</v>
      </c>
      <c r="AD311" t="s">
        <v>93</v>
      </c>
      <c r="AE311" t="s">
        <v>71</v>
      </c>
      <c r="AF311" s="5">
        <f>DATE(YEAR(C311),MONTH(C311),1)</f>
        <v>45809</v>
      </c>
      <c r="AG311">
        <f>E311-D311</f>
        <v>22</v>
      </c>
      <c r="AH311" s="6">
        <f t="shared" si="4"/>
        <v>61.603062690019208</v>
      </c>
    </row>
    <row r="312" spans="1:34">
      <c r="A312" t="s">
        <v>737</v>
      </c>
      <c r="B312" t="s">
        <v>738</v>
      </c>
      <c r="C312" s="1">
        <v>45751</v>
      </c>
      <c r="D312" s="1">
        <v>45754</v>
      </c>
      <c r="E312" s="1">
        <v>45765</v>
      </c>
      <c r="F312" t="s">
        <v>36</v>
      </c>
      <c r="G312" t="s">
        <v>37</v>
      </c>
      <c r="H312" t="s">
        <v>38</v>
      </c>
      <c r="I312" t="s">
        <v>56</v>
      </c>
      <c r="J312" t="s">
        <v>57</v>
      </c>
      <c r="K312" t="s">
        <v>58</v>
      </c>
      <c r="L312" t="s">
        <v>42</v>
      </c>
      <c r="M312" t="s">
        <v>79</v>
      </c>
      <c r="N312">
        <v>2</v>
      </c>
      <c r="O312" t="s">
        <v>54</v>
      </c>
      <c r="P312" s="48">
        <v>55439.69</v>
      </c>
      <c r="Q312" s="48">
        <v>15392.22</v>
      </c>
      <c r="R312" s="48">
        <v>2577.94</v>
      </c>
      <c r="S312" s="48">
        <v>592.59</v>
      </c>
      <c r="T312" s="48">
        <v>554.4</v>
      </c>
      <c r="U312" s="48">
        <v>856.72</v>
      </c>
      <c r="V312" s="48">
        <v>2154.61</v>
      </c>
      <c r="W312" s="48">
        <v>33311.21</v>
      </c>
      <c r="X312">
        <v>0</v>
      </c>
      <c r="Y312" t="s">
        <v>45</v>
      </c>
      <c r="Z312">
        <v>128.27000000000001</v>
      </c>
      <c r="AA312" t="s">
        <v>46</v>
      </c>
      <c r="AB312" t="s">
        <v>92</v>
      </c>
      <c r="AC312" t="s">
        <v>60</v>
      </c>
      <c r="AD312" t="s">
        <v>93</v>
      </c>
      <c r="AE312" t="s">
        <v>50</v>
      </c>
      <c r="AF312" s="5">
        <f>DATE(YEAR(C312),MONTH(C312),1)</f>
        <v>45748</v>
      </c>
      <c r="AG312">
        <f>E312-D312</f>
        <v>11</v>
      </c>
      <c r="AH312" s="6">
        <f t="shared" si="4"/>
        <v>60.085491098525253</v>
      </c>
    </row>
    <row r="313" spans="1:34">
      <c r="A313" t="s">
        <v>739</v>
      </c>
      <c r="B313" t="s">
        <v>740</v>
      </c>
      <c r="C313" s="1">
        <v>45798</v>
      </c>
      <c r="D313" s="1">
        <v>45799</v>
      </c>
      <c r="E313" s="1">
        <v>45810</v>
      </c>
      <c r="F313" t="s">
        <v>74</v>
      </c>
      <c r="G313" t="s">
        <v>75</v>
      </c>
      <c r="H313" t="s">
        <v>76</v>
      </c>
      <c r="I313" t="s">
        <v>86</v>
      </c>
      <c r="J313" t="s">
        <v>87</v>
      </c>
      <c r="K313" t="s">
        <v>88</v>
      </c>
      <c r="L313" t="s">
        <v>42</v>
      </c>
      <c r="M313" t="s">
        <v>68</v>
      </c>
      <c r="N313">
        <v>2</v>
      </c>
      <c r="O313" t="s">
        <v>111</v>
      </c>
      <c r="P313" s="48">
        <v>85944.66</v>
      </c>
      <c r="Q313" s="48">
        <v>15390.86</v>
      </c>
      <c r="R313" s="48">
        <v>6568.21</v>
      </c>
      <c r="S313" s="48">
        <v>1478.98</v>
      </c>
      <c r="T313" s="48">
        <v>859.45</v>
      </c>
      <c r="U313" s="48">
        <v>572.49</v>
      </c>
      <c r="V313" s="48">
        <v>1295.74</v>
      </c>
      <c r="W313" s="48">
        <v>59778.93</v>
      </c>
      <c r="X313">
        <v>0</v>
      </c>
      <c r="Y313" t="s">
        <v>45</v>
      </c>
      <c r="Z313">
        <v>128.26</v>
      </c>
      <c r="AA313" t="s">
        <v>46</v>
      </c>
      <c r="AB313" t="s">
        <v>47</v>
      </c>
      <c r="AC313" t="s">
        <v>48</v>
      </c>
      <c r="AD313" t="s">
        <v>61</v>
      </c>
      <c r="AE313" t="s">
        <v>50</v>
      </c>
      <c r="AF313" s="5">
        <f>DATE(YEAR(C313),MONTH(C313),1)</f>
        <v>45778</v>
      </c>
      <c r="AG313">
        <f>E313-D313</f>
        <v>11</v>
      </c>
      <c r="AH313" s="6">
        <f t="shared" si="4"/>
        <v>69.555141645798585</v>
      </c>
    </row>
    <row r="314" spans="1:34">
      <c r="A314" t="s">
        <v>741</v>
      </c>
      <c r="B314" t="s">
        <v>742</v>
      </c>
      <c r="C314" s="1">
        <v>45695</v>
      </c>
      <c r="D314" s="1">
        <v>45698</v>
      </c>
      <c r="E314" s="1">
        <v>45708</v>
      </c>
      <c r="F314" t="s">
        <v>153</v>
      </c>
      <c r="G314" t="s">
        <v>75</v>
      </c>
      <c r="H314" t="s">
        <v>154</v>
      </c>
      <c r="I314" t="s">
        <v>86</v>
      </c>
      <c r="J314" t="s">
        <v>87</v>
      </c>
      <c r="K314" t="s">
        <v>88</v>
      </c>
      <c r="L314" t="s">
        <v>100</v>
      </c>
      <c r="M314" t="s">
        <v>68</v>
      </c>
      <c r="N314">
        <v>4</v>
      </c>
      <c r="O314" t="s">
        <v>89</v>
      </c>
      <c r="P314" s="48">
        <v>54736.76</v>
      </c>
      <c r="Q314" s="48">
        <v>15250.57</v>
      </c>
      <c r="R314" s="48">
        <v>3020.72</v>
      </c>
      <c r="S314" s="48">
        <v>1266.5899999999999</v>
      </c>
      <c r="T314" s="48">
        <v>547.37</v>
      </c>
      <c r="U314" s="48">
        <v>771.14</v>
      </c>
      <c r="V314" s="48">
        <v>1305.1099999999999</v>
      </c>
      <c r="W314" s="48">
        <v>32575.26</v>
      </c>
      <c r="X314">
        <v>4</v>
      </c>
      <c r="Y314" t="s">
        <v>117</v>
      </c>
      <c r="Z314">
        <v>127.09</v>
      </c>
      <c r="AA314" t="s">
        <v>91</v>
      </c>
      <c r="AB314" t="s">
        <v>92</v>
      </c>
      <c r="AC314" t="s">
        <v>48</v>
      </c>
      <c r="AD314" t="s">
        <v>49</v>
      </c>
      <c r="AE314" t="s">
        <v>62</v>
      </c>
      <c r="AF314" s="5">
        <f>DATE(YEAR(C314),MONTH(C314),1)</f>
        <v>45689</v>
      </c>
      <c r="AG314">
        <f>E314-D314</f>
        <v>10</v>
      </c>
      <c r="AH314" s="6">
        <f t="shared" si="4"/>
        <v>59.512583499644478</v>
      </c>
    </row>
    <row r="315" spans="1:34">
      <c r="A315" t="s">
        <v>743</v>
      </c>
      <c r="B315" t="s">
        <v>744</v>
      </c>
      <c r="C315" s="1">
        <v>45670</v>
      </c>
      <c r="D315" s="1">
        <v>45674</v>
      </c>
      <c r="E315" s="1">
        <v>45691</v>
      </c>
      <c r="F315" t="s">
        <v>65</v>
      </c>
      <c r="G315" t="s">
        <v>66</v>
      </c>
      <c r="H315" t="s">
        <v>67</v>
      </c>
      <c r="I315" t="s">
        <v>57</v>
      </c>
      <c r="J315" t="s">
        <v>98</v>
      </c>
      <c r="K315" t="s">
        <v>99</v>
      </c>
      <c r="L315" t="s">
        <v>78</v>
      </c>
      <c r="M315" t="s">
        <v>68</v>
      </c>
      <c r="N315">
        <v>4</v>
      </c>
      <c r="O315" t="s">
        <v>89</v>
      </c>
      <c r="P315" s="48">
        <v>50795.12</v>
      </c>
      <c r="Q315" s="48">
        <v>15199.77</v>
      </c>
      <c r="R315" s="48">
        <v>2587.1</v>
      </c>
      <c r="S315" s="48">
        <v>1394.96</v>
      </c>
      <c r="T315" s="48">
        <v>507.95</v>
      </c>
      <c r="U315" s="48">
        <v>687.11</v>
      </c>
      <c r="V315" s="48">
        <v>1542.43</v>
      </c>
      <c r="W315" s="48">
        <v>28875.8</v>
      </c>
      <c r="X315">
        <v>12</v>
      </c>
      <c r="Y315" t="s">
        <v>135</v>
      </c>
      <c r="Z315">
        <v>126.66</v>
      </c>
      <c r="AA315" t="s">
        <v>91</v>
      </c>
      <c r="AB315" t="s">
        <v>92</v>
      </c>
      <c r="AC315" t="s">
        <v>48</v>
      </c>
      <c r="AD315" t="s">
        <v>144</v>
      </c>
      <c r="AE315" t="s">
        <v>102</v>
      </c>
      <c r="AF315" s="5">
        <f>DATE(YEAR(C315),MONTH(C315),1)</f>
        <v>45658</v>
      </c>
      <c r="AG315">
        <f>E315-D315</f>
        <v>17</v>
      </c>
      <c r="AH315" s="6">
        <f t="shared" si="4"/>
        <v>56.847586933547944</v>
      </c>
    </row>
    <row r="316" spans="1:34">
      <c r="A316" t="s">
        <v>745</v>
      </c>
      <c r="B316" t="s">
        <v>746</v>
      </c>
      <c r="C316" s="1">
        <v>45704</v>
      </c>
      <c r="D316" s="1">
        <v>45706</v>
      </c>
      <c r="E316" s="1">
        <v>45727</v>
      </c>
      <c r="F316" t="s">
        <v>96</v>
      </c>
      <c r="G316" t="s">
        <v>97</v>
      </c>
      <c r="H316" t="s">
        <v>76</v>
      </c>
      <c r="I316" t="s">
        <v>77</v>
      </c>
      <c r="J316" t="s">
        <v>56</v>
      </c>
      <c r="K316" t="s">
        <v>41</v>
      </c>
      <c r="L316" t="s">
        <v>78</v>
      </c>
      <c r="M316" t="s">
        <v>43</v>
      </c>
      <c r="N316">
        <v>4</v>
      </c>
      <c r="O316" t="s">
        <v>54</v>
      </c>
      <c r="P316" s="48">
        <v>88428.12</v>
      </c>
      <c r="Q316" s="48">
        <v>15132.64</v>
      </c>
      <c r="R316" s="48">
        <v>5524.44</v>
      </c>
      <c r="S316" s="48">
        <v>1246.7</v>
      </c>
      <c r="T316" s="48">
        <v>884.28</v>
      </c>
      <c r="U316" s="48">
        <v>607.9</v>
      </c>
      <c r="V316" s="48">
        <v>2481.91</v>
      </c>
      <c r="W316" s="48">
        <v>62550.25</v>
      </c>
      <c r="X316">
        <v>0</v>
      </c>
      <c r="Y316" t="s">
        <v>45</v>
      </c>
      <c r="Z316">
        <v>126.11</v>
      </c>
      <c r="AA316" t="s">
        <v>46</v>
      </c>
      <c r="AB316" t="s">
        <v>92</v>
      </c>
      <c r="AC316" t="s">
        <v>60</v>
      </c>
      <c r="AD316" t="s">
        <v>144</v>
      </c>
      <c r="AE316" t="s">
        <v>102</v>
      </c>
      <c r="AF316" s="5">
        <f>DATE(YEAR(C316),MONTH(C316),1)</f>
        <v>45689</v>
      </c>
      <c r="AG316">
        <f>E316-D316</f>
        <v>21</v>
      </c>
      <c r="AH316" s="6">
        <f t="shared" si="4"/>
        <v>70.735700363187632</v>
      </c>
    </row>
    <row r="317" spans="1:34">
      <c r="A317" t="s">
        <v>747</v>
      </c>
      <c r="B317" t="s">
        <v>748</v>
      </c>
      <c r="C317" s="1">
        <v>46008</v>
      </c>
      <c r="D317" s="1">
        <v>46012</v>
      </c>
      <c r="E317" s="1">
        <v>46033</v>
      </c>
      <c r="F317" t="s">
        <v>53</v>
      </c>
      <c r="G317" t="s">
        <v>54</v>
      </c>
      <c r="H317" t="s">
        <v>55</v>
      </c>
      <c r="I317" t="s">
        <v>57</v>
      </c>
      <c r="J317" t="s">
        <v>98</v>
      </c>
      <c r="K317" t="s">
        <v>99</v>
      </c>
      <c r="L317" t="s">
        <v>124</v>
      </c>
      <c r="M317" t="s">
        <v>43</v>
      </c>
      <c r="N317">
        <v>4</v>
      </c>
      <c r="O317" t="s">
        <v>69</v>
      </c>
      <c r="P317" s="48">
        <v>58987.53</v>
      </c>
      <c r="Q317" s="48">
        <v>15129.58</v>
      </c>
      <c r="R317" s="48">
        <v>4144.1400000000003</v>
      </c>
      <c r="S317" s="48">
        <v>593.34</v>
      </c>
      <c r="T317" s="48">
        <v>589.88</v>
      </c>
      <c r="U317" s="48">
        <v>792.61</v>
      </c>
      <c r="V317" s="48">
        <v>770.94</v>
      </c>
      <c r="W317" s="48">
        <v>36967.040000000001</v>
      </c>
      <c r="X317">
        <v>8</v>
      </c>
      <c r="Y317" t="s">
        <v>101</v>
      </c>
      <c r="Z317">
        <v>126.08</v>
      </c>
      <c r="AA317" t="s">
        <v>91</v>
      </c>
      <c r="AB317" t="s">
        <v>92</v>
      </c>
      <c r="AC317" t="s">
        <v>48</v>
      </c>
      <c r="AD317" t="s">
        <v>61</v>
      </c>
      <c r="AE317" t="s">
        <v>71</v>
      </c>
      <c r="AF317" s="5">
        <f>DATE(YEAR(C317),MONTH(C317),1)</f>
        <v>45992</v>
      </c>
      <c r="AG317">
        <f>E317-D317</f>
        <v>21</v>
      </c>
      <c r="AH317" s="6">
        <f t="shared" si="4"/>
        <v>62.66924551680669</v>
      </c>
    </row>
    <row r="318" spans="1:34">
      <c r="A318" t="s">
        <v>749</v>
      </c>
      <c r="B318" t="s">
        <v>750</v>
      </c>
      <c r="C318" s="1">
        <v>45928</v>
      </c>
      <c r="D318" s="1">
        <v>45931</v>
      </c>
      <c r="E318" s="1">
        <v>45944</v>
      </c>
      <c r="F318" t="s">
        <v>180</v>
      </c>
      <c r="G318" t="s">
        <v>181</v>
      </c>
      <c r="H318" t="s">
        <v>38</v>
      </c>
      <c r="I318" t="s">
        <v>98</v>
      </c>
      <c r="J318" t="s">
        <v>115</v>
      </c>
      <c r="K318" t="s">
        <v>41</v>
      </c>
      <c r="L318" t="s">
        <v>78</v>
      </c>
      <c r="M318" t="s">
        <v>43</v>
      </c>
      <c r="N318">
        <v>2</v>
      </c>
      <c r="O318" t="s">
        <v>105</v>
      </c>
      <c r="P318" s="48">
        <v>63324.01</v>
      </c>
      <c r="Q318" s="48">
        <v>15119.38</v>
      </c>
      <c r="R318" s="48">
        <v>4862.1499999999996</v>
      </c>
      <c r="S318" s="48">
        <v>1525.89</v>
      </c>
      <c r="T318" s="48">
        <v>633.24</v>
      </c>
      <c r="U318" s="48">
        <v>647.26</v>
      </c>
      <c r="V318" s="48">
        <v>1954.9</v>
      </c>
      <c r="W318" s="48">
        <v>38581.19</v>
      </c>
      <c r="X318">
        <v>12</v>
      </c>
      <c r="Y318" t="s">
        <v>135</v>
      </c>
      <c r="Z318">
        <v>125.99</v>
      </c>
      <c r="AA318" t="s">
        <v>91</v>
      </c>
      <c r="AB318" t="s">
        <v>92</v>
      </c>
      <c r="AC318" t="s">
        <v>48</v>
      </c>
      <c r="AD318" t="s">
        <v>61</v>
      </c>
      <c r="AE318" t="s">
        <v>50</v>
      </c>
      <c r="AF318" s="5">
        <f>DATE(YEAR(C318),MONTH(C318),1)</f>
        <v>45901</v>
      </c>
      <c r="AG318">
        <f>E318-D318</f>
        <v>13</v>
      </c>
      <c r="AH318" s="6">
        <f t="shared" si="4"/>
        <v>60.926637463420278</v>
      </c>
    </row>
    <row r="319" spans="1:34">
      <c r="A319" t="s">
        <v>751</v>
      </c>
      <c r="B319" t="s">
        <v>752</v>
      </c>
      <c r="C319" s="1">
        <v>46017</v>
      </c>
      <c r="D319" s="1">
        <v>46021</v>
      </c>
      <c r="E319" s="1">
        <v>46047</v>
      </c>
      <c r="F319" t="s">
        <v>234</v>
      </c>
      <c r="G319" t="s">
        <v>111</v>
      </c>
      <c r="H319" t="s">
        <v>150</v>
      </c>
      <c r="I319" t="s">
        <v>77</v>
      </c>
      <c r="J319" t="s">
        <v>87</v>
      </c>
      <c r="K319" t="s">
        <v>41</v>
      </c>
      <c r="L319" t="s">
        <v>124</v>
      </c>
      <c r="M319" t="s">
        <v>108</v>
      </c>
      <c r="N319">
        <v>4</v>
      </c>
      <c r="O319" t="s">
        <v>54</v>
      </c>
      <c r="P319" s="48">
        <v>50476.7</v>
      </c>
      <c r="Q319" s="48">
        <v>15079.18</v>
      </c>
      <c r="R319" s="48">
        <v>2117.7399999999998</v>
      </c>
      <c r="S319" s="48">
        <v>792.93</v>
      </c>
      <c r="T319" s="48">
        <v>504.77</v>
      </c>
      <c r="U319" s="48">
        <v>772.44</v>
      </c>
      <c r="V319" s="48">
        <v>1709.84</v>
      </c>
      <c r="W319" s="48">
        <v>29499.8</v>
      </c>
      <c r="X319">
        <v>4</v>
      </c>
      <c r="Y319" t="s">
        <v>117</v>
      </c>
      <c r="Z319">
        <v>125.66</v>
      </c>
      <c r="AA319" t="s">
        <v>91</v>
      </c>
      <c r="AB319" t="s">
        <v>47</v>
      </c>
      <c r="AC319" t="s">
        <v>60</v>
      </c>
      <c r="AD319" t="s">
        <v>144</v>
      </c>
      <c r="AE319" t="s">
        <v>102</v>
      </c>
      <c r="AF319" s="5">
        <f>DATE(YEAR(C319),MONTH(C319),1)</f>
        <v>45992</v>
      </c>
      <c r="AG319">
        <f>E319-D319</f>
        <v>26</v>
      </c>
      <c r="AH319" s="6">
        <f t="shared" si="4"/>
        <v>58.442410062464468</v>
      </c>
    </row>
    <row r="320" spans="1:34">
      <c r="A320" t="s">
        <v>753</v>
      </c>
      <c r="B320" t="s">
        <v>754</v>
      </c>
      <c r="C320" s="1">
        <v>45681</v>
      </c>
      <c r="D320" s="1">
        <v>45683</v>
      </c>
      <c r="E320" s="1">
        <v>45696</v>
      </c>
      <c r="F320" t="s">
        <v>180</v>
      </c>
      <c r="G320" t="s">
        <v>181</v>
      </c>
      <c r="H320" t="s">
        <v>38</v>
      </c>
      <c r="I320" t="s">
        <v>86</v>
      </c>
      <c r="J320" t="s">
        <v>87</v>
      </c>
      <c r="K320" t="s">
        <v>88</v>
      </c>
      <c r="L320" t="s">
        <v>116</v>
      </c>
      <c r="M320" t="s">
        <v>108</v>
      </c>
      <c r="N320">
        <v>2</v>
      </c>
      <c r="O320" t="s">
        <v>44</v>
      </c>
      <c r="P320" s="48">
        <v>61610.66</v>
      </c>
      <c r="Q320" s="48">
        <v>15061.4</v>
      </c>
      <c r="R320" s="48">
        <v>3528.34</v>
      </c>
      <c r="S320" s="48">
        <v>1471.8</v>
      </c>
      <c r="T320" s="48">
        <v>616.11</v>
      </c>
      <c r="U320" s="48">
        <v>543.15</v>
      </c>
      <c r="V320" s="48">
        <v>2043.92</v>
      </c>
      <c r="W320" s="48">
        <v>38345.94</v>
      </c>
      <c r="X320">
        <v>48</v>
      </c>
      <c r="Y320" t="s">
        <v>117</v>
      </c>
      <c r="Z320">
        <v>125.51</v>
      </c>
      <c r="AA320" t="s">
        <v>91</v>
      </c>
      <c r="AB320" t="s">
        <v>47</v>
      </c>
      <c r="AC320" t="s">
        <v>70</v>
      </c>
      <c r="AD320" t="s">
        <v>93</v>
      </c>
      <c r="AE320" t="s">
        <v>102</v>
      </c>
      <c r="AF320" s="5">
        <f>DATE(YEAR(C320),MONTH(C320),1)</f>
        <v>45658</v>
      </c>
      <c r="AG320">
        <f>E320-D320</f>
        <v>13</v>
      </c>
      <c r="AH320" s="6">
        <f t="shared" si="4"/>
        <v>62.239131994365913</v>
      </c>
    </row>
    <row r="321" spans="1:34">
      <c r="A321" t="s">
        <v>755</v>
      </c>
      <c r="B321" t="s">
        <v>756</v>
      </c>
      <c r="C321" s="1">
        <v>45900</v>
      </c>
      <c r="D321" s="1">
        <v>45901</v>
      </c>
      <c r="E321" s="1">
        <v>45921</v>
      </c>
      <c r="F321" t="s">
        <v>53</v>
      </c>
      <c r="G321" t="s">
        <v>54</v>
      </c>
      <c r="H321" t="s">
        <v>55</v>
      </c>
      <c r="I321" t="s">
        <v>56</v>
      </c>
      <c r="J321" t="s">
        <v>77</v>
      </c>
      <c r="K321" t="s">
        <v>41</v>
      </c>
      <c r="L321" t="s">
        <v>116</v>
      </c>
      <c r="M321" t="s">
        <v>68</v>
      </c>
      <c r="N321">
        <v>2</v>
      </c>
      <c r="O321" t="s">
        <v>44</v>
      </c>
      <c r="P321" s="48">
        <v>79032.92</v>
      </c>
      <c r="Q321" s="48">
        <v>15056.83</v>
      </c>
      <c r="R321" s="48">
        <v>3441.4</v>
      </c>
      <c r="S321" s="48">
        <v>1702.27</v>
      </c>
      <c r="T321" s="48">
        <v>790.33</v>
      </c>
      <c r="U321" s="48">
        <v>750.7</v>
      </c>
      <c r="V321" s="48">
        <v>1298.1300000000001</v>
      </c>
      <c r="W321" s="48">
        <v>55993.26</v>
      </c>
      <c r="X321">
        <v>24</v>
      </c>
      <c r="Y321" t="s">
        <v>101</v>
      </c>
      <c r="Z321">
        <v>125.47</v>
      </c>
      <c r="AA321" t="s">
        <v>91</v>
      </c>
      <c r="AB321" t="s">
        <v>47</v>
      </c>
      <c r="AC321" t="s">
        <v>70</v>
      </c>
      <c r="AD321" t="s">
        <v>144</v>
      </c>
      <c r="AE321" t="s">
        <v>102</v>
      </c>
      <c r="AF321" s="5">
        <f>DATE(YEAR(C321),MONTH(C321),1)</f>
        <v>45870</v>
      </c>
      <c r="AG321">
        <f>E321-D321</f>
        <v>20</v>
      </c>
      <c r="AH321" s="6">
        <f t="shared" si="4"/>
        <v>70.848021305552166</v>
      </c>
    </row>
    <row r="322" spans="1:34">
      <c r="A322" t="s">
        <v>757</v>
      </c>
      <c r="B322" t="s">
        <v>758</v>
      </c>
      <c r="C322" s="1">
        <v>45769</v>
      </c>
      <c r="D322" s="1">
        <v>45770</v>
      </c>
      <c r="E322" s="1">
        <v>45787</v>
      </c>
      <c r="F322" t="s">
        <v>83</v>
      </c>
      <c r="G322" t="s">
        <v>84</v>
      </c>
      <c r="H322" t="s">
        <v>85</v>
      </c>
      <c r="I322" t="s">
        <v>56</v>
      </c>
      <c r="J322" t="s">
        <v>122</v>
      </c>
      <c r="K322" t="s">
        <v>41</v>
      </c>
      <c r="L322" t="s">
        <v>42</v>
      </c>
      <c r="M322" t="s">
        <v>79</v>
      </c>
      <c r="N322">
        <v>2</v>
      </c>
      <c r="O322" t="s">
        <v>105</v>
      </c>
      <c r="P322" s="48">
        <v>55292.12</v>
      </c>
      <c r="Q322" s="48">
        <v>15045.28</v>
      </c>
      <c r="R322" s="48">
        <v>3328.81</v>
      </c>
      <c r="S322" s="48">
        <v>592.53</v>
      </c>
      <c r="T322" s="48">
        <v>552.91999999999996</v>
      </c>
      <c r="U322" s="48">
        <v>355.2</v>
      </c>
      <c r="V322" s="48">
        <v>1284.4100000000001</v>
      </c>
      <c r="W322" s="48">
        <v>34132.97</v>
      </c>
      <c r="X322">
        <v>0</v>
      </c>
      <c r="Y322" t="s">
        <v>45</v>
      </c>
      <c r="Z322">
        <v>125.38</v>
      </c>
      <c r="AA322" t="s">
        <v>46</v>
      </c>
      <c r="AB322" t="s">
        <v>47</v>
      </c>
      <c r="AC322" t="s">
        <v>48</v>
      </c>
      <c r="AD322" t="s">
        <v>61</v>
      </c>
      <c r="AE322" t="s">
        <v>102</v>
      </c>
      <c r="AF322" s="5">
        <f>DATE(YEAR(C322),MONTH(C322),1)</f>
        <v>45748</v>
      </c>
      <c r="AG322">
        <f>E322-D322</f>
        <v>17</v>
      </c>
      <c r="AH322" s="6">
        <f t="shared" si="4"/>
        <v>61.732069596897354</v>
      </c>
    </row>
    <row r="323" spans="1:34">
      <c r="A323" t="s">
        <v>759</v>
      </c>
      <c r="B323" t="s">
        <v>760</v>
      </c>
      <c r="C323" s="1">
        <v>45963</v>
      </c>
      <c r="D323" s="1">
        <v>45966</v>
      </c>
      <c r="E323" s="1">
        <v>45993</v>
      </c>
      <c r="F323" t="s">
        <v>153</v>
      </c>
      <c r="G323" t="s">
        <v>75</v>
      </c>
      <c r="H323" t="s">
        <v>154</v>
      </c>
      <c r="I323" t="s">
        <v>115</v>
      </c>
      <c r="J323" t="s">
        <v>98</v>
      </c>
      <c r="K323" t="s">
        <v>99</v>
      </c>
      <c r="L323" t="s">
        <v>127</v>
      </c>
      <c r="M323" t="s">
        <v>108</v>
      </c>
      <c r="N323">
        <v>2</v>
      </c>
      <c r="O323" t="s">
        <v>89</v>
      </c>
      <c r="P323" s="48">
        <v>66092.62</v>
      </c>
      <c r="Q323" s="48">
        <v>15039.32</v>
      </c>
      <c r="R323" s="48">
        <v>5085.6899999999996</v>
      </c>
      <c r="S323" s="48">
        <v>1817</v>
      </c>
      <c r="T323" s="48">
        <v>660.93</v>
      </c>
      <c r="U323" s="48">
        <v>623.49</v>
      </c>
      <c r="V323" s="48">
        <v>1044.8900000000001</v>
      </c>
      <c r="W323" s="48">
        <v>41821.300000000003</v>
      </c>
      <c r="X323">
        <v>8</v>
      </c>
      <c r="Y323" t="s">
        <v>90</v>
      </c>
      <c r="Z323">
        <v>125.33</v>
      </c>
      <c r="AA323" t="s">
        <v>91</v>
      </c>
      <c r="AB323" t="s">
        <v>47</v>
      </c>
      <c r="AC323" t="s">
        <v>48</v>
      </c>
      <c r="AD323" t="s">
        <v>144</v>
      </c>
      <c r="AE323" t="s">
        <v>50</v>
      </c>
      <c r="AF323" s="5">
        <f>DATE(YEAR(C323),MONTH(C323),1)</f>
        <v>45962</v>
      </c>
      <c r="AG323">
        <f>E323-D323</f>
        <v>27</v>
      </c>
      <c r="AH323" s="6">
        <f t="shared" ref="AH323:AH386" si="5">W323/P323*100</f>
        <v>63.276807607263876</v>
      </c>
    </row>
    <row r="324" spans="1:34">
      <c r="A324" t="s">
        <v>761</v>
      </c>
      <c r="B324" t="s">
        <v>762</v>
      </c>
      <c r="C324" s="1">
        <v>45719</v>
      </c>
      <c r="D324" s="1">
        <v>45721</v>
      </c>
      <c r="E324" s="1">
        <v>45731</v>
      </c>
      <c r="F324" t="s">
        <v>53</v>
      </c>
      <c r="G324" t="s">
        <v>54</v>
      </c>
      <c r="H324" t="s">
        <v>55</v>
      </c>
      <c r="I324" t="s">
        <v>40</v>
      </c>
      <c r="J324" t="s">
        <v>122</v>
      </c>
      <c r="K324" t="s">
        <v>123</v>
      </c>
      <c r="L324" t="s">
        <v>116</v>
      </c>
      <c r="M324" t="s">
        <v>108</v>
      </c>
      <c r="N324">
        <v>2</v>
      </c>
      <c r="O324" t="s">
        <v>111</v>
      </c>
      <c r="P324" s="48">
        <v>56399.69</v>
      </c>
      <c r="Q324" s="48">
        <v>14989.8</v>
      </c>
      <c r="R324" s="48">
        <v>2900.71</v>
      </c>
      <c r="S324" s="48">
        <v>1350.27</v>
      </c>
      <c r="T324" s="48">
        <v>564</v>
      </c>
      <c r="U324" s="48">
        <v>344.49</v>
      </c>
      <c r="V324" s="48">
        <v>650.1</v>
      </c>
      <c r="W324" s="48">
        <v>35600.32</v>
      </c>
      <c r="X324">
        <v>12</v>
      </c>
      <c r="Y324" t="s">
        <v>135</v>
      </c>
      <c r="Z324">
        <v>124.91</v>
      </c>
      <c r="AA324" t="s">
        <v>91</v>
      </c>
      <c r="AB324" t="s">
        <v>92</v>
      </c>
      <c r="AC324" t="s">
        <v>60</v>
      </c>
      <c r="AD324" t="s">
        <v>144</v>
      </c>
      <c r="AE324" t="s">
        <v>102</v>
      </c>
      <c r="AF324" s="5">
        <f>DATE(YEAR(C324),MONTH(C324),1)</f>
        <v>45717</v>
      </c>
      <c r="AG324">
        <f>E324-D324</f>
        <v>10</v>
      </c>
      <c r="AH324" s="6">
        <f t="shared" si="5"/>
        <v>63.121481696087336</v>
      </c>
    </row>
    <row r="325" spans="1:34">
      <c r="A325" t="s">
        <v>763</v>
      </c>
      <c r="B325" t="s">
        <v>764</v>
      </c>
      <c r="C325" s="1">
        <v>45827</v>
      </c>
      <c r="D325" s="1">
        <v>45828</v>
      </c>
      <c r="E325" s="1">
        <v>45849</v>
      </c>
      <c r="F325" t="s">
        <v>138</v>
      </c>
      <c r="G325" t="s">
        <v>139</v>
      </c>
      <c r="H325" t="s">
        <v>76</v>
      </c>
      <c r="I325" t="s">
        <v>86</v>
      </c>
      <c r="J325" t="s">
        <v>39</v>
      </c>
      <c r="K325" t="s">
        <v>41</v>
      </c>
      <c r="L325" t="s">
        <v>116</v>
      </c>
      <c r="M325" t="s">
        <v>108</v>
      </c>
      <c r="N325">
        <v>2</v>
      </c>
      <c r="O325" t="s">
        <v>89</v>
      </c>
      <c r="P325" s="48">
        <v>66693.070000000007</v>
      </c>
      <c r="Q325" s="48">
        <v>14983.25</v>
      </c>
      <c r="R325" s="48">
        <v>4738.59</v>
      </c>
      <c r="S325" s="48">
        <v>862.99</v>
      </c>
      <c r="T325" s="48">
        <v>666.93</v>
      </c>
      <c r="U325" s="48">
        <v>420.44</v>
      </c>
      <c r="V325" s="48">
        <v>1562.8</v>
      </c>
      <c r="W325" s="48">
        <v>43458.07</v>
      </c>
      <c r="X325">
        <v>8</v>
      </c>
      <c r="Y325" t="s">
        <v>112</v>
      </c>
      <c r="Z325">
        <v>124.86</v>
      </c>
      <c r="AA325" t="s">
        <v>91</v>
      </c>
      <c r="AB325" t="s">
        <v>92</v>
      </c>
      <c r="AC325" t="s">
        <v>70</v>
      </c>
      <c r="AD325" t="s">
        <v>144</v>
      </c>
      <c r="AE325" t="s">
        <v>71</v>
      </c>
      <c r="AF325" s="5">
        <f>DATE(YEAR(C325),MONTH(C325),1)</f>
        <v>45809</v>
      </c>
      <c r="AG325">
        <f>E325-D325</f>
        <v>21</v>
      </c>
      <c r="AH325" s="6">
        <f t="shared" si="5"/>
        <v>65.161297867979386</v>
      </c>
    </row>
    <row r="326" spans="1:34">
      <c r="A326" t="s">
        <v>765</v>
      </c>
      <c r="B326" t="s">
        <v>766</v>
      </c>
      <c r="C326" s="1">
        <v>45773</v>
      </c>
      <c r="D326" s="1">
        <v>45777</v>
      </c>
      <c r="E326" s="1">
        <v>45797</v>
      </c>
      <c r="F326" t="s">
        <v>138</v>
      </c>
      <c r="G326" t="s">
        <v>139</v>
      </c>
      <c r="H326" t="s">
        <v>76</v>
      </c>
      <c r="I326" t="s">
        <v>40</v>
      </c>
      <c r="J326" t="s">
        <v>122</v>
      </c>
      <c r="K326" t="s">
        <v>123</v>
      </c>
      <c r="L326" t="s">
        <v>116</v>
      </c>
      <c r="M326" t="s">
        <v>43</v>
      </c>
      <c r="N326">
        <v>2</v>
      </c>
      <c r="O326" t="s">
        <v>111</v>
      </c>
      <c r="P326" s="48">
        <v>68923.64</v>
      </c>
      <c r="Q326" s="48">
        <v>14968.21</v>
      </c>
      <c r="R326" s="48">
        <v>3078.45</v>
      </c>
      <c r="S326" s="48">
        <v>1038.0899999999999</v>
      </c>
      <c r="T326" s="48">
        <v>689.24</v>
      </c>
      <c r="U326" s="48">
        <v>222.2</v>
      </c>
      <c r="V326" s="48">
        <v>1616.45</v>
      </c>
      <c r="W326" s="48">
        <v>47311</v>
      </c>
      <c r="X326">
        <v>0</v>
      </c>
      <c r="Y326" t="s">
        <v>45</v>
      </c>
      <c r="Z326">
        <v>124.74</v>
      </c>
      <c r="AA326" t="s">
        <v>46</v>
      </c>
      <c r="AB326" t="s">
        <v>92</v>
      </c>
      <c r="AC326" t="s">
        <v>60</v>
      </c>
      <c r="AD326" t="s">
        <v>144</v>
      </c>
      <c r="AE326" t="s">
        <v>71</v>
      </c>
      <c r="AF326" s="5">
        <f>DATE(YEAR(C326),MONTH(C326),1)</f>
        <v>45748</v>
      </c>
      <c r="AG326">
        <f>E326-D326</f>
        <v>20</v>
      </c>
      <c r="AH326" s="6">
        <f t="shared" si="5"/>
        <v>68.642631178504203</v>
      </c>
    </row>
    <row r="327" spans="1:34">
      <c r="A327" t="s">
        <v>767</v>
      </c>
      <c r="B327" t="s">
        <v>768</v>
      </c>
      <c r="C327" s="1">
        <v>45960</v>
      </c>
      <c r="D327" s="1">
        <v>45963</v>
      </c>
      <c r="E327" s="1">
        <v>45973</v>
      </c>
      <c r="F327" t="s">
        <v>83</v>
      </c>
      <c r="G327" t="s">
        <v>84</v>
      </c>
      <c r="H327" t="s">
        <v>85</v>
      </c>
      <c r="I327" t="s">
        <v>57</v>
      </c>
      <c r="J327" t="s">
        <v>98</v>
      </c>
      <c r="K327" t="s">
        <v>99</v>
      </c>
      <c r="L327" t="s">
        <v>116</v>
      </c>
      <c r="M327" t="s">
        <v>68</v>
      </c>
      <c r="N327">
        <v>2</v>
      </c>
      <c r="O327" t="s">
        <v>80</v>
      </c>
      <c r="P327" s="48">
        <v>59313.98</v>
      </c>
      <c r="Q327" s="48">
        <v>14964.64</v>
      </c>
      <c r="R327" s="48">
        <v>2509.17</v>
      </c>
      <c r="S327" s="48">
        <v>1283.1300000000001</v>
      </c>
      <c r="T327" s="48">
        <v>593.14</v>
      </c>
      <c r="U327" s="48">
        <v>798.59</v>
      </c>
      <c r="V327" s="48">
        <v>517.29</v>
      </c>
      <c r="W327" s="48">
        <v>38648.019999999997</v>
      </c>
      <c r="X327">
        <v>0</v>
      </c>
      <c r="Y327" t="s">
        <v>45</v>
      </c>
      <c r="Z327">
        <v>124.71</v>
      </c>
      <c r="AA327" t="s">
        <v>46</v>
      </c>
      <c r="AB327" t="s">
        <v>47</v>
      </c>
      <c r="AC327" t="s">
        <v>48</v>
      </c>
      <c r="AD327" t="s">
        <v>130</v>
      </c>
      <c r="AE327" t="s">
        <v>71</v>
      </c>
      <c r="AF327" s="5">
        <f>DATE(YEAR(C327),MONTH(C327),1)</f>
        <v>45931</v>
      </c>
      <c r="AG327">
        <f>E327-D327</f>
        <v>10</v>
      </c>
      <c r="AH327" s="6">
        <f t="shared" si="5"/>
        <v>65.158365700632459</v>
      </c>
    </row>
    <row r="328" spans="1:34">
      <c r="A328" t="s">
        <v>769</v>
      </c>
      <c r="B328" t="s">
        <v>770</v>
      </c>
      <c r="C328" s="1">
        <v>45691</v>
      </c>
      <c r="D328" s="1">
        <v>45695</v>
      </c>
      <c r="E328" s="1">
        <v>45707</v>
      </c>
      <c r="F328" t="s">
        <v>234</v>
      </c>
      <c r="G328" t="s">
        <v>111</v>
      </c>
      <c r="H328" t="s">
        <v>150</v>
      </c>
      <c r="I328" t="s">
        <v>57</v>
      </c>
      <c r="J328" t="s">
        <v>98</v>
      </c>
      <c r="K328" t="s">
        <v>99</v>
      </c>
      <c r="L328" t="s">
        <v>59</v>
      </c>
      <c r="M328" t="s">
        <v>68</v>
      </c>
      <c r="N328">
        <v>2</v>
      </c>
      <c r="O328" t="s">
        <v>44</v>
      </c>
      <c r="P328" s="48">
        <v>53888.27</v>
      </c>
      <c r="Q328" s="48">
        <v>14946.69</v>
      </c>
      <c r="R328" s="48">
        <v>3840.66</v>
      </c>
      <c r="S328" s="48">
        <v>1151.42</v>
      </c>
      <c r="T328" s="48">
        <v>538.88</v>
      </c>
      <c r="U328" s="48">
        <v>566.02</v>
      </c>
      <c r="V328" s="48">
        <v>1528.98</v>
      </c>
      <c r="W328" s="48">
        <v>31315.62</v>
      </c>
      <c r="X328">
        <v>36</v>
      </c>
      <c r="Y328" t="s">
        <v>112</v>
      </c>
      <c r="Z328">
        <v>124.56</v>
      </c>
      <c r="AA328" t="s">
        <v>91</v>
      </c>
      <c r="AB328" t="s">
        <v>92</v>
      </c>
      <c r="AC328" t="s">
        <v>60</v>
      </c>
      <c r="AD328" t="s">
        <v>144</v>
      </c>
      <c r="AE328" t="s">
        <v>102</v>
      </c>
      <c r="AF328" s="5">
        <f>DATE(YEAR(C328),MONTH(C328),1)</f>
        <v>45689</v>
      </c>
      <c r="AG328">
        <f>E328-D328</f>
        <v>12</v>
      </c>
      <c r="AH328" s="6">
        <f t="shared" si="5"/>
        <v>58.112127184635924</v>
      </c>
    </row>
    <row r="329" spans="1:34">
      <c r="A329" t="s">
        <v>771</v>
      </c>
      <c r="B329" t="s">
        <v>772</v>
      </c>
      <c r="C329" s="1">
        <v>45819</v>
      </c>
      <c r="D329" s="1">
        <v>45823</v>
      </c>
      <c r="E329" s="1">
        <v>45838</v>
      </c>
      <c r="F329" t="s">
        <v>74</v>
      </c>
      <c r="G329" t="s">
        <v>75</v>
      </c>
      <c r="H329" t="s">
        <v>76</v>
      </c>
      <c r="I329" t="s">
        <v>56</v>
      </c>
      <c r="J329" t="s">
        <v>57</v>
      </c>
      <c r="K329" t="s">
        <v>58</v>
      </c>
      <c r="L329" t="s">
        <v>78</v>
      </c>
      <c r="M329" t="s">
        <v>43</v>
      </c>
      <c r="N329">
        <v>2</v>
      </c>
      <c r="O329" t="s">
        <v>44</v>
      </c>
      <c r="P329" s="48">
        <v>75115.37</v>
      </c>
      <c r="Q329" s="48">
        <v>14907.3</v>
      </c>
      <c r="R329" s="48">
        <v>5118.6000000000004</v>
      </c>
      <c r="S329" s="48">
        <v>1845.79</v>
      </c>
      <c r="T329" s="48">
        <v>751.15</v>
      </c>
      <c r="U329" s="48">
        <v>715.85</v>
      </c>
      <c r="V329" s="48">
        <v>611.09</v>
      </c>
      <c r="W329" s="48">
        <v>51165.59</v>
      </c>
      <c r="X329">
        <v>8</v>
      </c>
      <c r="Y329" t="s">
        <v>90</v>
      </c>
      <c r="Z329">
        <v>124.23</v>
      </c>
      <c r="AA329" t="s">
        <v>91</v>
      </c>
      <c r="AB329" t="s">
        <v>47</v>
      </c>
      <c r="AC329" t="s">
        <v>70</v>
      </c>
      <c r="AD329" t="s">
        <v>144</v>
      </c>
      <c r="AE329" t="s">
        <v>71</v>
      </c>
      <c r="AF329" s="5">
        <f>DATE(YEAR(C329),MONTH(C329),1)</f>
        <v>45809</v>
      </c>
      <c r="AG329">
        <f>E329-D329</f>
        <v>15</v>
      </c>
      <c r="AH329" s="6">
        <f t="shared" si="5"/>
        <v>68.116006085039587</v>
      </c>
    </row>
    <row r="330" spans="1:34">
      <c r="A330" t="s">
        <v>773</v>
      </c>
      <c r="B330" t="s">
        <v>774</v>
      </c>
      <c r="C330" s="1">
        <v>45836</v>
      </c>
      <c r="D330" s="1">
        <v>45839</v>
      </c>
      <c r="E330" s="1">
        <v>45864</v>
      </c>
      <c r="F330" t="s">
        <v>65</v>
      </c>
      <c r="G330" t="s">
        <v>66</v>
      </c>
      <c r="H330" t="s">
        <v>67</v>
      </c>
      <c r="I330" t="s">
        <v>57</v>
      </c>
      <c r="J330" t="s">
        <v>98</v>
      </c>
      <c r="K330" t="s">
        <v>99</v>
      </c>
      <c r="L330" t="s">
        <v>124</v>
      </c>
      <c r="M330" t="s">
        <v>79</v>
      </c>
      <c r="N330">
        <v>2</v>
      </c>
      <c r="O330" t="s">
        <v>80</v>
      </c>
      <c r="P330" s="48">
        <v>63390.11</v>
      </c>
      <c r="Q330" s="48">
        <v>14883.13</v>
      </c>
      <c r="R330" s="48">
        <v>5021.68</v>
      </c>
      <c r="S330" s="48">
        <v>647.54</v>
      </c>
      <c r="T330" s="48">
        <v>633.9</v>
      </c>
      <c r="U330" s="48">
        <v>769.11</v>
      </c>
      <c r="V330" s="48">
        <v>507.55</v>
      </c>
      <c r="W330" s="48">
        <v>40927.199999999997</v>
      </c>
      <c r="X330">
        <v>48</v>
      </c>
      <c r="Y330" t="s">
        <v>135</v>
      </c>
      <c r="Z330">
        <v>124.03</v>
      </c>
      <c r="AA330" t="s">
        <v>91</v>
      </c>
      <c r="AB330" t="s">
        <v>47</v>
      </c>
      <c r="AC330" t="s">
        <v>48</v>
      </c>
      <c r="AD330" t="s">
        <v>93</v>
      </c>
      <c r="AE330" t="s">
        <v>50</v>
      </c>
      <c r="AF330" s="5">
        <f>DATE(YEAR(C330),MONTH(C330),1)</f>
        <v>45809</v>
      </c>
      <c r="AG330">
        <f>E330-D330</f>
        <v>25</v>
      </c>
      <c r="AH330" s="6">
        <f t="shared" si="5"/>
        <v>64.564014796629948</v>
      </c>
    </row>
    <row r="331" spans="1:34">
      <c r="A331" t="s">
        <v>775</v>
      </c>
      <c r="B331" t="s">
        <v>776</v>
      </c>
      <c r="C331" s="1">
        <v>45804</v>
      </c>
      <c r="D331" s="1">
        <v>45808</v>
      </c>
      <c r="E331" s="1">
        <v>45821</v>
      </c>
      <c r="F331" t="s">
        <v>234</v>
      </c>
      <c r="G331" t="s">
        <v>111</v>
      </c>
      <c r="H331" t="s">
        <v>150</v>
      </c>
      <c r="I331" t="s">
        <v>86</v>
      </c>
      <c r="J331" t="s">
        <v>87</v>
      </c>
      <c r="K331" t="s">
        <v>88</v>
      </c>
      <c r="L331" t="s">
        <v>42</v>
      </c>
      <c r="M331" t="s">
        <v>68</v>
      </c>
      <c r="N331">
        <v>4</v>
      </c>
      <c r="O331" t="s">
        <v>69</v>
      </c>
      <c r="P331" s="48">
        <v>66458.84</v>
      </c>
      <c r="Q331" s="48">
        <v>14870.46</v>
      </c>
      <c r="R331" s="48">
        <v>3889.15</v>
      </c>
      <c r="S331" s="48">
        <v>817.2</v>
      </c>
      <c r="T331" s="48">
        <v>664.59</v>
      </c>
      <c r="U331" s="48">
        <v>719.84</v>
      </c>
      <c r="V331" s="48">
        <v>1974.94</v>
      </c>
      <c r="W331" s="48">
        <v>43522.66</v>
      </c>
      <c r="X331">
        <v>8</v>
      </c>
      <c r="Y331" t="s">
        <v>90</v>
      </c>
      <c r="Z331">
        <v>123.92</v>
      </c>
      <c r="AA331" t="s">
        <v>91</v>
      </c>
      <c r="AB331" t="s">
        <v>92</v>
      </c>
      <c r="AC331" t="s">
        <v>60</v>
      </c>
      <c r="AD331" t="s">
        <v>130</v>
      </c>
      <c r="AE331" t="s">
        <v>71</v>
      </c>
      <c r="AF331" s="5">
        <f>DATE(YEAR(C331),MONTH(C331),1)</f>
        <v>45778</v>
      </c>
      <c r="AG331">
        <f>E331-D331</f>
        <v>13</v>
      </c>
      <c r="AH331" s="6">
        <f t="shared" si="5"/>
        <v>65.488142736165727</v>
      </c>
    </row>
    <row r="332" spans="1:34">
      <c r="A332" t="s">
        <v>777</v>
      </c>
      <c r="B332" t="s">
        <v>778</v>
      </c>
      <c r="C332" s="1">
        <v>45736</v>
      </c>
      <c r="D332" s="1">
        <v>45739</v>
      </c>
      <c r="E332" s="1">
        <v>45763</v>
      </c>
      <c r="F332" t="s">
        <v>96</v>
      </c>
      <c r="G332" t="s">
        <v>97</v>
      </c>
      <c r="H332" t="s">
        <v>76</v>
      </c>
      <c r="I332" t="s">
        <v>86</v>
      </c>
      <c r="J332" t="s">
        <v>87</v>
      </c>
      <c r="K332" t="s">
        <v>88</v>
      </c>
      <c r="L332" t="s">
        <v>100</v>
      </c>
      <c r="M332" t="s">
        <v>79</v>
      </c>
      <c r="N332">
        <v>2</v>
      </c>
      <c r="O332" t="s">
        <v>89</v>
      </c>
      <c r="P332" s="48">
        <v>62744.31</v>
      </c>
      <c r="Q332" s="48">
        <v>14868.24</v>
      </c>
      <c r="R332" s="48">
        <v>4237.8599999999997</v>
      </c>
      <c r="S332" s="48">
        <v>1068.04</v>
      </c>
      <c r="T332" s="48">
        <v>627.44000000000005</v>
      </c>
      <c r="U332" s="48">
        <v>398.72</v>
      </c>
      <c r="V332" s="48">
        <v>384.56</v>
      </c>
      <c r="W332" s="48">
        <v>41159.449999999997</v>
      </c>
      <c r="X332">
        <v>0</v>
      </c>
      <c r="Y332" t="s">
        <v>45</v>
      </c>
      <c r="Z332">
        <v>123.9</v>
      </c>
      <c r="AA332" t="s">
        <v>46</v>
      </c>
      <c r="AB332" t="s">
        <v>92</v>
      </c>
      <c r="AC332" t="s">
        <v>60</v>
      </c>
      <c r="AD332" t="s">
        <v>61</v>
      </c>
      <c r="AE332" t="s">
        <v>62</v>
      </c>
      <c r="AF332" s="5">
        <f>DATE(YEAR(C332),MONTH(C332),1)</f>
        <v>45717</v>
      </c>
      <c r="AG332">
        <f>E332-D332</f>
        <v>24</v>
      </c>
      <c r="AH332" s="6">
        <f t="shared" si="5"/>
        <v>65.598697316139095</v>
      </c>
    </row>
    <row r="333" spans="1:34">
      <c r="A333" t="s">
        <v>779</v>
      </c>
      <c r="B333" t="s">
        <v>780</v>
      </c>
      <c r="C333" s="1">
        <v>45956</v>
      </c>
      <c r="D333" s="1">
        <v>45958</v>
      </c>
      <c r="E333" s="1">
        <v>45987</v>
      </c>
      <c r="F333" t="s">
        <v>153</v>
      </c>
      <c r="G333" t="s">
        <v>75</v>
      </c>
      <c r="H333" t="s">
        <v>154</v>
      </c>
      <c r="I333" t="s">
        <v>86</v>
      </c>
      <c r="J333" t="s">
        <v>87</v>
      </c>
      <c r="K333" t="s">
        <v>88</v>
      </c>
      <c r="L333" t="s">
        <v>59</v>
      </c>
      <c r="M333" t="s">
        <v>43</v>
      </c>
      <c r="N333">
        <v>2</v>
      </c>
      <c r="O333" t="s">
        <v>89</v>
      </c>
      <c r="P333" s="48">
        <v>72991.33</v>
      </c>
      <c r="Q333" s="48">
        <v>14763.57</v>
      </c>
      <c r="R333" s="48">
        <v>5404.34</v>
      </c>
      <c r="S333" s="48">
        <v>811.46</v>
      </c>
      <c r="T333" s="48">
        <v>729.91</v>
      </c>
      <c r="U333" s="48">
        <v>258.76</v>
      </c>
      <c r="V333" s="48">
        <v>1554.93</v>
      </c>
      <c r="W333" s="48">
        <v>49468.36</v>
      </c>
      <c r="X333">
        <v>48</v>
      </c>
      <c r="Y333" t="s">
        <v>117</v>
      </c>
      <c r="Z333">
        <v>123.03</v>
      </c>
      <c r="AA333" t="s">
        <v>91</v>
      </c>
      <c r="AB333" t="s">
        <v>47</v>
      </c>
      <c r="AC333" t="s">
        <v>48</v>
      </c>
      <c r="AD333" t="s">
        <v>93</v>
      </c>
      <c r="AE333" t="s">
        <v>102</v>
      </c>
      <c r="AF333" s="5">
        <f>DATE(YEAR(C333),MONTH(C333),1)</f>
        <v>45931</v>
      </c>
      <c r="AG333">
        <f>E333-D333</f>
        <v>29</v>
      </c>
      <c r="AH333" s="6">
        <f t="shared" si="5"/>
        <v>67.772925907775615</v>
      </c>
    </row>
    <row r="334" spans="1:34">
      <c r="A334" t="s">
        <v>781</v>
      </c>
      <c r="B334" t="s">
        <v>782</v>
      </c>
      <c r="C334" s="1">
        <v>45870</v>
      </c>
      <c r="D334" s="1">
        <v>45874</v>
      </c>
      <c r="E334" s="1">
        <v>45886</v>
      </c>
      <c r="F334" t="s">
        <v>65</v>
      </c>
      <c r="G334" t="s">
        <v>66</v>
      </c>
      <c r="H334" t="s">
        <v>67</v>
      </c>
      <c r="I334" t="s">
        <v>57</v>
      </c>
      <c r="J334" t="s">
        <v>98</v>
      </c>
      <c r="K334" t="s">
        <v>99</v>
      </c>
      <c r="L334" t="s">
        <v>124</v>
      </c>
      <c r="M334" t="s">
        <v>43</v>
      </c>
      <c r="N334">
        <v>2</v>
      </c>
      <c r="O334" t="s">
        <v>105</v>
      </c>
      <c r="P334" s="48">
        <v>86467.06</v>
      </c>
      <c r="Q334" s="48">
        <v>14735.83</v>
      </c>
      <c r="R334" s="48">
        <v>4710.07</v>
      </c>
      <c r="S334" s="48">
        <v>1778.35</v>
      </c>
      <c r="T334" s="48">
        <v>864.67</v>
      </c>
      <c r="U334" s="48">
        <v>364.18</v>
      </c>
      <c r="V334" s="48">
        <v>2347.96</v>
      </c>
      <c r="W334" s="48">
        <v>61666</v>
      </c>
      <c r="X334">
        <v>8</v>
      </c>
      <c r="Y334" t="s">
        <v>101</v>
      </c>
      <c r="Z334">
        <v>122.8</v>
      </c>
      <c r="AA334" t="s">
        <v>91</v>
      </c>
      <c r="AB334" t="s">
        <v>47</v>
      </c>
      <c r="AC334" t="s">
        <v>48</v>
      </c>
      <c r="AD334" t="s">
        <v>144</v>
      </c>
      <c r="AE334" t="s">
        <v>71</v>
      </c>
      <c r="AF334" s="5">
        <f>DATE(YEAR(C334),MONTH(C334),1)</f>
        <v>45870</v>
      </c>
      <c r="AG334">
        <f>E334-D334</f>
        <v>12</v>
      </c>
      <c r="AH334" s="6">
        <f t="shared" si="5"/>
        <v>71.317331709902021</v>
      </c>
    </row>
    <row r="335" spans="1:34">
      <c r="A335" t="s">
        <v>783</v>
      </c>
      <c r="B335" t="s">
        <v>784</v>
      </c>
      <c r="C335" s="1">
        <v>45815</v>
      </c>
      <c r="D335" s="1">
        <v>45817</v>
      </c>
      <c r="E335" s="1">
        <v>45841</v>
      </c>
      <c r="F335" t="s">
        <v>53</v>
      </c>
      <c r="G335" t="s">
        <v>54</v>
      </c>
      <c r="H335" t="s">
        <v>55</v>
      </c>
      <c r="I335" t="s">
        <v>56</v>
      </c>
      <c r="J335" t="s">
        <v>57</v>
      </c>
      <c r="K335" t="s">
        <v>58</v>
      </c>
      <c r="L335" t="s">
        <v>59</v>
      </c>
      <c r="M335" t="s">
        <v>79</v>
      </c>
      <c r="N335">
        <v>2</v>
      </c>
      <c r="O335" t="s">
        <v>80</v>
      </c>
      <c r="P335" s="48">
        <v>78723.820000000007</v>
      </c>
      <c r="Q335" s="48">
        <v>14709.63</v>
      </c>
      <c r="R335" s="48">
        <v>5745.7</v>
      </c>
      <c r="S335" s="48">
        <v>1546.22</v>
      </c>
      <c r="T335" s="48">
        <v>787.24</v>
      </c>
      <c r="U335" s="48">
        <v>183.35</v>
      </c>
      <c r="V335" s="48">
        <v>1171.8</v>
      </c>
      <c r="W335" s="48">
        <v>54579.88</v>
      </c>
      <c r="X335">
        <v>0</v>
      </c>
      <c r="Y335" t="s">
        <v>45</v>
      </c>
      <c r="Z335">
        <v>122.58</v>
      </c>
      <c r="AA335" t="s">
        <v>46</v>
      </c>
      <c r="AB335" t="s">
        <v>92</v>
      </c>
      <c r="AC335" t="s">
        <v>60</v>
      </c>
      <c r="AD335" t="s">
        <v>130</v>
      </c>
      <c r="AE335" t="s">
        <v>50</v>
      </c>
      <c r="AF335" s="5">
        <f>DATE(YEAR(C335),MONTH(C335),1)</f>
        <v>45809</v>
      </c>
      <c r="AG335">
        <f>E335-D335</f>
        <v>24</v>
      </c>
      <c r="AH335" s="6">
        <f t="shared" si="5"/>
        <v>69.33083277716959</v>
      </c>
    </row>
    <row r="336" spans="1:34">
      <c r="A336" t="s">
        <v>785</v>
      </c>
      <c r="B336" t="s">
        <v>786</v>
      </c>
      <c r="C336" s="1">
        <v>45703</v>
      </c>
      <c r="D336" s="1">
        <v>45707</v>
      </c>
      <c r="E336" s="1">
        <v>45728</v>
      </c>
      <c r="F336" t="s">
        <v>180</v>
      </c>
      <c r="G336" t="s">
        <v>181</v>
      </c>
      <c r="H336" t="s">
        <v>38</v>
      </c>
      <c r="I336" t="s">
        <v>40</v>
      </c>
      <c r="J336" t="s">
        <v>122</v>
      </c>
      <c r="K336" t="s">
        <v>123</v>
      </c>
      <c r="L336" t="s">
        <v>42</v>
      </c>
      <c r="M336" t="s">
        <v>108</v>
      </c>
      <c r="N336">
        <v>4</v>
      </c>
      <c r="O336" t="s">
        <v>105</v>
      </c>
      <c r="P336" s="48">
        <v>69260.09</v>
      </c>
      <c r="Q336" s="48">
        <v>14647.99</v>
      </c>
      <c r="R336" s="48">
        <v>4038.48</v>
      </c>
      <c r="S336" s="48">
        <v>1837.7</v>
      </c>
      <c r="T336" s="48">
        <v>692.6</v>
      </c>
      <c r="U336" s="48">
        <v>746.68</v>
      </c>
      <c r="V336" s="48">
        <v>1788.56</v>
      </c>
      <c r="W336" s="48">
        <v>45508.08</v>
      </c>
      <c r="X336">
        <v>36</v>
      </c>
      <c r="Y336" t="s">
        <v>90</v>
      </c>
      <c r="Z336">
        <v>122.07</v>
      </c>
      <c r="AA336" t="s">
        <v>91</v>
      </c>
      <c r="AB336" t="s">
        <v>92</v>
      </c>
      <c r="AC336" t="s">
        <v>70</v>
      </c>
      <c r="AD336" t="s">
        <v>130</v>
      </c>
      <c r="AE336" t="s">
        <v>71</v>
      </c>
      <c r="AF336" s="5">
        <f>DATE(YEAR(C336),MONTH(C336),1)</f>
        <v>45689</v>
      </c>
      <c r="AG336">
        <f>E336-D336</f>
        <v>21</v>
      </c>
      <c r="AH336" s="6">
        <f t="shared" si="5"/>
        <v>65.706065354520916</v>
      </c>
    </row>
    <row r="337" spans="1:34">
      <c r="A337" t="s">
        <v>787</v>
      </c>
      <c r="B337" t="s">
        <v>788</v>
      </c>
      <c r="C337" s="1">
        <v>45668</v>
      </c>
      <c r="D337" s="1">
        <v>45671</v>
      </c>
      <c r="E337" s="1">
        <v>45698</v>
      </c>
      <c r="F337" t="s">
        <v>234</v>
      </c>
      <c r="G337" t="s">
        <v>111</v>
      </c>
      <c r="H337" t="s">
        <v>150</v>
      </c>
      <c r="I337" t="s">
        <v>57</v>
      </c>
      <c r="J337" t="s">
        <v>98</v>
      </c>
      <c r="K337" t="s">
        <v>99</v>
      </c>
      <c r="L337" t="s">
        <v>78</v>
      </c>
      <c r="M337" t="s">
        <v>43</v>
      </c>
      <c r="N337">
        <v>2</v>
      </c>
      <c r="O337" t="s">
        <v>80</v>
      </c>
      <c r="P337" s="48">
        <v>51473.86</v>
      </c>
      <c r="Q337" s="48">
        <v>14626.67</v>
      </c>
      <c r="R337" s="48">
        <v>3050.72</v>
      </c>
      <c r="S337" s="48">
        <v>943.19</v>
      </c>
      <c r="T337" s="48">
        <v>514.74</v>
      </c>
      <c r="U337" s="48">
        <v>854.65</v>
      </c>
      <c r="V337" s="48">
        <v>2172.2800000000002</v>
      </c>
      <c r="W337" s="48">
        <v>29311.61</v>
      </c>
      <c r="X337">
        <v>0</v>
      </c>
      <c r="Y337" t="s">
        <v>45</v>
      </c>
      <c r="Z337">
        <v>121.89</v>
      </c>
      <c r="AA337" t="s">
        <v>46</v>
      </c>
      <c r="AB337" t="s">
        <v>47</v>
      </c>
      <c r="AC337" t="s">
        <v>60</v>
      </c>
      <c r="AD337" t="s">
        <v>49</v>
      </c>
      <c r="AE337" t="s">
        <v>50</v>
      </c>
      <c r="AF337" s="5">
        <f>DATE(YEAR(C337),MONTH(C337),1)</f>
        <v>45658</v>
      </c>
      <c r="AG337">
        <f>E337-D337</f>
        <v>27</v>
      </c>
      <c r="AH337" s="6">
        <f t="shared" si="5"/>
        <v>56.944651129719048</v>
      </c>
    </row>
    <row r="338" spans="1:34">
      <c r="A338" t="s">
        <v>789</v>
      </c>
      <c r="B338" t="s">
        <v>790</v>
      </c>
      <c r="C338" s="1">
        <v>45865</v>
      </c>
      <c r="D338" s="1">
        <v>45866</v>
      </c>
      <c r="E338" s="1">
        <v>45888</v>
      </c>
      <c r="F338" t="s">
        <v>180</v>
      </c>
      <c r="G338" t="s">
        <v>181</v>
      </c>
      <c r="H338" t="s">
        <v>38</v>
      </c>
      <c r="I338" t="s">
        <v>57</v>
      </c>
      <c r="J338" t="s">
        <v>39</v>
      </c>
      <c r="K338" t="s">
        <v>41</v>
      </c>
      <c r="L338" t="s">
        <v>116</v>
      </c>
      <c r="M338" t="s">
        <v>79</v>
      </c>
      <c r="N338">
        <v>2</v>
      </c>
      <c r="O338" t="s">
        <v>89</v>
      </c>
      <c r="P338" s="48">
        <v>60963.95</v>
      </c>
      <c r="Q338" s="48">
        <v>14624.88</v>
      </c>
      <c r="R338" s="48">
        <v>2457.39</v>
      </c>
      <c r="S338" s="48">
        <v>1523.21</v>
      </c>
      <c r="T338" s="48">
        <v>609.64</v>
      </c>
      <c r="U338" s="48">
        <v>109.86</v>
      </c>
      <c r="V338" s="48">
        <v>1805.27</v>
      </c>
      <c r="W338" s="48">
        <v>39833.699999999997</v>
      </c>
      <c r="X338">
        <v>48</v>
      </c>
      <c r="Y338" t="s">
        <v>101</v>
      </c>
      <c r="Z338">
        <v>121.87</v>
      </c>
      <c r="AA338" t="s">
        <v>91</v>
      </c>
      <c r="AB338" t="s">
        <v>92</v>
      </c>
      <c r="AC338" t="s">
        <v>60</v>
      </c>
      <c r="AD338" t="s">
        <v>61</v>
      </c>
      <c r="AE338" t="s">
        <v>62</v>
      </c>
      <c r="AF338" s="5">
        <f>DATE(YEAR(C338),MONTH(C338),1)</f>
        <v>45839</v>
      </c>
      <c r="AG338">
        <f>E338-D338</f>
        <v>22</v>
      </c>
      <c r="AH338" s="6">
        <f t="shared" si="5"/>
        <v>65.339762269341136</v>
      </c>
    </row>
    <row r="339" spans="1:34">
      <c r="A339" t="s">
        <v>791</v>
      </c>
      <c r="B339" t="s">
        <v>792</v>
      </c>
      <c r="C339" s="1">
        <v>45877</v>
      </c>
      <c r="D339" s="1">
        <v>45878</v>
      </c>
      <c r="E339" s="1">
        <v>45904</v>
      </c>
      <c r="F339" t="s">
        <v>149</v>
      </c>
      <c r="G339" t="s">
        <v>111</v>
      </c>
      <c r="H339" t="s">
        <v>150</v>
      </c>
      <c r="I339" t="s">
        <v>115</v>
      </c>
      <c r="J339" t="s">
        <v>98</v>
      </c>
      <c r="K339" t="s">
        <v>99</v>
      </c>
      <c r="L339" t="s">
        <v>59</v>
      </c>
      <c r="M339" t="s">
        <v>43</v>
      </c>
      <c r="N339">
        <v>2</v>
      </c>
      <c r="O339" t="s">
        <v>69</v>
      </c>
      <c r="P339" s="48">
        <v>58213.16</v>
      </c>
      <c r="Q339" s="48">
        <v>14612.99</v>
      </c>
      <c r="R339" s="48">
        <v>3952.11</v>
      </c>
      <c r="S339" s="48">
        <v>1393.65</v>
      </c>
      <c r="T339" s="48">
        <v>582.13</v>
      </c>
      <c r="U339" s="48">
        <v>587.22</v>
      </c>
      <c r="V339" s="48">
        <v>2271.11</v>
      </c>
      <c r="W339" s="48">
        <v>34813.949999999997</v>
      </c>
      <c r="X339">
        <v>0</v>
      </c>
      <c r="Y339" t="s">
        <v>45</v>
      </c>
      <c r="Z339">
        <v>121.77</v>
      </c>
      <c r="AA339" t="s">
        <v>46</v>
      </c>
      <c r="AB339" t="s">
        <v>47</v>
      </c>
      <c r="AC339" t="s">
        <v>48</v>
      </c>
      <c r="AD339" t="s">
        <v>49</v>
      </c>
      <c r="AE339" t="s">
        <v>71</v>
      </c>
      <c r="AF339" s="5">
        <f>DATE(YEAR(C339),MONTH(C339),1)</f>
        <v>45870</v>
      </c>
      <c r="AG339">
        <f>E339-D339</f>
        <v>26</v>
      </c>
      <c r="AH339" s="6">
        <f t="shared" si="5"/>
        <v>59.804260754784643</v>
      </c>
    </row>
    <row r="340" spans="1:34">
      <c r="A340" t="s">
        <v>793</v>
      </c>
      <c r="B340" t="s">
        <v>794</v>
      </c>
      <c r="C340" s="1">
        <v>45823</v>
      </c>
      <c r="D340" s="1">
        <v>45824</v>
      </c>
      <c r="E340" s="1">
        <v>45847</v>
      </c>
      <c r="F340" t="s">
        <v>53</v>
      </c>
      <c r="G340" t="s">
        <v>54</v>
      </c>
      <c r="H340" t="s">
        <v>55</v>
      </c>
      <c r="I340" t="s">
        <v>57</v>
      </c>
      <c r="J340" t="s">
        <v>98</v>
      </c>
      <c r="K340" t="s">
        <v>99</v>
      </c>
      <c r="L340" t="s">
        <v>155</v>
      </c>
      <c r="M340" t="s">
        <v>108</v>
      </c>
      <c r="N340">
        <v>2</v>
      </c>
      <c r="O340" t="s">
        <v>44</v>
      </c>
      <c r="P340" s="48">
        <v>72990.25</v>
      </c>
      <c r="Q340" s="48">
        <v>14508.05</v>
      </c>
      <c r="R340" s="48">
        <v>5644.54</v>
      </c>
      <c r="S340" s="48">
        <v>1155.1199999999999</v>
      </c>
      <c r="T340" s="48">
        <v>729.9</v>
      </c>
      <c r="U340" s="48">
        <v>448.72</v>
      </c>
      <c r="V340" s="48">
        <v>2192.9299999999998</v>
      </c>
      <c r="W340" s="48">
        <v>48310.99</v>
      </c>
      <c r="X340">
        <v>8</v>
      </c>
      <c r="Y340" t="s">
        <v>135</v>
      </c>
      <c r="Z340">
        <v>120.9</v>
      </c>
      <c r="AA340" t="s">
        <v>91</v>
      </c>
      <c r="AB340" t="s">
        <v>92</v>
      </c>
      <c r="AC340" t="s">
        <v>60</v>
      </c>
      <c r="AD340" t="s">
        <v>144</v>
      </c>
      <c r="AE340" t="s">
        <v>62</v>
      </c>
      <c r="AF340" s="5">
        <f>DATE(YEAR(C340),MONTH(C340),1)</f>
        <v>45809</v>
      </c>
      <c r="AG340">
        <f>E340-D340</f>
        <v>23</v>
      </c>
      <c r="AH340" s="6">
        <f t="shared" si="5"/>
        <v>66.188278571453026</v>
      </c>
    </row>
    <row r="341" spans="1:34">
      <c r="A341" t="s">
        <v>795</v>
      </c>
      <c r="B341" t="s">
        <v>796</v>
      </c>
      <c r="C341" s="1">
        <v>45868</v>
      </c>
      <c r="D341" s="1">
        <v>45869</v>
      </c>
      <c r="E341" s="1">
        <v>45890</v>
      </c>
      <c r="F341" t="s">
        <v>65</v>
      </c>
      <c r="G341" t="s">
        <v>66</v>
      </c>
      <c r="H341" t="s">
        <v>67</v>
      </c>
      <c r="I341" t="s">
        <v>40</v>
      </c>
      <c r="J341" t="s">
        <v>122</v>
      </c>
      <c r="K341" t="s">
        <v>123</v>
      </c>
      <c r="L341" t="s">
        <v>78</v>
      </c>
      <c r="M341" t="s">
        <v>68</v>
      </c>
      <c r="N341">
        <v>4</v>
      </c>
      <c r="O341" t="s">
        <v>105</v>
      </c>
      <c r="P341" s="48">
        <v>87261.8</v>
      </c>
      <c r="Q341" s="48">
        <v>14466.56</v>
      </c>
      <c r="R341" s="48">
        <v>6938.52</v>
      </c>
      <c r="S341" s="48">
        <v>957.44</v>
      </c>
      <c r="T341" s="48">
        <v>872.62</v>
      </c>
      <c r="U341" s="48">
        <v>524.86</v>
      </c>
      <c r="V341" s="48">
        <v>1889.44</v>
      </c>
      <c r="W341" s="48">
        <v>61612.36</v>
      </c>
      <c r="X341">
        <v>36</v>
      </c>
      <c r="Y341" t="s">
        <v>135</v>
      </c>
      <c r="Z341">
        <v>120.55</v>
      </c>
      <c r="AA341" t="s">
        <v>91</v>
      </c>
      <c r="AB341" t="s">
        <v>92</v>
      </c>
      <c r="AC341" t="s">
        <v>70</v>
      </c>
      <c r="AD341" t="s">
        <v>144</v>
      </c>
      <c r="AE341" t="s">
        <v>102</v>
      </c>
      <c r="AF341" s="5">
        <f>DATE(YEAR(C341),MONTH(C341),1)</f>
        <v>45839</v>
      </c>
      <c r="AG341">
        <f>E341-D341</f>
        <v>21</v>
      </c>
      <c r="AH341" s="6">
        <f t="shared" si="5"/>
        <v>70.606336335028615</v>
      </c>
    </row>
    <row r="342" spans="1:34">
      <c r="A342" t="s">
        <v>797</v>
      </c>
      <c r="B342" t="s">
        <v>798</v>
      </c>
      <c r="C342" s="1">
        <v>45834</v>
      </c>
      <c r="D342" s="1">
        <v>45838</v>
      </c>
      <c r="E342" s="1">
        <v>45849</v>
      </c>
      <c r="F342" t="s">
        <v>53</v>
      </c>
      <c r="G342" t="s">
        <v>54</v>
      </c>
      <c r="H342" t="s">
        <v>55</v>
      </c>
      <c r="I342" t="s">
        <v>115</v>
      </c>
      <c r="J342" t="s">
        <v>98</v>
      </c>
      <c r="K342" t="s">
        <v>99</v>
      </c>
      <c r="L342" t="s">
        <v>155</v>
      </c>
      <c r="M342" t="s">
        <v>108</v>
      </c>
      <c r="N342">
        <v>4</v>
      </c>
      <c r="O342" t="s">
        <v>54</v>
      </c>
      <c r="P342" s="48">
        <v>72547.89</v>
      </c>
      <c r="Q342" s="48">
        <v>14440.62</v>
      </c>
      <c r="R342" s="48">
        <v>3035.33</v>
      </c>
      <c r="S342" s="48">
        <v>1639.77</v>
      </c>
      <c r="T342" s="48">
        <v>725.48</v>
      </c>
      <c r="U342" s="48">
        <v>158.28</v>
      </c>
      <c r="V342" s="48">
        <v>2372.87</v>
      </c>
      <c r="W342" s="48">
        <v>50175.54</v>
      </c>
      <c r="X342">
        <v>0</v>
      </c>
      <c r="Y342" t="s">
        <v>45</v>
      </c>
      <c r="Z342">
        <v>120.34</v>
      </c>
      <c r="AA342" t="s">
        <v>46</v>
      </c>
      <c r="AB342" t="s">
        <v>47</v>
      </c>
      <c r="AC342" t="s">
        <v>60</v>
      </c>
      <c r="AD342" t="s">
        <v>49</v>
      </c>
      <c r="AE342" t="s">
        <v>102</v>
      </c>
      <c r="AF342" s="5">
        <f>DATE(YEAR(C342),MONTH(C342),1)</f>
        <v>45809</v>
      </c>
      <c r="AG342">
        <f>E342-D342</f>
        <v>11</v>
      </c>
      <c r="AH342" s="6">
        <f t="shared" si="5"/>
        <v>69.161956329811929</v>
      </c>
    </row>
    <row r="343" spans="1:34">
      <c r="A343" t="s">
        <v>799</v>
      </c>
      <c r="B343" t="s">
        <v>800</v>
      </c>
      <c r="C343" s="1">
        <v>45877</v>
      </c>
      <c r="D343" s="1">
        <v>45880</v>
      </c>
      <c r="E343" s="1">
        <v>45895</v>
      </c>
      <c r="F343" t="s">
        <v>83</v>
      </c>
      <c r="G343" t="s">
        <v>84</v>
      </c>
      <c r="H343" t="s">
        <v>85</v>
      </c>
      <c r="I343" t="s">
        <v>86</v>
      </c>
      <c r="J343" t="s">
        <v>122</v>
      </c>
      <c r="K343" t="s">
        <v>41</v>
      </c>
      <c r="L343" t="s">
        <v>59</v>
      </c>
      <c r="M343" t="s">
        <v>79</v>
      </c>
      <c r="N343">
        <v>2</v>
      </c>
      <c r="O343" t="s">
        <v>44</v>
      </c>
      <c r="P343" s="48">
        <v>69095.929999999993</v>
      </c>
      <c r="Q343" s="48">
        <v>14407.8</v>
      </c>
      <c r="R343" s="48">
        <v>2802.92</v>
      </c>
      <c r="S343" s="48">
        <v>1160.1500000000001</v>
      </c>
      <c r="T343" s="48">
        <v>690.96</v>
      </c>
      <c r="U343" s="48">
        <v>841.12</v>
      </c>
      <c r="V343" s="48">
        <v>575.91</v>
      </c>
      <c r="W343" s="48">
        <v>48617.07</v>
      </c>
      <c r="X343">
        <v>4</v>
      </c>
      <c r="Y343" t="s">
        <v>112</v>
      </c>
      <c r="Z343">
        <v>120.06</v>
      </c>
      <c r="AA343" t="s">
        <v>91</v>
      </c>
      <c r="AB343" t="s">
        <v>47</v>
      </c>
      <c r="AC343" t="s">
        <v>60</v>
      </c>
      <c r="AD343" t="s">
        <v>49</v>
      </c>
      <c r="AE343" t="s">
        <v>71</v>
      </c>
      <c r="AF343" s="5">
        <f>DATE(YEAR(C343),MONTH(C343),1)</f>
        <v>45870</v>
      </c>
      <c r="AG343">
        <f>E343-D343</f>
        <v>15</v>
      </c>
      <c r="AH343" s="6">
        <f t="shared" si="5"/>
        <v>70.361698583404262</v>
      </c>
    </row>
    <row r="344" spans="1:34">
      <c r="A344" t="s">
        <v>801</v>
      </c>
      <c r="B344" t="s">
        <v>802</v>
      </c>
      <c r="C344" s="1">
        <v>45759</v>
      </c>
      <c r="D344" s="1">
        <v>45763</v>
      </c>
      <c r="E344" s="1">
        <v>45790</v>
      </c>
      <c r="F344" t="s">
        <v>149</v>
      </c>
      <c r="G344" t="s">
        <v>111</v>
      </c>
      <c r="H344" t="s">
        <v>150</v>
      </c>
      <c r="I344" t="s">
        <v>122</v>
      </c>
      <c r="J344" t="s">
        <v>86</v>
      </c>
      <c r="K344" t="s">
        <v>41</v>
      </c>
      <c r="L344" t="s">
        <v>42</v>
      </c>
      <c r="M344" t="s">
        <v>43</v>
      </c>
      <c r="N344">
        <v>2</v>
      </c>
      <c r="O344" t="s">
        <v>111</v>
      </c>
      <c r="P344" s="48">
        <v>80496.83</v>
      </c>
      <c r="Q344" s="48">
        <v>14397.77</v>
      </c>
      <c r="R344" s="48">
        <v>4879.46</v>
      </c>
      <c r="S344" s="48">
        <v>2072.37</v>
      </c>
      <c r="T344" s="48">
        <v>804.97</v>
      </c>
      <c r="U344" s="48">
        <v>584.59</v>
      </c>
      <c r="V344" s="48">
        <v>1998.59</v>
      </c>
      <c r="W344" s="48">
        <v>55759.08</v>
      </c>
      <c r="X344">
        <v>0</v>
      </c>
      <c r="Y344" t="s">
        <v>45</v>
      </c>
      <c r="Z344">
        <v>119.98</v>
      </c>
      <c r="AA344" t="s">
        <v>46</v>
      </c>
      <c r="AB344" t="s">
        <v>92</v>
      </c>
      <c r="AC344" t="s">
        <v>48</v>
      </c>
      <c r="AD344" t="s">
        <v>130</v>
      </c>
      <c r="AE344" t="s">
        <v>71</v>
      </c>
      <c r="AF344" s="5">
        <f>DATE(YEAR(C344),MONTH(C344),1)</f>
        <v>45748</v>
      </c>
      <c r="AG344">
        <f>E344-D344</f>
        <v>27</v>
      </c>
      <c r="AH344" s="6">
        <f t="shared" si="5"/>
        <v>69.268665610807275</v>
      </c>
    </row>
    <row r="345" spans="1:34">
      <c r="A345" t="s">
        <v>803</v>
      </c>
      <c r="B345" t="s">
        <v>804</v>
      </c>
      <c r="C345" s="1">
        <v>45809</v>
      </c>
      <c r="D345" s="1">
        <v>45813</v>
      </c>
      <c r="E345" s="1">
        <v>45839</v>
      </c>
      <c r="F345" t="s">
        <v>96</v>
      </c>
      <c r="G345" t="s">
        <v>97</v>
      </c>
      <c r="H345" t="s">
        <v>76</v>
      </c>
      <c r="I345" t="s">
        <v>86</v>
      </c>
      <c r="J345" t="s">
        <v>98</v>
      </c>
      <c r="K345" t="s">
        <v>41</v>
      </c>
      <c r="L345" t="s">
        <v>42</v>
      </c>
      <c r="M345" t="s">
        <v>43</v>
      </c>
      <c r="N345">
        <v>4</v>
      </c>
      <c r="O345" t="s">
        <v>44</v>
      </c>
      <c r="P345" s="48">
        <v>76549.850000000006</v>
      </c>
      <c r="Q345" s="48">
        <v>14396.54</v>
      </c>
      <c r="R345" s="48">
        <v>3707.65</v>
      </c>
      <c r="S345" s="48">
        <v>1865.6</v>
      </c>
      <c r="T345" s="48">
        <v>765.5</v>
      </c>
      <c r="U345" s="48">
        <v>586.14</v>
      </c>
      <c r="V345" s="48">
        <v>1303.3900000000001</v>
      </c>
      <c r="W345" s="48">
        <v>53925.03</v>
      </c>
      <c r="X345">
        <v>0</v>
      </c>
      <c r="Y345" t="s">
        <v>45</v>
      </c>
      <c r="Z345">
        <v>119.97</v>
      </c>
      <c r="AA345" t="s">
        <v>46</v>
      </c>
      <c r="AB345" t="s">
        <v>92</v>
      </c>
      <c r="AC345" t="s">
        <v>70</v>
      </c>
      <c r="AD345" t="s">
        <v>49</v>
      </c>
      <c r="AE345" t="s">
        <v>102</v>
      </c>
      <c r="AF345" s="5">
        <f>DATE(YEAR(C345),MONTH(C345),1)</f>
        <v>45809</v>
      </c>
      <c r="AG345">
        <f>E345-D345</f>
        <v>26</v>
      </c>
      <c r="AH345" s="6">
        <f t="shared" si="5"/>
        <v>70.444331373608165</v>
      </c>
    </row>
    <row r="346" spans="1:34">
      <c r="A346" t="s">
        <v>805</v>
      </c>
      <c r="B346" t="s">
        <v>806</v>
      </c>
      <c r="C346" s="1">
        <v>45689</v>
      </c>
      <c r="D346" s="1">
        <v>45691</v>
      </c>
      <c r="E346" s="1">
        <v>45714</v>
      </c>
      <c r="F346" t="s">
        <v>120</v>
      </c>
      <c r="G346" t="s">
        <v>75</v>
      </c>
      <c r="H346" t="s">
        <v>121</v>
      </c>
      <c r="I346" t="s">
        <v>115</v>
      </c>
      <c r="J346" t="s">
        <v>98</v>
      </c>
      <c r="K346" t="s">
        <v>41</v>
      </c>
      <c r="L346" t="s">
        <v>127</v>
      </c>
      <c r="M346" t="s">
        <v>79</v>
      </c>
      <c r="N346">
        <v>4</v>
      </c>
      <c r="O346" t="s">
        <v>111</v>
      </c>
      <c r="P346" s="48">
        <v>52254.46</v>
      </c>
      <c r="Q346" s="48">
        <v>14395.76</v>
      </c>
      <c r="R346" s="48">
        <v>2860.14</v>
      </c>
      <c r="S346" s="48">
        <v>1439.73</v>
      </c>
      <c r="T346" s="48">
        <v>522.54</v>
      </c>
      <c r="U346" s="48">
        <v>601.14</v>
      </c>
      <c r="V346" s="48">
        <v>1046.69</v>
      </c>
      <c r="W346" s="48">
        <v>31388.46</v>
      </c>
      <c r="X346">
        <v>12</v>
      </c>
      <c r="Y346" t="s">
        <v>112</v>
      </c>
      <c r="Z346">
        <v>119.96</v>
      </c>
      <c r="AA346" t="s">
        <v>91</v>
      </c>
      <c r="AB346" t="s">
        <v>47</v>
      </c>
      <c r="AC346" t="s">
        <v>60</v>
      </c>
      <c r="AD346" t="s">
        <v>49</v>
      </c>
      <c r="AE346" t="s">
        <v>71</v>
      </c>
      <c r="AF346" s="5">
        <f>DATE(YEAR(C346),MONTH(C346),1)</f>
        <v>45689</v>
      </c>
      <c r="AG346">
        <f>E346-D346</f>
        <v>23</v>
      </c>
      <c r="AH346" s="6">
        <f t="shared" si="5"/>
        <v>60.068480279003936</v>
      </c>
    </row>
    <row r="347" spans="1:34">
      <c r="A347" t="s">
        <v>807</v>
      </c>
      <c r="B347" t="s">
        <v>808</v>
      </c>
      <c r="C347" s="1">
        <v>45890</v>
      </c>
      <c r="D347" s="1">
        <v>45893</v>
      </c>
      <c r="E347" s="1">
        <v>45920</v>
      </c>
      <c r="F347" t="s">
        <v>180</v>
      </c>
      <c r="G347" t="s">
        <v>181</v>
      </c>
      <c r="H347" t="s">
        <v>38</v>
      </c>
      <c r="I347" t="s">
        <v>86</v>
      </c>
      <c r="J347" t="s">
        <v>87</v>
      </c>
      <c r="K347" t="s">
        <v>88</v>
      </c>
      <c r="L347" t="s">
        <v>116</v>
      </c>
      <c r="M347" t="s">
        <v>68</v>
      </c>
      <c r="N347">
        <v>2</v>
      </c>
      <c r="O347" t="s">
        <v>89</v>
      </c>
      <c r="P347" s="48">
        <v>85938.559999999998</v>
      </c>
      <c r="Q347" s="48">
        <v>14391.58</v>
      </c>
      <c r="R347" s="48">
        <v>3642.72</v>
      </c>
      <c r="S347" s="48">
        <v>1592.36</v>
      </c>
      <c r="T347" s="48">
        <v>859.39</v>
      </c>
      <c r="U347" s="48">
        <v>740.64</v>
      </c>
      <c r="V347" s="48">
        <v>1314.97</v>
      </c>
      <c r="W347" s="48">
        <v>63396.9</v>
      </c>
      <c r="X347">
        <v>0</v>
      </c>
      <c r="Y347" t="s">
        <v>45</v>
      </c>
      <c r="Z347">
        <v>119.93</v>
      </c>
      <c r="AA347" t="s">
        <v>46</v>
      </c>
      <c r="AB347" t="s">
        <v>92</v>
      </c>
      <c r="AC347" t="s">
        <v>60</v>
      </c>
      <c r="AD347" t="s">
        <v>93</v>
      </c>
      <c r="AE347" t="s">
        <v>102</v>
      </c>
      <c r="AF347" s="5">
        <f>DATE(YEAR(C347),MONTH(C347),1)</f>
        <v>45870</v>
      </c>
      <c r="AG347">
        <f>E347-D347</f>
        <v>27</v>
      </c>
      <c r="AH347" s="6">
        <f t="shared" si="5"/>
        <v>73.770028262051397</v>
      </c>
    </row>
    <row r="348" spans="1:34">
      <c r="A348" t="s">
        <v>809</v>
      </c>
      <c r="B348" t="s">
        <v>810</v>
      </c>
      <c r="C348" s="1">
        <v>45803</v>
      </c>
      <c r="D348" s="1">
        <v>45807</v>
      </c>
      <c r="E348" s="1">
        <v>45821</v>
      </c>
      <c r="F348" t="s">
        <v>74</v>
      </c>
      <c r="G348" t="s">
        <v>75</v>
      </c>
      <c r="H348" t="s">
        <v>76</v>
      </c>
      <c r="I348" t="s">
        <v>40</v>
      </c>
      <c r="J348" t="s">
        <v>122</v>
      </c>
      <c r="K348" t="s">
        <v>123</v>
      </c>
      <c r="L348" t="s">
        <v>155</v>
      </c>
      <c r="M348" t="s">
        <v>108</v>
      </c>
      <c r="N348">
        <v>2</v>
      </c>
      <c r="O348" t="s">
        <v>105</v>
      </c>
      <c r="P348" s="48">
        <v>59760.08</v>
      </c>
      <c r="Q348" s="48">
        <v>14377.64</v>
      </c>
      <c r="R348" s="48">
        <v>3788.17</v>
      </c>
      <c r="S348" s="48">
        <v>1172.57</v>
      </c>
      <c r="T348" s="48">
        <v>597.6</v>
      </c>
      <c r="U348" s="48">
        <v>865.57</v>
      </c>
      <c r="V348" s="48">
        <v>1252</v>
      </c>
      <c r="W348" s="48">
        <v>37706.53</v>
      </c>
      <c r="X348">
        <v>36</v>
      </c>
      <c r="Y348" t="s">
        <v>135</v>
      </c>
      <c r="Z348">
        <v>119.81</v>
      </c>
      <c r="AA348" t="s">
        <v>91</v>
      </c>
      <c r="AB348" t="s">
        <v>47</v>
      </c>
      <c r="AC348" t="s">
        <v>48</v>
      </c>
      <c r="AD348" t="s">
        <v>61</v>
      </c>
      <c r="AE348" t="s">
        <v>50</v>
      </c>
      <c r="AF348" s="5">
        <f>DATE(YEAR(C348),MONTH(C348),1)</f>
        <v>45778</v>
      </c>
      <c r="AG348">
        <f>E348-D348</f>
        <v>14</v>
      </c>
      <c r="AH348" s="6">
        <f t="shared" si="5"/>
        <v>63.09651861242488</v>
      </c>
    </row>
    <row r="349" spans="1:34">
      <c r="A349" t="s">
        <v>811</v>
      </c>
      <c r="B349" t="s">
        <v>812</v>
      </c>
      <c r="C349" s="1">
        <v>45744</v>
      </c>
      <c r="D349" s="1">
        <v>45748</v>
      </c>
      <c r="E349" s="1">
        <v>45774</v>
      </c>
      <c r="F349" t="s">
        <v>74</v>
      </c>
      <c r="G349" t="s">
        <v>75</v>
      </c>
      <c r="H349" t="s">
        <v>76</v>
      </c>
      <c r="I349" t="s">
        <v>57</v>
      </c>
      <c r="J349" t="s">
        <v>56</v>
      </c>
      <c r="K349" t="s">
        <v>41</v>
      </c>
      <c r="L349" t="s">
        <v>78</v>
      </c>
      <c r="M349" t="s">
        <v>79</v>
      </c>
      <c r="N349">
        <v>2</v>
      </c>
      <c r="O349" t="s">
        <v>69</v>
      </c>
      <c r="P349" s="48">
        <v>78982.06</v>
      </c>
      <c r="Q349" s="48">
        <v>14372.93</v>
      </c>
      <c r="R349" s="48">
        <v>4296.1099999999997</v>
      </c>
      <c r="S349" s="48">
        <v>2092.2600000000002</v>
      </c>
      <c r="T349" s="48">
        <v>789.82</v>
      </c>
      <c r="U349" s="48">
        <v>442.32</v>
      </c>
      <c r="V349" s="48">
        <v>2387.1799999999998</v>
      </c>
      <c r="W349" s="48">
        <v>54601.440000000002</v>
      </c>
      <c r="X349">
        <v>0</v>
      </c>
      <c r="Y349" t="s">
        <v>45</v>
      </c>
      <c r="Z349">
        <v>119.77</v>
      </c>
      <c r="AA349" t="s">
        <v>46</v>
      </c>
      <c r="AB349" t="s">
        <v>47</v>
      </c>
      <c r="AC349" t="s">
        <v>48</v>
      </c>
      <c r="AD349" t="s">
        <v>130</v>
      </c>
      <c r="AE349" t="s">
        <v>62</v>
      </c>
      <c r="AF349" s="5">
        <f>DATE(YEAR(C349),MONTH(C349),1)</f>
        <v>45717</v>
      </c>
      <c r="AG349">
        <f>E349-D349</f>
        <v>26</v>
      </c>
      <c r="AH349" s="6">
        <f t="shared" si="5"/>
        <v>69.13144579921061</v>
      </c>
    </row>
    <row r="350" spans="1:34">
      <c r="A350" t="s">
        <v>813</v>
      </c>
      <c r="B350" t="s">
        <v>814</v>
      </c>
      <c r="C350" s="1">
        <v>45682</v>
      </c>
      <c r="D350" s="1">
        <v>45683</v>
      </c>
      <c r="E350" s="1">
        <v>45707</v>
      </c>
      <c r="F350" t="s">
        <v>180</v>
      </c>
      <c r="G350" t="s">
        <v>181</v>
      </c>
      <c r="H350" t="s">
        <v>38</v>
      </c>
      <c r="I350" t="s">
        <v>86</v>
      </c>
      <c r="J350" t="s">
        <v>87</v>
      </c>
      <c r="K350" t="s">
        <v>88</v>
      </c>
      <c r="L350" t="s">
        <v>155</v>
      </c>
      <c r="M350" t="s">
        <v>43</v>
      </c>
      <c r="N350">
        <v>2</v>
      </c>
      <c r="O350" t="s">
        <v>111</v>
      </c>
      <c r="P350" s="48">
        <v>71998.81</v>
      </c>
      <c r="Q350" s="48">
        <v>14354.73</v>
      </c>
      <c r="R350" s="48">
        <v>5029.6099999999997</v>
      </c>
      <c r="S350" s="48">
        <v>946.47</v>
      </c>
      <c r="T350" s="48">
        <v>719.99</v>
      </c>
      <c r="U350" s="48">
        <v>266.52</v>
      </c>
      <c r="V350" s="48">
        <v>2008.14</v>
      </c>
      <c r="W350" s="48">
        <v>48673.35</v>
      </c>
      <c r="X350">
        <v>8</v>
      </c>
      <c r="Y350" t="s">
        <v>117</v>
      </c>
      <c r="Z350">
        <v>119.62</v>
      </c>
      <c r="AA350" t="s">
        <v>91</v>
      </c>
      <c r="AB350" t="s">
        <v>92</v>
      </c>
      <c r="AC350" t="s">
        <v>48</v>
      </c>
      <c r="AD350" t="s">
        <v>49</v>
      </c>
      <c r="AE350" t="s">
        <v>102</v>
      </c>
      <c r="AF350" s="5">
        <f>DATE(YEAR(C350),MONTH(C350),1)</f>
        <v>45658</v>
      </c>
      <c r="AG350">
        <f>E350-D350</f>
        <v>24</v>
      </c>
      <c r="AH350" s="6">
        <f t="shared" si="5"/>
        <v>67.602992327234304</v>
      </c>
    </row>
    <row r="351" spans="1:34">
      <c r="A351" t="s">
        <v>815</v>
      </c>
      <c r="B351" t="s">
        <v>816</v>
      </c>
      <c r="C351" s="1">
        <v>45960</v>
      </c>
      <c r="D351" s="1">
        <v>45964</v>
      </c>
      <c r="E351" s="1">
        <v>45982</v>
      </c>
      <c r="F351" t="s">
        <v>120</v>
      </c>
      <c r="G351" t="s">
        <v>75</v>
      </c>
      <c r="H351" t="s">
        <v>121</v>
      </c>
      <c r="I351" t="s">
        <v>98</v>
      </c>
      <c r="J351" t="s">
        <v>87</v>
      </c>
      <c r="K351" t="s">
        <v>41</v>
      </c>
      <c r="L351" t="s">
        <v>42</v>
      </c>
      <c r="M351" t="s">
        <v>68</v>
      </c>
      <c r="N351">
        <v>2</v>
      </c>
      <c r="O351" t="s">
        <v>54</v>
      </c>
      <c r="P351" s="48">
        <v>57409.54</v>
      </c>
      <c r="Q351" s="48">
        <v>14310.28</v>
      </c>
      <c r="R351" s="48">
        <v>3915.86</v>
      </c>
      <c r="S351" s="48">
        <v>1213.1600000000001</v>
      </c>
      <c r="T351" s="48">
        <v>574.1</v>
      </c>
      <c r="U351" s="48">
        <v>715.27</v>
      </c>
      <c r="V351" s="48">
        <v>500.27</v>
      </c>
      <c r="W351" s="48">
        <v>36180.6</v>
      </c>
      <c r="X351">
        <v>0</v>
      </c>
      <c r="Y351" t="s">
        <v>45</v>
      </c>
      <c r="Z351">
        <v>119.25</v>
      </c>
      <c r="AA351" t="s">
        <v>46</v>
      </c>
      <c r="AB351" t="s">
        <v>47</v>
      </c>
      <c r="AC351" t="s">
        <v>60</v>
      </c>
      <c r="AD351" t="s">
        <v>49</v>
      </c>
      <c r="AE351" t="s">
        <v>62</v>
      </c>
      <c r="AF351" s="5">
        <f>DATE(YEAR(C351),MONTH(C351),1)</f>
        <v>45931</v>
      </c>
      <c r="AG351">
        <f>E351-D351</f>
        <v>18</v>
      </c>
      <c r="AH351" s="6">
        <f t="shared" si="5"/>
        <v>63.021929804697962</v>
      </c>
    </row>
    <row r="352" spans="1:34">
      <c r="A352" t="s">
        <v>817</v>
      </c>
      <c r="B352" t="s">
        <v>818</v>
      </c>
      <c r="C352" s="1">
        <v>45898</v>
      </c>
      <c r="D352" s="1">
        <v>45901</v>
      </c>
      <c r="E352" s="1">
        <v>45928</v>
      </c>
      <c r="F352" t="s">
        <v>65</v>
      </c>
      <c r="G352" t="s">
        <v>66</v>
      </c>
      <c r="H352" t="s">
        <v>67</v>
      </c>
      <c r="I352" t="s">
        <v>57</v>
      </c>
      <c r="J352" t="s">
        <v>40</v>
      </c>
      <c r="K352" t="s">
        <v>41</v>
      </c>
      <c r="L352" t="s">
        <v>42</v>
      </c>
      <c r="M352" t="s">
        <v>68</v>
      </c>
      <c r="N352">
        <v>2</v>
      </c>
      <c r="O352" t="s">
        <v>80</v>
      </c>
      <c r="P352" s="48">
        <v>87579.01</v>
      </c>
      <c r="Q352" s="48">
        <v>14309.75</v>
      </c>
      <c r="R352" s="48">
        <v>5177.3100000000004</v>
      </c>
      <c r="S352" s="48">
        <v>2577.4899999999998</v>
      </c>
      <c r="T352" s="48">
        <v>875.79</v>
      </c>
      <c r="U352" s="48">
        <v>168.03</v>
      </c>
      <c r="V352" s="48">
        <v>1395.89</v>
      </c>
      <c r="W352" s="48">
        <v>63074.75</v>
      </c>
      <c r="X352">
        <v>24</v>
      </c>
      <c r="Y352" t="s">
        <v>112</v>
      </c>
      <c r="Z352">
        <v>119.25</v>
      </c>
      <c r="AA352" t="s">
        <v>91</v>
      </c>
      <c r="AB352" t="s">
        <v>92</v>
      </c>
      <c r="AC352" t="s">
        <v>60</v>
      </c>
      <c r="AD352" t="s">
        <v>130</v>
      </c>
      <c r="AE352" t="s">
        <v>71</v>
      </c>
      <c r="AF352" s="5">
        <f>DATE(YEAR(C352),MONTH(C352),1)</f>
        <v>45870</v>
      </c>
      <c r="AG352">
        <f>E352-D352</f>
        <v>27</v>
      </c>
      <c r="AH352" s="6">
        <f t="shared" si="5"/>
        <v>72.020396211375314</v>
      </c>
    </row>
    <row r="353" spans="1:34">
      <c r="A353" t="s">
        <v>819</v>
      </c>
      <c r="B353" t="s">
        <v>820</v>
      </c>
      <c r="C353" s="1">
        <v>45749</v>
      </c>
      <c r="D353" s="1">
        <v>45752</v>
      </c>
      <c r="E353" s="1">
        <v>45773</v>
      </c>
      <c r="F353" t="s">
        <v>96</v>
      </c>
      <c r="G353" t="s">
        <v>97</v>
      </c>
      <c r="H353" t="s">
        <v>76</v>
      </c>
      <c r="I353" t="s">
        <v>57</v>
      </c>
      <c r="J353" t="s">
        <v>98</v>
      </c>
      <c r="K353" t="s">
        <v>99</v>
      </c>
      <c r="L353" t="s">
        <v>116</v>
      </c>
      <c r="M353" t="s">
        <v>68</v>
      </c>
      <c r="N353">
        <v>4</v>
      </c>
      <c r="O353" t="s">
        <v>54</v>
      </c>
      <c r="P353" s="48">
        <v>66607.55</v>
      </c>
      <c r="Q353" s="48">
        <v>14280.76</v>
      </c>
      <c r="R353" s="48">
        <v>4013.42</v>
      </c>
      <c r="S353" s="48">
        <v>1681.49</v>
      </c>
      <c r="T353" s="48">
        <v>666.08</v>
      </c>
      <c r="U353" s="48">
        <v>784.73</v>
      </c>
      <c r="V353" s="48">
        <v>326.74</v>
      </c>
      <c r="W353" s="48">
        <v>44854.33</v>
      </c>
      <c r="X353">
        <v>0</v>
      </c>
      <c r="Y353" t="s">
        <v>45</v>
      </c>
      <c r="Z353">
        <v>119.01</v>
      </c>
      <c r="AA353" t="s">
        <v>46</v>
      </c>
      <c r="AB353" t="s">
        <v>92</v>
      </c>
      <c r="AC353" t="s">
        <v>48</v>
      </c>
      <c r="AD353" t="s">
        <v>61</v>
      </c>
      <c r="AE353" t="s">
        <v>62</v>
      </c>
      <c r="AF353" s="5">
        <f>DATE(YEAR(C353),MONTH(C353),1)</f>
        <v>45748</v>
      </c>
      <c r="AG353">
        <f>E353-D353</f>
        <v>21</v>
      </c>
      <c r="AH353" s="6">
        <f t="shared" si="5"/>
        <v>67.341209817805932</v>
      </c>
    </row>
    <row r="354" spans="1:34">
      <c r="A354" t="s">
        <v>821</v>
      </c>
      <c r="B354" t="s">
        <v>822</v>
      </c>
      <c r="C354" s="1">
        <v>45784</v>
      </c>
      <c r="D354" s="1">
        <v>45786</v>
      </c>
      <c r="E354" s="1">
        <v>45797</v>
      </c>
      <c r="F354" t="s">
        <v>36</v>
      </c>
      <c r="G354" t="s">
        <v>37</v>
      </c>
      <c r="H354" t="s">
        <v>38</v>
      </c>
      <c r="I354" t="s">
        <v>115</v>
      </c>
      <c r="J354" t="s">
        <v>98</v>
      </c>
      <c r="K354" t="s">
        <v>99</v>
      </c>
      <c r="L354" t="s">
        <v>59</v>
      </c>
      <c r="M354" t="s">
        <v>43</v>
      </c>
      <c r="N354">
        <v>2</v>
      </c>
      <c r="O354" t="s">
        <v>89</v>
      </c>
      <c r="P354" s="48">
        <v>50885.51</v>
      </c>
      <c r="Q354" s="48">
        <v>14268.01</v>
      </c>
      <c r="R354" s="48">
        <v>2932.14</v>
      </c>
      <c r="S354" s="48">
        <v>1516.16</v>
      </c>
      <c r="T354" s="48">
        <v>508.86</v>
      </c>
      <c r="U354" s="48">
        <v>356.15</v>
      </c>
      <c r="V354" s="48">
        <v>2123.75</v>
      </c>
      <c r="W354" s="48">
        <v>29180.44</v>
      </c>
      <c r="X354">
        <v>24</v>
      </c>
      <c r="Y354" t="s">
        <v>90</v>
      </c>
      <c r="Z354">
        <v>118.9</v>
      </c>
      <c r="AA354" t="s">
        <v>91</v>
      </c>
      <c r="AB354" t="s">
        <v>92</v>
      </c>
      <c r="AC354" t="s">
        <v>48</v>
      </c>
      <c r="AD354" t="s">
        <v>49</v>
      </c>
      <c r="AE354" t="s">
        <v>102</v>
      </c>
      <c r="AF354" s="5">
        <f>DATE(YEAR(C354),MONTH(C354),1)</f>
        <v>45778</v>
      </c>
      <c r="AG354">
        <f>E354-D354</f>
        <v>11</v>
      </c>
      <c r="AH354" s="6">
        <f t="shared" si="5"/>
        <v>57.345283559111415</v>
      </c>
    </row>
    <row r="355" spans="1:34">
      <c r="A355" t="s">
        <v>823</v>
      </c>
      <c r="B355" t="s">
        <v>824</v>
      </c>
      <c r="C355" s="1">
        <v>45703</v>
      </c>
      <c r="D355" s="1">
        <v>45707</v>
      </c>
      <c r="E355" s="1">
        <v>45725</v>
      </c>
      <c r="F355" t="s">
        <v>234</v>
      </c>
      <c r="G355" t="s">
        <v>111</v>
      </c>
      <c r="H355" t="s">
        <v>150</v>
      </c>
      <c r="I355" t="s">
        <v>87</v>
      </c>
      <c r="J355" t="s">
        <v>115</v>
      </c>
      <c r="K355" t="s">
        <v>41</v>
      </c>
      <c r="L355" t="s">
        <v>78</v>
      </c>
      <c r="M355" t="s">
        <v>79</v>
      </c>
      <c r="N355">
        <v>2</v>
      </c>
      <c r="O355" t="s">
        <v>89</v>
      </c>
      <c r="P355" s="48">
        <v>84478.57</v>
      </c>
      <c r="Q355" s="48">
        <v>14241.66</v>
      </c>
      <c r="R355" s="48">
        <v>4899.41</v>
      </c>
      <c r="S355" s="48">
        <v>1608.77</v>
      </c>
      <c r="T355" s="48">
        <v>844.79</v>
      </c>
      <c r="U355" s="48">
        <v>858.98</v>
      </c>
      <c r="V355" s="48">
        <v>1161.24</v>
      </c>
      <c r="W355" s="48">
        <v>60863.72</v>
      </c>
      <c r="X355">
        <v>0</v>
      </c>
      <c r="Y355" t="s">
        <v>45</v>
      </c>
      <c r="Z355">
        <v>118.68</v>
      </c>
      <c r="AA355" t="s">
        <v>46</v>
      </c>
      <c r="AB355" t="s">
        <v>92</v>
      </c>
      <c r="AC355" t="s">
        <v>60</v>
      </c>
      <c r="AD355" t="s">
        <v>93</v>
      </c>
      <c r="AE355" t="s">
        <v>50</v>
      </c>
      <c r="AF355" s="5">
        <f>DATE(YEAR(C355),MONTH(C355),1)</f>
        <v>45689</v>
      </c>
      <c r="AG355">
        <f>E355-D355</f>
        <v>18</v>
      </c>
      <c r="AH355" s="6">
        <f t="shared" si="5"/>
        <v>72.046342640506339</v>
      </c>
    </row>
    <row r="356" spans="1:34">
      <c r="A356" t="s">
        <v>825</v>
      </c>
      <c r="B356" t="s">
        <v>826</v>
      </c>
      <c r="C356" s="1">
        <v>45780</v>
      </c>
      <c r="D356" s="1">
        <v>45783</v>
      </c>
      <c r="E356" s="1">
        <v>45806</v>
      </c>
      <c r="F356" t="s">
        <v>138</v>
      </c>
      <c r="G356" t="s">
        <v>139</v>
      </c>
      <c r="H356" t="s">
        <v>76</v>
      </c>
      <c r="I356" t="s">
        <v>39</v>
      </c>
      <c r="J356" t="s">
        <v>57</v>
      </c>
      <c r="K356" t="s">
        <v>41</v>
      </c>
      <c r="L356" t="s">
        <v>124</v>
      </c>
      <c r="M356" t="s">
        <v>43</v>
      </c>
      <c r="N356">
        <v>2</v>
      </c>
      <c r="O356" t="s">
        <v>44</v>
      </c>
      <c r="P356" s="48">
        <v>60716.9</v>
      </c>
      <c r="Q356" s="48">
        <v>14239.91</v>
      </c>
      <c r="R356" s="48">
        <v>2528.92</v>
      </c>
      <c r="S356" s="48">
        <v>1404.14</v>
      </c>
      <c r="T356" s="48">
        <v>607.16999999999996</v>
      </c>
      <c r="U356" s="48">
        <v>728.63</v>
      </c>
      <c r="V356" s="48">
        <v>2099.3200000000002</v>
      </c>
      <c r="W356" s="48">
        <v>39108.81</v>
      </c>
      <c r="X356">
        <v>8</v>
      </c>
      <c r="Y356" t="s">
        <v>90</v>
      </c>
      <c r="Z356">
        <v>118.67</v>
      </c>
      <c r="AA356" t="s">
        <v>91</v>
      </c>
      <c r="AB356" t="s">
        <v>92</v>
      </c>
      <c r="AC356" t="s">
        <v>48</v>
      </c>
      <c r="AD356" t="s">
        <v>144</v>
      </c>
      <c r="AE356" t="s">
        <v>102</v>
      </c>
      <c r="AF356" s="5">
        <f>DATE(YEAR(C356),MONTH(C356),1)</f>
        <v>45778</v>
      </c>
      <c r="AG356">
        <f>E356-D356</f>
        <v>23</v>
      </c>
      <c r="AH356" s="6">
        <f t="shared" si="5"/>
        <v>64.411737094614509</v>
      </c>
    </row>
    <row r="357" spans="1:34">
      <c r="A357" t="s">
        <v>827</v>
      </c>
      <c r="B357" t="s">
        <v>828</v>
      </c>
      <c r="C357" s="1">
        <v>45957</v>
      </c>
      <c r="D357" s="1">
        <v>45960</v>
      </c>
      <c r="E357" s="1">
        <v>45979</v>
      </c>
      <c r="F357" t="s">
        <v>149</v>
      </c>
      <c r="G357" t="s">
        <v>111</v>
      </c>
      <c r="H357" t="s">
        <v>150</v>
      </c>
      <c r="I357" t="s">
        <v>57</v>
      </c>
      <c r="J357" t="s">
        <v>98</v>
      </c>
      <c r="K357" t="s">
        <v>99</v>
      </c>
      <c r="L357" t="s">
        <v>100</v>
      </c>
      <c r="M357" t="s">
        <v>68</v>
      </c>
      <c r="N357">
        <v>2</v>
      </c>
      <c r="O357" t="s">
        <v>54</v>
      </c>
      <c r="P357" s="48">
        <v>50781.83</v>
      </c>
      <c r="Q357" s="48">
        <v>14155.16</v>
      </c>
      <c r="R357" s="48">
        <v>3907.21</v>
      </c>
      <c r="S357" s="48">
        <v>1087.71</v>
      </c>
      <c r="T357" s="48">
        <v>507.82</v>
      </c>
      <c r="U357" s="48">
        <v>114.38</v>
      </c>
      <c r="V357" s="48">
        <v>1528.18</v>
      </c>
      <c r="W357" s="48">
        <v>29481.37</v>
      </c>
      <c r="X357">
        <v>4</v>
      </c>
      <c r="Y357" t="s">
        <v>101</v>
      </c>
      <c r="Z357">
        <v>117.96</v>
      </c>
      <c r="AA357" t="s">
        <v>91</v>
      </c>
      <c r="AB357" t="s">
        <v>47</v>
      </c>
      <c r="AC357" t="s">
        <v>70</v>
      </c>
      <c r="AD357" t="s">
        <v>61</v>
      </c>
      <c r="AE357" t="s">
        <v>50</v>
      </c>
      <c r="AF357" s="5">
        <f>DATE(YEAR(C357),MONTH(C357),1)</f>
        <v>45931</v>
      </c>
      <c r="AG357">
        <f>E357-D357</f>
        <v>19</v>
      </c>
      <c r="AH357" s="6">
        <f t="shared" si="5"/>
        <v>58.054957846142997</v>
      </c>
    </row>
    <row r="358" spans="1:34">
      <c r="A358" t="s">
        <v>829</v>
      </c>
      <c r="B358" t="s">
        <v>830</v>
      </c>
      <c r="C358" s="1">
        <v>45928</v>
      </c>
      <c r="D358" s="1">
        <v>45929</v>
      </c>
      <c r="E358" s="1">
        <v>45950</v>
      </c>
      <c r="F358" t="s">
        <v>180</v>
      </c>
      <c r="G358" t="s">
        <v>181</v>
      </c>
      <c r="H358" t="s">
        <v>38</v>
      </c>
      <c r="I358" t="s">
        <v>86</v>
      </c>
      <c r="J358" t="s">
        <v>87</v>
      </c>
      <c r="K358" t="s">
        <v>88</v>
      </c>
      <c r="L358" t="s">
        <v>127</v>
      </c>
      <c r="M358" t="s">
        <v>79</v>
      </c>
      <c r="N358">
        <v>4</v>
      </c>
      <c r="O358" t="s">
        <v>80</v>
      </c>
      <c r="P358" s="48">
        <v>65393.84</v>
      </c>
      <c r="Q358" s="48">
        <v>14150.95</v>
      </c>
      <c r="R358" s="48">
        <v>5174.99</v>
      </c>
      <c r="S358" s="48">
        <v>1841.56</v>
      </c>
      <c r="T358" s="48">
        <v>653.94000000000005</v>
      </c>
      <c r="U358" s="48">
        <v>106.27</v>
      </c>
      <c r="V358" s="48">
        <v>2015.62</v>
      </c>
      <c r="W358" s="48">
        <v>41450.51</v>
      </c>
      <c r="X358">
        <v>24</v>
      </c>
      <c r="Y358" t="s">
        <v>117</v>
      </c>
      <c r="Z358">
        <v>117.92</v>
      </c>
      <c r="AA358" t="s">
        <v>91</v>
      </c>
      <c r="AB358" t="s">
        <v>47</v>
      </c>
      <c r="AC358" t="s">
        <v>60</v>
      </c>
      <c r="AD358" t="s">
        <v>49</v>
      </c>
      <c r="AE358" t="s">
        <v>50</v>
      </c>
      <c r="AF358" s="5">
        <f>DATE(YEAR(C358),MONTH(C358),1)</f>
        <v>45901</v>
      </c>
      <c r="AG358">
        <f>E358-D358</f>
        <v>21</v>
      </c>
      <c r="AH358" s="6">
        <f t="shared" si="5"/>
        <v>63.385955007382968</v>
      </c>
    </row>
    <row r="359" spans="1:34">
      <c r="A359" t="s">
        <v>831</v>
      </c>
      <c r="B359" t="s">
        <v>832</v>
      </c>
      <c r="C359" s="1">
        <v>45764</v>
      </c>
      <c r="D359" s="1">
        <v>45768</v>
      </c>
      <c r="E359" s="1">
        <v>45787</v>
      </c>
      <c r="F359" t="s">
        <v>36</v>
      </c>
      <c r="G359" t="s">
        <v>37</v>
      </c>
      <c r="H359" t="s">
        <v>38</v>
      </c>
      <c r="I359" t="s">
        <v>56</v>
      </c>
      <c r="J359" t="s">
        <v>57</v>
      </c>
      <c r="K359" t="s">
        <v>58</v>
      </c>
      <c r="L359" t="s">
        <v>124</v>
      </c>
      <c r="M359" t="s">
        <v>68</v>
      </c>
      <c r="N359">
        <v>2</v>
      </c>
      <c r="O359" t="s">
        <v>80</v>
      </c>
      <c r="P359" s="48">
        <v>57087.71</v>
      </c>
      <c r="Q359" s="48">
        <v>14143.33</v>
      </c>
      <c r="R359" s="48">
        <v>3418.81</v>
      </c>
      <c r="S359" s="48">
        <v>1535.93</v>
      </c>
      <c r="T359" s="48">
        <v>570.88</v>
      </c>
      <c r="U359" s="48">
        <v>385.05</v>
      </c>
      <c r="V359" s="48">
        <v>1184.98</v>
      </c>
      <c r="W359" s="48">
        <v>35848.730000000003</v>
      </c>
      <c r="X359">
        <v>4</v>
      </c>
      <c r="Y359" t="s">
        <v>135</v>
      </c>
      <c r="Z359">
        <v>117.86</v>
      </c>
      <c r="AA359" t="s">
        <v>91</v>
      </c>
      <c r="AB359" t="s">
        <v>47</v>
      </c>
      <c r="AC359" t="s">
        <v>70</v>
      </c>
      <c r="AD359" t="s">
        <v>93</v>
      </c>
      <c r="AE359" t="s">
        <v>62</v>
      </c>
      <c r="AF359" s="5">
        <f>DATE(YEAR(C359),MONTH(C359),1)</f>
        <v>45748</v>
      </c>
      <c r="AG359">
        <f>E359-D359</f>
        <v>19</v>
      </c>
      <c r="AH359" s="6">
        <f t="shared" si="5"/>
        <v>62.79588023411695</v>
      </c>
    </row>
    <row r="360" spans="1:34">
      <c r="A360" t="s">
        <v>833</v>
      </c>
      <c r="B360" t="s">
        <v>834</v>
      </c>
      <c r="C360" s="1">
        <v>45838</v>
      </c>
      <c r="D360" s="1">
        <v>45842</v>
      </c>
      <c r="E360" s="1">
        <v>45852</v>
      </c>
      <c r="F360" t="s">
        <v>53</v>
      </c>
      <c r="G360" t="s">
        <v>54</v>
      </c>
      <c r="H360" t="s">
        <v>55</v>
      </c>
      <c r="I360" t="s">
        <v>115</v>
      </c>
      <c r="J360" t="s">
        <v>98</v>
      </c>
      <c r="K360" t="s">
        <v>99</v>
      </c>
      <c r="L360" t="s">
        <v>42</v>
      </c>
      <c r="M360" t="s">
        <v>79</v>
      </c>
      <c r="N360">
        <v>2</v>
      </c>
      <c r="O360" t="s">
        <v>89</v>
      </c>
      <c r="P360" s="48">
        <v>75317.820000000007</v>
      </c>
      <c r="Q360" s="48">
        <v>14098.54</v>
      </c>
      <c r="R360" s="48">
        <v>4755.8500000000004</v>
      </c>
      <c r="S360" s="48">
        <v>1243.0999999999999</v>
      </c>
      <c r="T360" s="48">
        <v>753.18</v>
      </c>
      <c r="U360" s="48">
        <v>780.33</v>
      </c>
      <c r="V360" s="48">
        <v>2229.42</v>
      </c>
      <c r="W360" s="48">
        <v>51457.4</v>
      </c>
      <c r="X360">
        <v>0</v>
      </c>
      <c r="Y360" t="s">
        <v>45</v>
      </c>
      <c r="Z360">
        <v>117.49</v>
      </c>
      <c r="AA360" t="s">
        <v>46</v>
      </c>
      <c r="AB360" t="s">
        <v>47</v>
      </c>
      <c r="AC360" t="s">
        <v>70</v>
      </c>
      <c r="AD360" t="s">
        <v>144</v>
      </c>
      <c r="AE360" t="s">
        <v>50</v>
      </c>
      <c r="AF360" s="5">
        <f>DATE(YEAR(C360),MONTH(C360),1)</f>
        <v>45809</v>
      </c>
      <c r="AG360">
        <f>E360-D360</f>
        <v>10</v>
      </c>
      <c r="AH360" s="6">
        <f t="shared" si="5"/>
        <v>68.32035234158397</v>
      </c>
    </row>
    <row r="361" spans="1:34">
      <c r="A361" t="s">
        <v>835</v>
      </c>
      <c r="B361" t="s">
        <v>836</v>
      </c>
      <c r="C361" s="1">
        <v>45990</v>
      </c>
      <c r="D361" s="1">
        <v>45991</v>
      </c>
      <c r="E361" s="1">
        <v>46019</v>
      </c>
      <c r="F361" t="s">
        <v>234</v>
      </c>
      <c r="G361" t="s">
        <v>111</v>
      </c>
      <c r="H361" t="s">
        <v>150</v>
      </c>
      <c r="I361" t="s">
        <v>56</v>
      </c>
      <c r="J361" t="s">
        <v>57</v>
      </c>
      <c r="K361" t="s">
        <v>58</v>
      </c>
      <c r="L361" t="s">
        <v>124</v>
      </c>
      <c r="M361" t="s">
        <v>108</v>
      </c>
      <c r="N361">
        <v>2</v>
      </c>
      <c r="O361" t="s">
        <v>89</v>
      </c>
      <c r="P361" s="48">
        <v>76253.53</v>
      </c>
      <c r="Q361" s="48">
        <v>14096.05</v>
      </c>
      <c r="R361" s="48">
        <v>3762.04</v>
      </c>
      <c r="S361" s="48">
        <v>1742.51</v>
      </c>
      <c r="T361" s="48">
        <v>762.54</v>
      </c>
      <c r="U361" s="48">
        <v>181.27</v>
      </c>
      <c r="V361" s="48">
        <v>1103.54</v>
      </c>
      <c r="W361" s="48">
        <v>54605.58</v>
      </c>
      <c r="X361">
        <v>24</v>
      </c>
      <c r="Y361" t="s">
        <v>90</v>
      </c>
      <c r="Z361">
        <v>117.47</v>
      </c>
      <c r="AA361" t="s">
        <v>91</v>
      </c>
      <c r="AB361" t="s">
        <v>47</v>
      </c>
      <c r="AC361" t="s">
        <v>60</v>
      </c>
      <c r="AD361" t="s">
        <v>144</v>
      </c>
      <c r="AE361" t="s">
        <v>71</v>
      </c>
      <c r="AF361" s="5">
        <f>DATE(YEAR(C361),MONTH(C361),1)</f>
        <v>45962</v>
      </c>
      <c r="AG361">
        <f>E361-D361</f>
        <v>28</v>
      </c>
      <c r="AH361" s="6">
        <f t="shared" si="5"/>
        <v>71.610560193082208</v>
      </c>
    </row>
    <row r="362" spans="1:34">
      <c r="A362" t="s">
        <v>837</v>
      </c>
      <c r="B362" t="s">
        <v>838</v>
      </c>
      <c r="C362" s="1">
        <v>45929</v>
      </c>
      <c r="D362" s="1">
        <v>45932</v>
      </c>
      <c r="E362" s="1">
        <v>45953</v>
      </c>
      <c r="F362" t="s">
        <v>120</v>
      </c>
      <c r="G362" t="s">
        <v>75</v>
      </c>
      <c r="H362" t="s">
        <v>121</v>
      </c>
      <c r="I362" t="s">
        <v>40</v>
      </c>
      <c r="J362" t="s">
        <v>39</v>
      </c>
      <c r="K362" t="s">
        <v>41</v>
      </c>
      <c r="L362" t="s">
        <v>116</v>
      </c>
      <c r="M362" t="s">
        <v>68</v>
      </c>
      <c r="N362">
        <v>2</v>
      </c>
      <c r="O362" t="s">
        <v>89</v>
      </c>
      <c r="P362" s="48">
        <v>59441.57</v>
      </c>
      <c r="Q362" s="48">
        <v>14060.56</v>
      </c>
      <c r="R362" s="48">
        <v>3298.42</v>
      </c>
      <c r="S362" s="48">
        <v>1633.17</v>
      </c>
      <c r="T362" s="48">
        <v>594.41999999999996</v>
      </c>
      <c r="U362" s="48">
        <v>143.38</v>
      </c>
      <c r="V362" s="48">
        <v>2018.44</v>
      </c>
      <c r="W362" s="48">
        <v>37693.18</v>
      </c>
      <c r="X362">
        <v>8</v>
      </c>
      <c r="Y362" t="s">
        <v>112</v>
      </c>
      <c r="Z362">
        <v>117.17</v>
      </c>
      <c r="AA362" t="s">
        <v>91</v>
      </c>
      <c r="AB362" t="s">
        <v>47</v>
      </c>
      <c r="AC362" t="s">
        <v>60</v>
      </c>
      <c r="AD362" t="s">
        <v>130</v>
      </c>
      <c r="AE362" t="s">
        <v>62</v>
      </c>
      <c r="AF362" s="5">
        <f>DATE(YEAR(C362),MONTH(C362),1)</f>
        <v>45901</v>
      </c>
      <c r="AG362">
        <f>E362-D362</f>
        <v>21</v>
      </c>
      <c r="AH362" s="6">
        <f t="shared" si="5"/>
        <v>63.412154154070969</v>
      </c>
    </row>
    <row r="363" spans="1:34">
      <c r="A363" t="s">
        <v>839</v>
      </c>
      <c r="B363" t="s">
        <v>840</v>
      </c>
      <c r="C363" s="1">
        <v>45920</v>
      </c>
      <c r="D363" s="1">
        <v>45921</v>
      </c>
      <c r="E363" s="1">
        <v>45942</v>
      </c>
      <c r="F363" t="s">
        <v>180</v>
      </c>
      <c r="G363" t="s">
        <v>181</v>
      </c>
      <c r="H363" t="s">
        <v>38</v>
      </c>
      <c r="I363" t="s">
        <v>57</v>
      </c>
      <c r="J363" t="s">
        <v>98</v>
      </c>
      <c r="K363" t="s">
        <v>99</v>
      </c>
      <c r="L363" t="s">
        <v>155</v>
      </c>
      <c r="M363" t="s">
        <v>79</v>
      </c>
      <c r="N363">
        <v>2</v>
      </c>
      <c r="O363" t="s">
        <v>105</v>
      </c>
      <c r="P363" s="48">
        <v>52494.79</v>
      </c>
      <c r="Q363" s="48">
        <v>14020.58</v>
      </c>
      <c r="R363" s="48">
        <v>2131.1</v>
      </c>
      <c r="S363" s="48">
        <v>1136.4000000000001</v>
      </c>
      <c r="T363" s="48">
        <v>524.95000000000005</v>
      </c>
      <c r="U363" s="48">
        <v>780.41</v>
      </c>
      <c r="V363" s="48">
        <v>2499.37</v>
      </c>
      <c r="W363" s="48">
        <v>31401.98</v>
      </c>
      <c r="X363">
        <v>36</v>
      </c>
      <c r="Y363" t="s">
        <v>117</v>
      </c>
      <c r="Z363">
        <v>116.84</v>
      </c>
      <c r="AA363" t="s">
        <v>91</v>
      </c>
      <c r="AB363" t="s">
        <v>92</v>
      </c>
      <c r="AC363" t="s">
        <v>70</v>
      </c>
      <c r="AD363" t="s">
        <v>130</v>
      </c>
      <c r="AE363" t="s">
        <v>102</v>
      </c>
      <c r="AF363" s="5">
        <f>DATE(YEAR(C363),MONTH(C363),1)</f>
        <v>45901</v>
      </c>
      <c r="AG363">
        <f>E363-D363</f>
        <v>21</v>
      </c>
      <c r="AH363" s="6">
        <f t="shared" si="5"/>
        <v>59.819231584696311</v>
      </c>
    </row>
    <row r="364" spans="1:34">
      <c r="A364" t="s">
        <v>841</v>
      </c>
      <c r="B364" t="s">
        <v>842</v>
      </c>
      <c r="C364" s="1">
        <v>45806</v>
      </c>
      <c r="D364" s="1">
        <v>45810</v>
      </c>
      <c r="E364" s="1">
        <v>45837</v>
      </c>
      <c r="F364" t="s">
        <v>53</v>
      </c>
      <c r="G364" t="s">
        <v>54</v>
      </c>
      <c r="H364" t="s">
        <v>55</v>
      </c>
      <c r="I364" t="s">
        <v>39</v>
      </c>
      <c r="J364" t="s">
        <v>40</v>
      </c>
      <c r="K364" t="s">
        <v>41</v>
      </c>
      <c r="L364" t="s">
        <v>59</v>
      </c>
      <c r="M364" t="s">
        <v>108</v>
      </c>
      <c r="N364">
        <v>2</v>
      </c>
      <c r="O364" t="s">
        <v>69</v>
      </c>
      <c r="P364" s="48">
        <v>50317.04</v>
      </c>
      <c r="Q364" s="48">
        <v>13999.78</v>
      </c>
      <c r="R364" s="48">
        <v>3232.51</v>
      </c>
      <c r="S364" s="48">
        <v>538.94000000000005</v>
      </c>
      <c r="T364" s="48">
        <v>503.17</v>
      </c>
      <c r="U364" s="48">
        <v>797.88</v>
      </c>
      <c r="V364" s="48">
        <v>1376.13</v>
      </c>
      <c r="W364" s="48">
        <v>29868.63</v>
      </c>
      <c r="X364">
        <v>4</v>
      </c>
      <c r="Y364" t="s">
        <v>117</v>
      </c>
      <c r="Z364">
        <v>116.66</v>
      </c>
      <c r="AA364" t="s">
        <v>91</v>
      </c>
      <c r="AB364" t="s">
        <v>47</v>
      </c>
      <c r="AC364" t="s">
        <v>70</v>
      </c>
      <c r="AD364" t="s">
        <v>130</v>
      </c>
      <c r="AE364" t="s">
        <v>50</v>
      </c>
      <c r="AF364" s="5">
        <f>DATE(YEAR(C364),MONTH(C364),1)</f>
        <v>45778</v>
      </c>
      <c r="AG364">
        <f>E364-D364</f>
        <v>27</v>
      </c>
      <c r="AH364" s="6">
        <f t="shared" si="5"/>
        <v>59.360864629556907</v>
      </c>
    </row>
    <row r="365" spans="1:34">
      <c r="A365" t="s">
        <v>843</v>
      </c>
      <c r="B365" t="s">
        <v>844</v>
      </c>
      <c r="C365" s="1">
        <v>45991</v>
      </c>
      <c r="D365" s="1">
        <v>45993</v>
      </c>
      <c r="E365" s="1">
        <v>46008</v>
      </c>
      <c r="F365" t="s">
        <v>149</v>
      </c>
      <c r="G365" t="s">
        <v>111</v>
      </c>
      <c r="H365" t="s">
        <v>150</v>
      </c>
      <c r="I365" t="s">
        <v>40</v>
      </c>
      <c r="J365" t="s">
        <v>122</v>
      </c>
      <c r="K365" t="s">
        <v>123</v>
      </c>
      <c r="L365" t="s">
        <v>127</v>
      </c>
      <c r="M365" t="s">
        <v>68</v>
      </c>
      <c r="N365">
        <v>2</v>
      </c>
      <c r="O365" t="s">
        <v>89</v>
      </c>
      <c r="P365" s="48">
        <v>47037.18</v>
      </c>
      <c r="Q365" s="48">
        <v>13999.68</v>
      </c>
      <c r="R365" s="48">
        <v>3749.42</v>
      </c>
      <c r="S365" s="48">
        <v>895.96</v>
      </c>
      <c r="T365" s="48">
        <v>470.37</v>
      </c>
      <c r="U365" s="48">
        <v>131.79</v>
      </c>
      <c r="V365" s="48">
        <v>1619.77</v>
      </c>
      <c r="W365" s="48">
        <v>26170.19</v>
      </c>
      <c r="X365">
        <v>4</v>
      </c>
      <c r="Y365" t="s">
        <v>112</v>
      </c>
      <c r="Z365">
        <v>116.66</v>
      </c>
      <c r="AA365" t="s">
        <v>91</v>
      </c>
      <c r="AB365" t="s">
        <v>92</v>
      </c>
      <c r="AC365" t="s">
        <v>60</v>
      </c>
      <c r="AD365" t="s">
        <v>61</v>
      </c>
      <c r="AE365" t="s">
        <v>50</v>
      </c>
      <c r="AF365" s="5">
        <f>DATE(YEAR(C365),MONTH(C365),1)</f>
        <v>45962</v>
      </c>
      <c r="AG365">
        <f>E365-D365</f>
        <v>15</v>
      </c>
      <c r="AH365" s="6">
        <f t="shared" si="5"/>
        <v>55.637242708852867</v>
      </c>
    </row>
    <row r="366" spans="1:34">
      <c r="A366" t="s">
        <v>845</v>
      </c>
      <c r="B366" t="s">
        <v>846</v>
      </c>
      <c r="C366" s="1">
        <v>45852</v>
      </c>
      <c r="D366" s="1">
        <v>45854</v>
      </c>
      <c r="E366" s="1">
        <v>45882</v>
      </c>
      <c r="F366" t="s">
        <v>74</v>
      </c>
      <c r="G366" t="s">
        <v>75</v>
      </c>
      <c r="H366" t="s">
        <v>76</v>
      </c>
      <c r="I366" t="s">
        <v>56</v>
      </c>
      <c r="J366" t="s">
        <v>57</v>
      </c>
      <c r="K366" t="s">
        <v>58</v>
      </c>
      <c r="L366" t="s">
        <v>59</v>
      </c>
      <c r="M366" t="s">
        <v>68</v>
      </c>
      <c r="N366">
        <v>2</v>
      </c>
      <c r="O366" t="s">
        <v>111</v>
      </c>
      <c r="P366" s="48">
        <v>48019.97</v>
      </c>
      <c r="Q366" s="48">
        <v>13922.87</v>
      </c>
      <c r="R366" s="48">
        <v>2267</v>
      </c>
      <c r="S366" s="48">
        <v>481.36</v>
      </c>
      <c r="T366" s="48">
        <v>480.2</v>
      </c>
      <c r="U366" s="48">
        <v>375.19</v>
      </c>
      <c r="V366" s="48">
        <v>1375.53</v>
      </c>
      <c r="W366" s="48">
        <v>29117.82</v>
      </c>
      <c r="X366">
        <v>0</v>
      </c>
      <c r="Y366" t="s">
        <v>45</v>
      </c>
      <c r="Z366">
        <v>116.02</v>
      </c>
      <c r="AA366" t="s">
        <v>46</v>
      </c>
      <c r="AB366" t="s">
        <v>47</v>
      </c>
      <c r="AC366" t="s">
        <v>60</v>
      </c>
      <c r="AD366" t="s">
        <v>130</v>
      </c>
      <c r="AE366" t="s">
        <v>102</v>
      </c>
      <c r="AF366" s="5">
        <f>DATE(YEAR(C366),MONTH(C366),1)</f>
        <v>45839</v>
      </c>
      <c r="AG366">
        <f>E366-D366</f>
        <v>28</v>
      </c>
      <c r="AH366" s="6">
        <f t="shared" si="5"/>
        <v>60.636897524092582</v>
      </c>
    </row>
    <row r="367" spans="1:34">
      <c r="A367" t="s">
        <v>847</v>
      </c>
      <c r="B367" t="s">
        <v>848</v>
      </c>
      <c r="C367" s="1">
        <v>45970</v>
      </c>
      <c r="D367" s="1">
        <v>45973</v>
      </c>
      <c r="E367" s="1">
        <v>45988</v>
      </c>
      <c r="F367" t="s">
        <v>83</v>
      </c>
      <c r="G367" t="s">
        <v>84</v>
      </c>
      <c r="H367" t="s">
        <v>85</v>
      </c>
      <c r="I367" t="s">
        <v>115</v>
      </c>
      <c r="J367" t="s">
        <v>98</v>
      </c>
      <c r="K367" t="s">
        <v>99</v>
      </c>
      <c r="L367" t="s">
        <v>124</v>
      </c>
      <c r="M367" t="s">
        <v>68</v>
      </c>
      <c r="N367">
        <v>4</v>
      </c>
      <c r="O367" t="s">
        <v>80</v>
      </c>
      <c r="P367" s="48">
        <v>65741.03</v>
      </c>
      <c r="Q367" s="48">
        <v>13897.64</v>
      </c>
      <c r="R367" s="48">
        <v>3778.79</v>
      </c>
      <c r="S367" s="48">
        <v>684.42</v>
      </c>
      <c r="T367" s="48">
        <v>657.41</v>
      </c>
      <c r="U367" s="48">
        <v>785.7</v>
      </c>
      <c r="V367" s="48">
        <v>1460.02</v>
      </c>
      <c r="W367" s="48">
        <v>44477.05</v>
      </c>
      <c r="X367">
        <v>12</v>
      </c>
      <c r="Y367" t="s">
        <v>135</v>
      </c>
      <c r="Z367">
        <v>115.81</v>
      </c>
      <c r="AA367" t="s">
        <v>91</v>
      </c>
      <c r="AB367" t="s">
        <v>92</v>
      </c>
      <c r="AC367" t="s">
        <v>70</v>
      </c>
      <c r="AD367" t="s">
        <v>144</v>
      </c>
      <c r="AE367" t="s">
        <v>62</v>
      </c>
      <c r="AF367" s="5">
        <f>DATE(YEAR(C367),MONTH(C367),1)</f>
        <v>45962</v>
      </c>
      <c r="AG367">
        <f>E367-D367</f>
        <v>15</v>
      </c>
      <c r="AH367" s="6">
        <f t="shared" si="5"/>
        <v>67.654933304208967</v>
      </c>
    </row>
    <row r="368" spans="1:34">
      <c r="A368" t="s">
        <v>849</v>
      </c>
      <c r="B368" t="s">
        <v>850</v>
      </c>
      <c r="C368" s="1">
        <v>45885</v>
      </c>
      <c r="D368" s="1">
        <v>45886</v>
      </c>
      <c r="E368" s="1">
        <v>45900</v>
      </c>
      <c r="F368" t="s">
        <v>180</v>
      </c>
      <c r="G368" t="s">
        <v>181</v>
      </c>
      <c r="H368" t="s">
        <v>38</v>
      </c>
      <c r="I368" t="s">
        <v>87</v>
      </c>
      <c r="J368" t="s">
        <v>57</v>
      </c>
      <c r="K368" t="s">
        <v>41</v>
      </c>
      <c r="L368" t="s">
        <v>78</v>
      </c>
      <c r="M368" t="s">
        <v>108</v>
      </c>
      <c r="N368">
        <v>4</v>
      </c>
      <c r="O368" t="s">
        <v>69</v>
      </c>
      <c r="P368" s="48">
        <v>56741.91</v>
      </c>
      <c r="Q368" s="48">
        <v>13884.77</v>
      </c>
      <c r="R368" s="48">
        <v>4002.95</v>
      </c>
      <c r="S368" s="48">
        <v>1322.15</v>
      </c>
      <c r="T368" s="48">
        <v>567.41999999999996</v>
      </c>
      <c r="U368" s="48">
        <v>474.85</v>
      </c>
      <c r="V368" s="48">
        <v>917.96</v>
      </c>
      <c r="W368" s="48">
        <v>35571.81</v>
      </c>
      <c r="X368">
        <v>48</v>
      </c>
      <c r="Y368" t="s">
        <v>117</v>
      </c>
      <c r="Z368">
        <v>115.71</v>
      </c>
      <c r="AA368" t="s">
        <v>91</v>
      </c>
      <c r="AB368" t="s">
        <v>92</v>
      </c>
      <c r="AC368" t="s">
        <v>48</v>
      </c>
      <c r="AD368" t="s">
        <v>49</v>
      </c>
      <c r="AE368" t="s">
        <v>62</v>
      </c>
      <c r="AF368" s="5">
        <f>DATE(YEAR(C368),MONTH(C368),1)</f>
        <v>45870</v>
      </c>
      <c r="AG368">
        <f>E368-D368</f>
        <v>14</v>
      </c>
      <c r="AH368" s="6">
        <f t="shared" si="5"/>
        <v>62.690540378355252</v>
      </c>
    </row>
    <row r="369" spans="1:34">
      <c r="A369" t="s">
        <v>851</v>
      </c>
      <c r="B369" t="s">
        <v>852</v>
      </c>
      <c r="C369" s="1">
        <v>46012</v>
      </c>
      <c r="D369" s="1">
        <v>46015</v>
      </c>
      <c r="E369" s="1">
        <v>46026</v>
      </c>
      <c r="F369" t="s">
        <v>234</v>
      </c>
      <c r="G369" t="s">
        <v>111</v>
      </c>
      <c r="H369" t="s">
        <v>150</v>
      </c>
      <c r="I369" t="s">
        <v>40</v>
      </c>
      <c r="J369" t="s">
        <v>122</v>
      </c>
      <c r="K369" t="s">
        <v>123</v>
      </c>
      <c r="L369" t="s">
        <v>59</v>
      </c>
      <c r="M369" t="s">
        <v>68</v>
      </c>
      <c r="N369">
        <v>4</v>
      </c>
      <c r="O369" t="s">
        <v>69</v>
      </c>
      <c r="P369" s="48">
        <v>49247.29</v>
      </c>
      <c r="Q369" s="48">
        <v>13881.31</v>
      </c>
      <c r="R369" s="48">
        <v>2247.5100000000002</v>
      </c>
      <c r="S369" s="48">
        <v>498.97</v>
      </c>
      <c r="T369" s="48">
        <v>492.47</v>
      </c>
      <c r="U369" s="48">
        <v>241.6</v>
      </c>
      <c r="V369" s="48">
        <v>1652.17</v>
      </c>
      <c r="W369" s="48">
        <v>30233.26</v>
      </c>
      <c r="X369">
        <v>4</v>
      </c>
      <c r="Y369" t="s">
        <v>117</v>
      </c>
      <c r="Z369">
        <v>115.68</v>
      </c>
      <c r="AA369" t="s">
        <v>91</v>
      </c>
      <c r="AB369" t="s">
        <v>92</v>
      </c>
      <c r="AC369" t="s">
        <v>48</v>
      </c>
      <c r="AD369" t="s">
        <v>144</v>
      </c>
      <c r="AE369" t="s">
        <v>50</v>
      </c>
      <c r="AF369" s="5">
        <f>DATE(YEAR(C369),MONTH(C369),1)</f>
        <v>45992</v>
      </c>
      <c r="AG369">
        <f>E369-D369</f>
        <v>11</v>
      </c>
      <c r="AH369" s="6">
        <f t="shared" si="5"/>
        <v>61.39070799631817</v>
      </c>
    </row>
    <row r="370" spans="1:34">
      <c r="A370" t="s">
        <v>853</v>
      </c>
      <c r="B370" t="s">
        <v>854</v>
      </c>
      <c r="C370" s="1">
        <v>45762</v>
      </c>
      <c r="D370" s="1">
        <v>45763</v>
      </c>
      <c r="E370" s="1">
        <v>45789</v>
      </c>
      <c r="F370" t="s">
        <v>120</v>
      </c>
      <c r="G370" t="s">
        <v>75</v>
      </c>
      <c r="H370" t="s">
        <v>121</v>
      </c>
      <c r="I370" t="s">
        <v>57</v>
      </c>
      <c r="J370" t="s">
        <v>98</v>
      </c>
      <c r="K370" t="s">
        <v>99</v>
      </c>
      <c r="L370" t="s">
        <v>127</v>
      </c>
      <c r="M370" t="s">
        <v>43</v>
      </c>
      <c r="N370">
        <v>4</v>
      </c>
      <c r="O370" t="s">
        <v>69</v>
      </c>
      <c r="P370" s="48">
        <v>59358.879999999997</v>
      </c>
      <c r="Q370" s="48">
        <v>13844.87</v>
      </c>
      <c r="R370" s="48">
        <v>2967.83</v>
      </c>
      <c r="S370" s="48">
        <v>598.39</v>
      </c>
      <c r="T370" s="48">
        <v>593.59</v>
      </c>
      <c r="U370" s="48">
        <v>872.66</v>
      </c>
      <c r="V370" s="48">
        <v>1497.96</v>
      </c>
      <c r="W370" s="48">
        <v>38983.58</v>
      </c>
      <c r="X370">
        <v>0</v>
      </c>
      <c r="Y370" t="s">
        <v>45</v>
      </c>
      <c r="Z370">
        <v>115.37</v>
      </c>
      <c r="AA370" t="s">
        <v>46</v>
      </c>
      <c r="AB370" t="s">
        <v>47</v>
      </c>
      <c r="AC370" t="s">
        <v>60</v>
      </c>
      <c r="AD370" t="s">
        <v>93</v>
      </c>
      <c r="AE370" t="s">
        <v>50</v>
      </c>
      <c r="AF370" s="5">
        <f>DATE(YEAR(C370),MONTH(C370),1)</f>
        <v>45748</v>
      </c>
      <c r="AG370">
        <f>E370-D370</f>
        <v>26</v>
      </c>
      <c r="AH370" s="6">
        <f t="shared" si="5"/>
        <v>65.674386039628786</v>
      </c>
    </row>
    <row r="371" spans="1:34">
      <c r="A371" t="s">
        <v>855</v>
      </c>
      <c r="B371" t="s">
        <v>856</v>
      </c>
      <c r="C371" s="1">
        <v>45876</v>
      </c>
      <c r="D371" s="1">
        <v>45879</v>
      </c>
      <c r="E371" s="1">
        <v>45893</v>
      </c>
      <c r="F371" t="s">
        <v>180</v>
      </c>
      <c r="G371" t="s">
        <v>181</v>
      </c>
      <c r="H371" t="s">
        <v>38</v>
      </c>
      <c r="I371" t="s">
        <v>56</v>
      </c>
      <c r="J371" t="s">
        <v>57</v>
      </c>
      <c r="K371" t="s">
        <v>58</v>
      </c>
      <c r="L371" t="s">
        <v>100</v>
      </c>
      <c r="M371" t="s">
        <v>79</v>
      </c>
      <c r="N371">
        <v>4</v>
      </c>
      <c r="O371" t="s">
        <v>111</v>
      </c>
      <c r="P371" s="48">
        <v>54323.64</v>
      </c>
      <c r="Q371" s="48">
        <v>13840.53</v>
      </c>
      <c r="R371" s="48">
        <v>2297.46</v>
      </c>
      <c r="S371" s="48">
        <v>1627.13</v>
      </c>
      <c r="T371" s="48">
        <v>543.24</v>
      </c>
      <c r="U371" s="48">
        <v>295.8</v>
      </c>
      <c r="V371" s="48">
        <v>1884.24</v>
      </c>
      <c r="W371" s="48">
        <v>33835.24</v>
      </c>
      <c r="X371">
        <v>8</v>
      </c>
      <c r="Y371" t="s">
        <v>90</v>
      </c>
      <c r="Z371">
        <v>115.34</v>
      </c>
      <c r="AA371" t="s">
        <v>91</v>
      </c>
      <c r="AB371" t="s">
        <v>92</v>
      </c>
      <c r="AC371" t="s">
        <v>70</v>
      </c>
      <c r="AD371" t="s">
        <v>144</v>
      </c>
      <c r="AE371" t="s">
        <v>71</v>
      </c>
      <c r="AF371" s="5">
        <f>DATE(YEAR(C371),MONTH(C371),1)</f>
        <v>45870</v>
      </c>
      <c r="AG371">
        <f>E371-D371</f>
        <v>14</v>
      </c>
      <c r="AH371" s="6">
        <f t="shared" si="5"/>
        <v>62.284559723906575</v>
      </c>
    </row>
    <row r="372" spans="1:34">
      <c r="A372" t="s">
        <v>857</v>
      </c>
      <c r="B372" t="s">
        <v>858</v>
      </c>
      <c r="C372" s="1">
        <v>45668</v>
      </c>
      <c r="D372" s="1">
        <v>45672</v>
      </c>
      <c r="E372" s="1">
        <v>45691</v>
      </c>
      <c r="F372" t="s">
        <v>138</v>
      </c>
      <c r="G372" t="s">
        <v>139</v>
      </c>
      <c r="H372" t="s">
        <v>76</v>
      </c>
      <c r="I372" t="s">
        <v>56</v>
      </c>
      <c r="J372" t="s">
        <v>57</v>
      </c>
      <c r="K372" t="s">
        <v>58</v>
      </c>
      <c r="L372" t="s">
        <v>127</v>
      </c>
      <c r="M372" t="s">
        <v>68</v>
      </c>
      <c r="N372">
        <v>2</v>
      </c>
      <c r="O372" t="s">
        <v>69</v>
      </c>
      <c r="P372" s="48">
        <v>72820.44</v>
      </c>
      <c r="Q372" s="48">
        <v>13832.15</v>
      </c>
      <c r="R372" s="48">
        <v>4614.32</v>
      </c>
      <c r="S372" s="48">
        <v>774.51</v>
      </c>
      <c r="T372" s="48">
        <v>728.2</v>
      </c>
      <c r="U372" s="48">
        <v>650.87</v>
      </c>
      <c r="V372" s="48">
        <v>713.45</v>
      </c>
      <c r="W372" s="48">
        <v>51506.94</v>
      </c>
      <c r="X372">
        <v>36</v>
      </c>
      <c r="Y372" t="s">
        <v>90</v>
      </c>
      <c r="Z372">
        <v>115.27</v>
      </c>
      <c r="AA372" t="s">
        <v>91</v>
      </c>
      <c r="AB372" t="s">
        <v>92</v>
      </c>
      <c r="AC372" t="s">
        <v>60</v>
      </c>
      <c r="AD372" t="s">
        <v>49</v>
      </c>
      <c r="AE372" t="s">
        <v>102</v>
      </c>
      <c r="AF372" s="5">
        <f>DATE(YEAR(C372),MONTH(C372),1)</f>
        <v>45658</v>
      </c>
      <c r="AG372">
        <f>E372-D372</f>
        <v>19</v>
      </c>
      <c r="AH372" s="6">
        <f t="shared" si="5"/>
        <v>70.731431999037625</v>
      </c>
    </row>
    <row r="373" spans="1:34">
      <c r="A373" t="s">
        <v>859</v>
      </c>
      <c r="B373" t="s">
        <v>860</v>
      </c>
      <c r="C373" s="1">
        <v>45847</v>
      </c>
      <c r="D373" s="1">
        <v>45848</v>
      </c>
      <c r="E373" s="1">
        <v>45875</v>
      </c>
      <c r="F373" t="s">
        <v>36</v>
      </c>
      <c r="G373" t="s">
        <v>37</v>
      </c>
      <c r="H373" t="s">
        <v>38</v>
      </c>
      <c r="I373" t="s">
        <v>86</v>
      </c>
      <c r="J373" t="s">
        <v>87</v>
      </c>
      <c r="K373" t="s">
        <v>88</v>
      </c>
      <c r="L373" t="s">
        <v>116</v>
      </c>
      <c r="M373" t="s">
        <v>79</v>
      </c>
      <c r="N373">
        <v>4</v>
      </c>
      <c r="O373" t="s">
        <v>111</v>
      </c>
      <c r="P373" s="48">
        <v>75446.929999999993</v>
      </c>
      <c r="Q373" s="48">
        <v>13823.81</v>
      </c>
      <c r="R373" s="48">
        <v>5551.79</v>
      </c>
      <c r="S373" s="48">
        <v>1779.23</v>
      </c>
      <c r="T373" s="48">
        <v>754.47</v>
      </c>
      <c r="U373" s="48">
        <v>461.14</v>
      </c>
      <c r="V373" s="48">
        <v>2176.4499999999998</v>
      </c>
      <c r="W373" s="48">
        <v>50900.04</v>
      </c>
      <c r="X373">
        <v>8</v>
      </c>
      <c r="Y373" t="s">
        <v>135</v>
      </c>
      <c r="Z373">
        <v>115.2</v>
      </c>
      <c r="AA373" t="s">
        <v>91</v>
      </c>
      <c r="AB373" t="s">
        <v>47</v>
      </c>
      <c r="AC373" t="s">
        <v>70</v>
      </c>
      <c r="AD373" t="s">
        <v>61</v>
      </c>
      <c r="AE373" t="s">
        <v>62</v>
      </c>
      <c r="AF373" s="5">
        <f>DATE(YEAR(C373),MONTH(C373),1)</f>
        <v>45839</v>
      </c>
      <c r="AG373">
        <f>E373-D373</f>
        <v>27</v>
      </c>
      <c r="AH373" s="6">
        <f t="shared" si="5"/>
        <v>67.464693394416457</v>
      </c>
    </row>
    <row r="374" spans="1:34">
      <c r="A374" t="s">
        <v>861</v>
      </c>
      <c r="B374" t="s">
        <v>862</v>
      </c>
      <c r="C374" s="1">
        <v>45824</v>
      </c>
      <c r="D374" s="1">
        <v>45825</v>
      </c>
      <c r="E374" s="1">
        <v>45837</v>
      </c>
      <c r="F374" t="s">
        <v>153</v>
      </c>
      <c r="G374" t="s">
        <v>75</v>
      </c>
      <c r="H374" t="s">
        <v>154</v>
      </c>
      <c r="I374" t="s">
        <v>57</v>
      </c>
      <c r="J374" t="s">
        <v>98</v>
      </c>
      <c r="K374" t="s">
        <v>99</v>
      </c>
      <c r="L374" t="s">
        <v>78</v>
      </c>
      <c r="M374" t="s">
        <v>43</v>
      </c>
      <c r="N374">
        <v>2</v>
      </c>
      <c r="O374" t="s">
        <v>44</v>
      </c>
      <c r="P374" s="48">
        <v>82794.289999999994</v>
      </c>
      <c r="Q374" s="48">
        <v>13812.81</v>
      </c>
      <c r="R374" s="48">
        <v>4501.57</v>
      </c>
      <c r="S374" s="48">
        <v>1276.6400000000001</v>
      </c>
      <c r="T374" s="48">
        <v>827.94</v>
      </c>
      <c r="U374" s="48">
        <v>480.43</v>
      </c>
      <c r="V374" s="48">
        <v>402.37</v>
      </c>
      <c r="W374" s="48">
        <v>61492.53</v>
      </c>
      <c r="X374">
        <v>4</v>
      </c>
      <c r="Y374" t="s">
        <v>112</v>
      </c>
      <c r="Z374">
        <v>115.11</v>
      </c>
      <c r="AA374" t="s">
        <v>91</v>
      </c>
      <c r="AB374" t="s">
        <v>47</v>
      </c>
      <c r="AC374" t="s">
        <v>70</v>
      </c>
      <c r="AD374" t="s">
        <v>144</v>
      </c>
      <c r="AE374" t="s">
        <v>50</v>
      </c>
      <c r="AF374" s="5">
        <f>DATE(YEAR(C374),MONTH(C374),1)</f>
        <v>45809</v>
      </c>
      <c r="AG374">
        <f>E374-D374</f>
        <v>12</v>
      </c>
      <c r="AH374" s="6">
        <f t="shared" si="5"/>
        <v>74.271462440223843</v>
      </c>
    </row>
    <row r="375" spans="1:34">
      <c r="A375" t="s">
        <v>863</v>
      </c>
      <c r="B375" t="s">
        <v>864</v>
      </c>
      <c r="C375" s="1">
        <v>45908</v>
      </c>
      <c r="D375" s="1">
        <v>45911</v>
      </c>
      <c r="E375" s="1">
        <v>45923</v>
      </c>
      <c r="F375" t="s">
        <v>53</v>
      </c>
      <c r="G375" t="s">
        <v>54</v>
      </c>
      <c r="H375" t="s">
        <v>55</v>
      </c>
      <c r="I375" t="s">
        <v>56</v>
      </c>
      <c r="J375" t="s">
        <v>57</v>
      </c>
      <c r="K375" t="s">
        <v>58</v>
      </c>
      <c r="L375" t="s">
        <v>59</v>
      </c>
      <c r="M375" t="s">
        <v>43</v>
      </c>
      <c r="N375">
        <v>2</v>
      </c>
      <c r="O375" t="s">
        <v>89</v>
      </c>
      <c r="P375" s="48">
        <v>52670.07</v>
      </c>
      <c r="Q375" s="48">
        <v>13794.2</v>
      </c>
      <c r="R375" s="48">
        <v>3102.97</v>
      </c>
      <c r="S375" s="48">
        <v>1360.32</v>
      </c>
      <c r="T375" s="48">
        <v>526.70000000000005</v>
      </c>
      <c r="U375" s="48">
        <v>138.82</v>
      </c>
      <c r="V375" s="48">
        <v>2037.26</v>
      </c>
      <c r="W375" s="48">
        <v>31709.8</v>
      </c>
      <c r="X375">
        <v>4</v>
      </c>
      <c r="Y375" t="s">
        <v>135</v>
      </c>
      <c r="Z375">
        <v>114.95</v>
      </c>
      <c r="AA375" t="s">
        <v>91</v>
      </c>
      <c r="AB375" t="s">
        <v>47</v>
      </c>
      <c r="AC375" t="s">
        <v>48</v>
      </c>
      <c r="AD375" t="s">
        <v>61</v>
      </c>
      <c r="AE375" t="s">
        <v>102</v>
      </c>
      <c r="AF375" s="5">
        <f>DATE(YEAR(C375),MONTH(C375),1)</f>
        <v>45901</v>
      </c>
      <c r="AG375">
        <f>E375-D375</f>
        <v>12</v>
      </c>
      <c r="AH375" s="6">
        <f t="shared" si="5"/>
        <v>60.204590576773484</v>
      </c>
    </row>
    <row r="376" spans="1:34">
      <c r="A376" t="s">
        <v>865</v>
      </c>
      <c r="B376" t="s">
        <v>866</v>
      </c>
      <c r="C376" s="1">
        <v>45863</v>
      </c>
      <c r="D376" s="1">
        <v>45866</v>
      </c>
      <c r="E376" s="1">
        <v>45894</v>
      </c>
      <c r="F376" t="s">
        <v>74</v>
      </c>
      <c r="G376" t="s">
        <v>75</v>
      </c>
      <c r="H376" t="s">
        <v>76</v>
      </c>
      <c r="I376" t="s">
        <v>40</v>
      </c>
      <c r="J376" t="s">
        <v>122</v>
      </c>
      <c r="K376" t="s">
        <v>123</v>
      </c>
      <c r="L376" t="s">
        <v>42</v>
      </c>
      <c r="M376" t="s">
        <v>108</v>
      </c>
      <c r="N376">
        <v>2</v>
      </c>
      <c r="O376" t="s">
        <v>69</v>
      </c>
      <c r="P376" s="48">
        <v>55805.51</v>
      </c>
      <c r="Q376" s="48">
        <v>13792.57</v>
      </c>
      <c r="R376" s="48">
        <v>3730.69</v>
      </c>
      <c r="S376" s="48">
        <v>1567.66</v>
      </c>
      <c r="T376" s="48">
        <v>558.05999999999995</v>
      </c>
      <c r="U376" s="48">
        <v>686.48</v>
      </c>
      <c r="V376" s="48">
        <v>1297.74</v>
      </c>
      <c r="W376" s="48">
        <v>34172.31</v>
      </c>
      <c r="X376">
        <v>48</v>
      </c>
      <c r="Y376" t="s">
        <v>117</v>
      </c>
      <c r="Z376">
        <v>114.94</v>
      </c>
      <c r="AA376" t="s">
        <v>91</v>
      </c>
      <c r="AB376" t="s">
        <v>47</v>
      </c>
      <c r="AC376" t="s">
        <v>48</v>
      </c>
      <c r="AD376" t="s">
        <v>61</v>
      </c>
      <c r="AE376" t="s">
        <v>50</v>
      </c>
      <c r="AF376" s="5">
        <f>DATE(YEAR(C376),MONTH(C376),1)</f>
        <v>45839</v>
      </c>
      <c r="AG376">
        <f>E376-D376</f>
        <v>28</v>
      </c>
      <c r="AH376" s="6">
        <f t="shared" si="5"/>
        <v>61.234652277167612</v>
      </c>
    </row>
    <row r="377" spans="1:34">
      <c r="A377" t="s">
        <v>867</v>
      </c>
      <c r="B377" t="s">
        <v>868</v>
      </c>
      <c r="C377" s="1">
        <v>45744</v>
      </c>
      <c r="D377" s="1">
        <v>45745</v>
      </c>
      <c r="E377" s="1">
        <v>45758</v>
      </c>
      <c r="F377" t="s">
        <v>138</v>
      </c>
      <c r="G377" t="s">
        <v>139</v>
      </c>
      <c r="H377" t="s">
        <v>76</v>
      </c>
      <c r="I377" t="s">
        <v>98</v>
      </c>
      <c r="J377" t="s">
        <v>57</v>
      </c>
      <c r="K377" t="s">
        <v>41</v>
      </c>
      <c r="L377" t="s">
        <v>124</v>
      </c>
      <c r="M377" t="s">
        <v>79</v>
      </c>
      <c r="N377">
        <v>2</v>
      </c>
      <c r="O377" t="s">
        <v>80</v>
      </c>
      <c r="P377" s="48">
        <v>75139.69</v>
      </c>
      <c r="Q377" s="48">
        <v>13767.69</v>
      </c>
      <c r="R377" s="48">
        <v>3662.34</v>
      </c>
      <c r="S377" s="48">
        <v>1097</v>
      </c>
      <c r="T377" s="48">
        <v>751.4</v>
      </c>
      <c r="U377" s="48">
        <v>585.92999999999995</v>
      </c>
      <c r="V377" s="48">
        <v>2490.62</v>
      </c>
      <c r="W377" s="48">
        <v>52784.71</v>
      </c>
      <c r="X377">
        <v>48</v>
      </c>
      <c r="Y377" t="s">
        <v>112</v>
      </c>
      <c r="Z377">
        <v>114.73</v>
      </c>
      <c r="AA377" t="s">
        <v>91</v>
      </c>
      <c r="AB377" t="s">
        <v>47</v>
      </c>
      <c r="AC377" t="s">
        <v>60</v>
      </c>
      <c r="AD377" t="s">
        <v>61</v>
      </c>
      <c r="AE377" t="s">
        <v>71</v>
      </c>
      <c r="AF377" s="5">
        <f>DATE(YEAR(C377),MONTH(C377),1)</f>
        <v>45717</v>
      </c>
      <c r="AG377">
        <f>E377-D377</f>
        <v>13</v>
      </c>
      <c r="AH377" s="6">
        <f t="shared" si="5"/>
        <v>70.248772652642032</v>
      </c>
    </row>
    <row r="378" spans="1:34">
      <c r="A378" t="s">
        <v>869</v>
      </c>
      <c r="B378" t="s">
        <v>870</v>
      </c>
      <c r="C378" s="1">
        <v>45700</v>
      </c>
      <c r="D378" s="1">
        <v>45703</v>
      </c>
      <c r="E378" s="1">
        <v>45728</v>
      </c>
      <c r="F378" t="s">
        <v>65</v>
      </c>
      <c r="G378" t="s">
        <v>66</v>
      </c>
      <c r="H378" t="s">
        <v>67</v>
      </c>
      <c r="I378" t="s">
        <v>39</v>
      </c>
      <c r="J378" t="s">
        <v>86</v>
      </c>
      <c r="K378" t="s">
        <v>41</v>
      </c>
      <c r="L378" t="s">
        <v>100</v>
      </c>
      <c r="M378" t="s">
        <v>68</v>
      </c>
      <c r="N378">
        <v>2</v>
      </c>
      <c r="O378" t="s">
        <v>89</v>
      </c>
      <c r="P378" s="48">
        <v>79754.429999999993</v>
      </c>
      <c r="Q378" s="48">
        <v>13700.84</v>
      </c>
      <c r="R378" s="48">
        <v>4296.09</v>
      </c>
      <c r="S378" s="48">
        <v>2170.66</v>
      </c>
      <c r="T378" s="48">
        <v>797.54</v>
      </c>
      <c r="U378" s="48">
        <v>454.35</v>
      </c>
      <c r="V378" s="48">
        <v>2131.7600000000002</v>
      </c>
      <c r="W378" s="48">
        <v>56203.19</v>
      </c>
      <c r="X378">
        <v>0</v>
      </c>
      <c r="Y378" t="s">
        <v>45</v>
      </c>
      <c r="Z378">
        <v>114.17</v>
      </c>
      <c r="AA378" t="s">
        <v>46</v>
      </c>
      <c r="AB378" t="s">
        <v>92</v>
      </c>
      <c r="AC378" t="s">
        <v>48</v>
      </c>
      <c r="AD378" t="s">
        <v>144</v>
      </c>
      <c r="AE378" t="s">
        <v>62</v>
      </c>
      <c r="AF378" s="5">
        <f>DATE(YEAR(C378),MONTH(C378),1)</f>
        <v>45689</v>
      </c>
      <c r="AG378">
        <f>E378-D378</f>
        <v>25</v>
      </c>
      <c r="AH378" s="6">
        <f t="shared" si="5"/>
        <v>70.470304909708474</v>
      </c>
    </row>
    <row r="379" spans="1:34">
      <c r="A379" t="s">
        <v>871</v>
      </c>
      <c r="B379" t="s">
        <v>872</v>
      </c>
      <c r="C379" s="1">
        <v>45950</v>
      </c>
      <c r="D379" s="1">
        <v>45954</v>
      </c>
      <c r="E379" s="1">
        <v>45965</v>
      </c>
      <c r="F379" t="s">
        <v>74</v>
      </c>
      <c r="G379" t="s">
        <v>75</v>
      </c>
      <c r="H379" t="s">
        <v>76</v>
      </c>
      <c r="I379" t="s">
        <v>86</v>
      </c>
      <c r="J379" t="s">
        <v>77</v>
      </c>
      <c r="K379" t="s">
        <v>41</v>
      </c>
      <c r="L379" t="s">
        <v>59</v>
      </c>
      <c r="M379" t="s">
        <v>108</v>
      </c>
      <c r="N379">
        <v>2</v>
      </c>
      <c r="O379" t="s">
        <v>69</v>
      </c>
      <c r="P379" s="48">
        <v>52963.47</v>
      </c>
      <c r="Q379" s="48">
        <v>13685.36</v>
      </c>
      <c r="R379" s="48">
        <v>2524.92</v>
      </c>
      <c r="S379" s="48">
        <v>743.86</v>
      </c>
      <c r="T379" s="48">
        <v>529.63</v>
      </c>
      <c r="U379" s="48">
        <v>417.99</v>
      </c>
      <c r="V379" s="48">
        <v>814.76</v>
      </c>
      <c r="W379" s="48">
        <v>34246.949999999997</v>
      </c>
      <c r="X379">
        <v>36</v>
      </c>
      <c r="Y379" t="s">
        <v>101</v>
      </c>
      <c r="Z379">
        <v>114.04</v>
      </c>
      <c r="AA379" t="s">
        <v>91</v>
      </c>
      <c r="AB379" t="s">
        <v>47</v>
      </c>
      <c r="AC379" t="s">
        <v>48</v>
      </c>
      <c r="AD379" t="s">
        <v>144</v>
      </c>
      <c r="AE379" t="s">
        <v>62</v>
      </c>
      <c r="AF379" s="5">
        <f>DATE(YEAR(C379),MONTH(C379),1)</f>
        <v>45931</v>
      </c>
      <c r="AG379">
        <f>E379-D379</f>
        <v>11</v>
      </c>
      <c r="AH379" s="6">
        <f t="shared" si="5"/>
        <v>64.661454394887642</v>
      </c>
    </row>
    <row r="380" spans="1:34">
      <c r="A380" t="s">
        <v>873</v>
      </c>
      <c r="B380" t="s">
        <v>874</v>
      </c>
      <c r="C380" s="1">
        <v>45868</v>
      </c>
      <c r="D380" s="1">
        <v>45872</v>
      </c>
      <c r="E380" s="1">
        <v>45891</v>
      </c>
      <c r="F380" t="s">
        <v>83</v>
      </c>
      <c r="G380" t="s">
        <v>84</v>
      </c>
      <c r="H380" t="s">
        <v>85</v>
      </c>
      <c r="I380" t="s">
        <v>56</v>
      </c>
      <c r="J380" t="s">
        <v>57</v>
      </c>
      <c r="K380" t="s">
        <v>58</v>
      </c>
      <c r="L380" t="s">
        <v>100</v>
      </c>
      <c r="M380" t="s">
        <v>79</v>
      </c>
      <c r="N380">
        <v>4</v>
      </c>
      <c r="O380" t="s">
        <v>44</v>
      </c>
      <c r="P380" s="48">
        <v>68099.81</v>
      </c>
      <c r="Q380" s="48">
        <v>13643.72</v>
      </c>
      <c r="R380" s="48">
        <v>4608.67</v>
      </c>
      <c r="S380" s="48">
        <v>1724.97</v>
      </c>
      <c r="T380" s="48">
        <v>681</v>
      </c>
      <c r="U380" s="48">
        <v>777.63</v>
      </c>
      <c r="V380" s="48">
        <v>1600.7</v>
      </c>
      <c r="W380" s="48">
        <v>45063.12</v>
      </c>
      <c r="X380">
        <v>48</v>
      </c>
      <c r="Y380" t="s">
        <v>90</v>
      </c>
      <c r="Z380">
        <v>113.7</v>
      </c>
      <c r="AA380" t="s">
        <v>91</v>
      </c>
      <c r="AB380" t="s">
        <v>47</v>
      </c>
      <c r="AC380" t="s">
        <v>60</v>
      </c>
      <c r="AD380" t="s">
        <v>61</v>
      </c>
      <c r="AE380" t="s">
        <v>71</v>
      </c>
      <c r="AF380" s="5">
        <f>DATE(YEAR(C380),MONTH(C380),1)</f>
        <v>45839</v>
      </c>
      <c r="AG380">
        <f>E380-D380</f>
        <v>19</v>
      </c>
      <c r="AH380" s="6">
        <f t="shared" si="5"/>
        <v>66.172167000172252</v>
      </c>
    </row>
    <row r="381" spans="1:34">
      <c r="A381" t="s">
        <v>875</v>
      </c>
      <c r="B381" t="s">
        <v>876</v>
      </c>
      <c r="C381" s="1">
        <v>45960</v>
      </c>
      <c r="D381" s="1">
        <v>45962</v>
      </c>
      <c r="E381" s="1">
        <v>45983</v>
      </c>
      <c r="F381" t="s">
        <v>83</v>
      </c>
      <c r="G381" t="s">
        <v>84</v>
      </c>
      <c r="H381" t="s">
        <v>85</v>
      </c>
      <c r="I381" t="s">
        <v>40</v>
      </c>
      <c r="J381" t="s">
        <v>122</v>
      </c>
      <c r="K381" t="s">
        <v>123</v>
      </c>
      <c r="L381" t="s">
        <v>127</v>
      </c>
      <c r="M381" t="s">
        <v>79</v>
      </c>
      <c r="N381">
        <v>2</v>
      </c>
      <c r="O381" t="s">
        <v>54</v>
      </c>
      <c r="P381" s="48">
        <v>83027.58</v>
      </c>
      <c r="Q381" s="48">
        <v>13632</v>
      </c>
      <c r="R381" s="48">
        <v>4354.97</v>
      </c>
      <c r="S381" s="48">
        <v>1511.59</v>
      </c>
      <c r="T381" s="48">
        <v>830.28</v>
      </c>
      <c r="U381" s="48">
        <v>667.97</v>
      </c>
      <c r="V381" s="48">
        <v>384.49</v>
      </c>
      <c r="W381" s="48">
        <v>61646.28</v>
      </c>
      <c r="X381">
        <v>0</v>
      </c>
      <c r="Y381" t="s">
        <v>45</v>
      </c>
      <c r="Z381">
        <v>113.6</v>
      </c>
      <c r="AA381" t="s">
        <v>46</v>
      </c>
      <c r="AB381" t="s">
        <v>92</v>
      </c>
      <c r="AC381" t="s">
        <v>48</v>
      </c>
      <c r="AD381" t="s">
        <v>93</v>
      </c>
      <c r="AE381" t="s">
        <v>102</v>
      </c>
      <c r="AF381" s="5">
        <f>DATE(YEAR(C381),MONTH(C381),1)</f>
        <v>45931</v>
      </c>
      <c r="AG381">
        <f>E381-D381</f>
        <v>21</v>
      </c>
      <c r="AH381" s="6">
        <f t="shared" si="5"/>
        <v>74.247954715770348</v>
      </c>
    </row>
    <row r="382" spans="1:34">
      <c r="A382" t="s">
        <v>877</v>
      </c>
      <c r="B382" t="s">
        <v>878</v>
      </c>
      <c r="C382" s="1">
        <v>45822</v>
      </c>
      <c r="D382" s="1">
        <v>45826</v>
      </c>
      <c r="E382" s="1">
        <v>45840</v>
      </c>
      <c r="F382" t="s">
        <v>180</v>
      </c>
      <c r="G382" t="s">
        <v>181</v>
      </c>
      <c r="H382" t="s">
        <v>38</v>
      </c>
      <c r="I382" t="s">
        <v>115</v>
      </c>
      <c r="J382" t="s">
        <v>98</v>
      </c>
      <c r="K382" t="s">
        <v>99</v>
      </c>
      <c r="L382" t="s">
        <v>116</v>
      </c>
      <c r="M382" t="s">
        <v>79</v>
      </c>
      <c r="N382">
        <v>4</v>
      </c>
      <c r="O382" t="s">
        <v>69</v>
      </c>
      <c r="P382" s="48">
        <v>50619.41</v>
      </c>
      <c r="Q382" s="48">
        <v>13628.65</v>
      </c>
      <c r="R382" s="48">
        <v>3690.6</v>
      </c>
      <c r="S382" s="48">
        <v>1488.67</v>
      </c>
      <c r="T382" s="48">
        <v>506.19</v>
      </c>
      <c r="U382" s="48">
        <v>328.79</v>
      </c>
      <c r="V382" s="48">
        <v>576.45000000000005</v>
      </c>
      <c r="W382" s="48">
        <v>30400.06</v>
      </c>
      <c r="X382">
        <v>8</v>
      </c>
      <c r="Y382" t="s">
        <v>90</v>
      </c>
      <c r="Z382">
        <v>113.57</v>
      </c>
      <c r="AA382" t="s">
        <v>91</v>
      </c>
      <c r="AB382" t="s">
        <v>47</v>
      </c>
      <c r="AC382" t="s">
        <v>60</v>
      </c>
      <c r="AD382" t="s">
        <v>130</v>
      </c>
      <c r="AE382" t="s">
        <v>50</v>
      </c>
      <c r="AF382" s="5">
        <f>DATE(YEAR(C382),MONTH(C382),1)</f>
        <v>45809</v>
      </c>
      <c r="AG382">
        <f>E382-D382</f>
        <v>14</v>
      </c>
      <c r="AH382" s="6">
        <f t="shared" si="5"/>
        <v>60.05613261790289</v>
      </c>
    </row>
    <row r="383" spans="1:34">
      <c r="A383" t="s">
        <v>879</v>
      </c>
      <c r="B383" t="s">
        <v>880</v>
      </c>
      <c r="C383" s="1">
        <v>45935</v>
      </c>
      <c r="D383" s="1">
        <v>45936</v>
      </c>
      <c r="E383" s="1">
        <v>45963</v>
      </c>
      <c r="F383" t="s">
        <v>36</v>
      </c>
      <c r="G383" t="s">
        <v>37</v>
      </c>
      <c r="H383" t="s">
        <v>38</v>
      </c>
      <c r="I383" t="s">
        <v>115</v>
      </c>
      <c r="J383" t="s">
        <v>98</v>
      </c>
      <c r="K383" t="s">
        <v>99</v>
      </c>
      <c r="L383" t="s">
        <v>100</v>
      </c>
      <c r="M383" t="s">
        <v>108</v>
      </c>
      <c r="N383">
        <v>2</v>
      </c>
      <c r="O383" t="s">
        <v>111</v>
      </c>
      <c r="P383" s="48">
        <v>59848.5</v>
      </c>
      <c r="Q383" s="48">
        <v>13625.55</v>
      </c>
      <c r="R383" s="48">
        <v>4771.07</v>
      </c>
      <c r="S383" s="48">
        <v>1480.25</v>
      </c>
      <c r="T383" s="48">
        <v>598.49</v>
      </c>
      <c r="U383" s="48">
        <v>576.16</v>
      </c>
      <c r="V383" s="48">
        <v>386.94</v>
      </c>
      <c r="W383" s="48">
        <v>38410.04</v>
      </c>
      <c r="X383">
        <v>0</v>
      </c>
      <c r="Y383" t="s">
        <v>45</v>
      </c>
      <c r="Z383">
        <v>113.55</v>
      </c>
      <c r="AA383" t="s">
        <v>46</v>
      </c>
      <c r="AB383" t="s">
        <v>47</v>
      </c>
      <c r="AC383" t="s">
        <v>70</v>
      </c>
      <c r="AD383" t="s">
        <v>49</v>
      </c>
      <c r="AE383" t="s">
        <v>62</v>
      </c>
      <c r="AF383" s="5">
        <f>DATE(YEAR(C383),MONTH(C383),1)</f>
        <v>45931</v>
      </c>
      <c r="AG383">
        <f>E383-D383</f>
        <v>27</v>
      </c>
      <c r="AH383" s="6">
        <f t="shared" si="5"/>
        <v>64.178784764864616</v>
      </c>
    </row>
    <row r="384" spans="1:34">
      <c r="A384" t="s">
        <v>881</v>
      </c>
      <c r="B384" t="s">
        <v>882</v>
      </c>
      <c r="C384" s="1">
        <v>45916</v>
      </c>
      <c r="D384" s="1">
        <v>45917</v>
      </c>
      <c r="E384" s="1">
        <v>45943</v>
      </c>
      <c r="F384" t="s">
        <v>180</v>
      </c>
      <c r="G384" t="s">
        <v>181</v>
      </c>
      <c r="H384" t="s">
        <v>38</v>
      </c>
      <c r="I384" t="s">
        <v>57</v>
      </c>
      <c r="J384" t="s">
        <v>87</v>
      </c>
      <c r="K384" t="s">
        <v>41</v>
      </c>
      <c r="L384" t="s">
        <v>127</v>
      </c>
      <c r="M384" t="s">
        <v>68</v>
      </c>
      <c r="N384">
        <v>2</v>
      </c>
      <c r="O384" t="s">
        <v>80</v>
      </c>
      <c r="P384" s="48">
        <v>65280.84</v>
      </c>
      <c r="Q384" s="48">
        <v>13571.24</v>
      </c>
      <c r="R384" s="48">
        <v>3058.68</v>
      </c>
      <c r="S384" s="48">
        <v>1747.2</v>
      </c>
      <c r="T384" s="48">
        <v>652.80999999999995</v>
      </c>
      <c r="U384" s="48">
        <v>890.86</v>
      </c>
      <c r="V384" s="48">
        <v>691.86</v>
      </c>
      <c r="W384" s="48">
        <v>44668.19</v>
      </c>
      <c r="X384">
        <v>4</v>
      </c>
      <c r="Y384" t="s">
        <v>90</v>
      </c>
      <c r="Z384">
        <v>113.09</v>
      </c>
      <c r="AA384" t="s">
        <v>91</v>
      </c>
      <c r="AB384" t="s">
        <v>92</v>
      </c>
      <c r="AC384" t="s">
        <v>60</v>
      </c>
      <c r="AD384" t="s">
        <v>49</v>
      </c>
      <c r="AE384" t="s">
        <v>50</v>
      </c>
      <c r="AF384" s="5">
        <f>DATE(YEAR(C384),MONTH(C384),1)</f>
        <v>45901</v>
      </c>
      <c r="AG384">
        <f>E384-D384</f>
        <v>26</v>
      </c>
      <c r="AH384" s="6">
        <f t="shared" si="5"/>
        <v>68.424655687641277</v>
      </c>
    </row>
    <row r="385" spans="1:34">
      <c r="A385" t="s">
        <v>883</v>
      </c>
      <c r="B385" t="s">
        <v>884</v>
      </c>
      <c r="C385" s="1">
        <v>45790</v>
      </c>
      <c r="D385" s="1">
        <v>45793</v>
      </c>
      <c r="E385" s="1">
        <v>45810</v>
      </c>
      <c r="F385" t="s">
        <v>74</v>
      </c>
      <c r="G385" t="s">
        <v>75</v>
      </c>
      <c r="H385" t="s">
        <v>76</v>
      </c>
      <c r="I385" t="s">
        <v>40</v>
      </c>
      <c r="J385" t="s">
        <v>122</v>
      </c>
      <c r="K385" t="s">
        <v>123</v>
      </c>
      <c r="L385" t="s">
        <v>78</v>
      </c>
      <c r="M385" t="s">
        <v>43</v>
      </c>
      <c r="N385">
        <v>2</v>
      </c>
      <c r="O385" t="s">
        <v>54</v>
      </c>
      <c r="P385" s="48">
        <v>79010.63</v>
      </c>
      <c r="Q385" s="48">
        <v>13522.2</v>
      </c>
      <c r="R385" s="48">
        <v>3861.05</v>
      </c>
      <c r="S385" s="48">
        <v>1009.86</v>
      </c>
      <c r="T385" s="48">
        <v>790.11</v>
      </c>
      <c r="U385" s="48">
        <v>872.11</v>
      </c>
      <c r="V385" s="48">
        <v>378.94</v>
      </c>
      <c r="W385" s="48">
        <v>58576.36</v>
      </c>
      <c r="X385">
        <v>0</v>
      </c>
      <c r="Y385" t="s">
        <v>45</v>
      </c>
      <c r="Z385">
        <v>112.69</v>
      </c>
      <c r="AA385" t="s">
        <v>46</v>
      </c>
      <c r="AB385" t="s">
        <v>92</v>
      </c>
      <c r="AC385" t="s">
        <v>70</v>
      </c>
      <c r="AD385" t="s">
        <v>93</v>
      </c>
      <c r="AE385" t="s">
        <v>102</v>
      </c>
      <c r="AF385" s="5">
        <f>DATE(YEAR(C385),MONTH(C385),1)</f>
        <v>45778</v>
      </c>
      <c r="AG385">
        <f>E385-D385</f>
        <v>17</v>
      </c>
      <c r="AH385" s="6">
        <f t="shared" si="5"/>
        <v>74.137315447301205</v>
      </c>
    </row>
    <row r="386" spans="1:34">
      <c r="A386" t="s">
        <v>885</v>
      </c>
      <c r="B386" t="s">
        <v>886</v>
      </c>
      <c r="C386" s="1">
        <v>45921</v>
      </c>
      <c r="D386" s="1">
        <v>45922</v>
      </c>
      <c r="E386" s="1">
        <v>45944</v>
      </c>
      <c r="F386" t="s">
        <v>149</v>
      </c>
      <c r="G386" t="s">
        <v>111</v>
      </c>
      <c r="H386" t="s">
        <v>150</v>
      </c>
      <c r="I386" t="s">
        <v>86</v>
      </c>
      <c r="J386" t="s">
        <v>87</v>
      </c>
      <c r="K386" t="s">
        <v>88</v>
      </c>
      <c r="L386" t="s">
        <v>78</v>
      </c>
      <c r="M386" t="s">
        <v>43</v>
      </c>
      <c r="N386">
        <v>2</v>
      </c>
      <c r="O386" t="s">
        <v>89</v>
      </c>
      <c r="P386" s="48">
        <v>66365.78</v>
      </c>
      <c r="Q386" s="48">
        <v>13488.81</v>
      </c>
      <c r="R386" s="48">
        <v>4772.91</v>
      </c>
      <c r="S386" s="48">
        <v>904.71</v>
      </c>
      <c r="T386" s="48">
        <v>663.66</v>
      </c>
      <c r="U386" s="48">
        <v>846.78</v>
      </c>
      <c r="V386" s="48">
        <v>1951.33</v>
      </c>
      <c r="W386" s="48">
        <v>43737.58</v>
      </c>
      <c r="X386">
        <v>24</v>
      </c>
      <c r="Y386" t="s">
        <v>112</v>
      </c>
      <c r="Z386">
        <v>112.41</v>
      </c>
      <c r="AA386" t="s">
        <v>91</v>
      </c>
      <c r="AB386" t="s">
        <v>47</v>
      </c>
      <c r="AC386" t="s">
        <v>70</v>
      </c>
      <c r="AD386" t="s">
        <v>49</v>
      </c>
      <c r="AE386" t="s">
        <v>50</v>
      </c>
      <c r="AF386" s="5">
        <f>DATE(YEAR(C386),MONTH(C386),1)</f>
        <v>45901</v>
      </c>
      <c r="AG386">
        <f>E386-D386</f>
        <v>22</v>
      </c>
      <c r="AH386" s="6">
        <f t="shared" si="5"/>
        <v>65.903813682292295</v>
      </c>
    </row>
    <row r="387" spans="1:34">
      <c r="A387" t="s">
        <v>887</v>
      </c>
      <c r="B387" t="s">
        <v>888</v>
      </c>
      <c r="C387" s="1">
        <v>45816</v>
      </c>
      <c r="D387" s="1">
        <v>45818</v>
      </c>
      <c r="E387" s="1">
        <v>45837</v>
      </c>
      <c r="F387" t="s">
        <v>180</v>
      </c>
      <c r="G387" t="s">
        <v>181</v>
      </c>
      <c r="H387" t="s">
        <v>38</v>
      </c>
      <c r="I387" t="s">
        <v>56</v>
      </c>
      <c r="J387" t="s">
        <v>57</v>
      </c>
      <c r="K387" t="s">
        <v>58</v>
      </c>
      <c r="L387" t="s">
        <v>100</v>
      </c>
      <c r="M387" t="s">
        <v>43</v>
      </c>
      <c r="N387">
        <v>2</v>
      </c>
      <c r="O387" t="s">
        <v>69</v>
      </c>
      <c r="P387" s="48">
        <v>80212.710000000006</v>
      </c>
      <c r="Q387" s="48">
        <v>13482.42</v>
      </c>
      <c r="R387" s="48">
        <v>5383.93</v>
      </c>
      <c r="S387" s="48">
        <v>1824.37</v>
      </c>
      <c r="T387" s="48">
        <v>802.13</v>
      </c>
      <c r="U387" s="48">
        <v>448.47</v>
      </c>
      <c r="V387" s="48">
        <v>1856.16</v>
      </c>
      <c r="W387" s="48">
        <v>56415.23</v>
      </c>
      <c r="X387">
        <v>0</v>
      </c>
      <c r="Y387" t="s">
        <v>45</v>
      </c>
      <c r="Z387">
        <v>112.35</v>
      </c>
      <c r="AA387" t="s">
        <v>46</v>
      </c>
      <c r="AB387" t="s">
        <v>47</v>
      </c>
      <c r="AC387" t="s">
        <v>70</v>
      </c>
      <c r="AD387" t="s">
        <v>130</v>
      </c>
      <c r="AE387" t="s">
        <v>102</v>
      </c>
      <c r="AF387" s="5">
        <f>DATE(YEAR(C387),MONTH(C387),1)</f>
        <v>45809</v>
      </c>
      <c r="AG387">
        <f>E387-D387</f>
        <v>19</v>
      </c>
      <c r="AH387" s="6">
        <f t="shared" ref="AH387:AH450" si="6">W387/P387*100</f>
        <v>70.332033414654603</v>
      </c>
    </row>
    <row r="388" spans="1:34">
      <c r="A388" t="s">
        <v>889</v>
      </c>
      <c r="B388" t="s">
        <v>890</v>
      </c>
      <c r="C388" s="1">
        <v>45721</v>
      </c>
      <c r="D388" s="1">
        <v>45724</v>
      </c>
      <c r="E388" s="1">
        <v>45747</v>
      </c>
      <c r="F388" t="s">
        <v>96</v>
      </c>
      <c r="G388" t="s">
        <v>97</v>
      </c>
      <c r="H388" t="s">
        <v>76</v>
      </c>
      <c r="I388" t="s">
        <v>40</v>
      </c>
      <c r="J388" t="s">
        <v>122</v>
      </c>
      <c r="K388" t="s">
        <v>123</v>
      </c>
      <c r="L388" t="s">
        <v>59</v>
      </c>
      <c r="M388" t="s">
        <v>43</v>
      </c>
      <c r="N388">
        <v>2</v>
      </c>
      <c r="O388" t="s">
        <v>80</v>
      </c>
      <c r="P388" s="48">
        <v>48349.43</v>
      </c>
      <c r="Q388" s="48">
        <v>13463.68</v>
      </c>
      <c r="R388" s="48">
        <v>2608.64</v>
      </c>
      <c r="S388" s="48">
        <v>1018.74</v>
      </c>
      <c r="T388" s="48">
        <v>483.49</v>
      </c>
      <c r="U388" s="48">
        <v>790.07</v>
      </c>
      <c r="V388" s="48">
        <v>2498.0500000000002</v>
      </c>
      <c r="W388" s="48">
        <v>27486.76</v>
      </c>
      <c r="X388">
        <v>0</v>
      </c>
      <c r="Y388" t="s">
        <v>45</v>
      </c>
      <c r="Z388">
        <v>112.2</v>
      </c>
      <c r="AA388" t="s">
        <v>46</v>
      </c>
      <c r="AB388" t="s">
        <v>92</v>
      </c>
      <c r="AC388" t="s">
        <v>60</v>
      </c>
      <c r="AD388" t="s">
        <v>144</v>
      </c>
      <c r="AE388" t="s">
        <v>71</v>
      </c>
      <c r="AF388" s="5">
        <f>DATE(YEAR(C388),MONTH(C388),1)</f>
        <v>45717</v>
      </c>
      <c r="AG388">
        <f>E388-D388</f>
        <v>23</v>
      </c>
      <c r="AH388" s="6">
        <f t="shared" si="6"/>
        <v>56.850225535233811</v>
      </c>
    </row>
    <row r="389" spans="1:34">
      <c r="A389" t="s">
        <v>891</v>
      </c>
      <c r="B389" t="s">
        <v>892</v>
      </c>
      <c r="C389" s="1">
        <v>45689</v>
      </c>
      <c r="D389" s="1">
        <v>45693</v>
      </c>
      <c r="E389" s="1">
        <v>45715</v>
      </c>
      <c r="F389" t="s">
        <v>96</v>
      </c>
      <c r="G389" t="s">
        <v>97</v>
      </c>
      <c r="H389" t="s">
        <v>76</v>
      </c>
      <c r="I389" t="s">
        <v>40</v>
      </c>
      <c r="J389" t="s">
        <v>122</v>
      </c>
      <c r="K389" t="s">
        <v>123</v>
      </c>
      <c r="L389" t="s">
        <v>42</v>
      </c>
      <c r="M389" t="s">
        <v>108</v>
      </c>
      <c r="N389">
        <v>2</v>
      </c>
      <c r="O389" t="s">
        <v>80</v>
      </c>
      <c r="P389" s="48">
        <v>75323.740000000005</v>
      </c>
      <c r="Q389" s="48">
        <v>13454.8</v>
      </c>
      <c r="R389" s="48">
        <v>4332.25</v>
      </c>
      <c r="S389" s="48">
        <v>2047.35</v>
      </c>
      <c r="T389" s="48">
        <v>753.24</v>
      </c>
      <c r="U389" s="48">
        <v>710.52</v>
      </c>
      <c r="V389" s="48">
        <v>1946.7</v>
      </c>
      <c r="W389" s="48">
        <v>52078.879999999997</v>
      </c>
      <c r="X389">
        <v>4</v>
      </c>
      <c r="Y389" t="s">
        <v>90</v>
      </c>
      <c r="Z389">
        <v>112.12</v>
      </c>
      <c r="AA389" t="s">
        <v>91</v>
      </c>
      <c r="AB389" t="s">
        <v>47</v>
      </c>
      <c r="AC389" t="s">
        <v>60</v>
      </c>
      <c r="AD389" t="s">
        <v>93</v>
      </c>
      <c r="AE389" t="s">
        <v>62</v>
      </c>
      <c r="AF389" s="5">
        <f>DATE(YEAR(C389),MONTH(C389),1)</f>
        <v>45689</v>
      </c>
      <c r="AG389">
        <f>E389-D389</f>
        <v>22</v>
      </c>
      <c r="AH389" s="6">
        <f t="shared" si="6"/>
        <v>69.140061287450678</v>
      </c>
    </row>
    <row r="390" spans="1:34">
      <c r="A390" t="s">
        <v>893</v>
      </c>
      <c r="B390" t="s">
        <v>894</v>
      </c>
      <c r="C390" s="1">
        <v>45921</v>
      </c>
      <c r="D390" s="1">
        <v>45922</v>
      </c>
      <c r="E390" s="1">
        <v>45942</v>
      </c>
      <c r="F390" t="s">
        <v>36</v>
      </c>
      <c r="G390" t="s">
        <v>37</v>
      </c>
      <c r="H390" t="s">
        <v>38</v>
      </c>
      <c r="I390" t="s">
        <v>57</v>
      </c>
      <c r="J390" t="s">
        <v>98</v>
      </c>
      <c r="K390" t="s">
        <v>99</v>
      </c>
      <c r="L390" t="s">
        <v>59</v>
      </c>
      <c r="M390" t="s">
        <v>79</v>
      </c>
      <c r="N390">
        <v>4</v>
      </c>
      <c r="O390" t="s">
        <v>89</v>
      </c>
      <c r="P390" s="48">
        <v>80432.789999999994</v>
      </c>
      <c r="Q390" s="48">
        <v>13453.7</v>
      </c>
      <c r="R390" s="48">
        <v>4651.57</v>
      </c>
      <c r="S390" s="48">
        <v>2079.79</v>
      </c>
      <c r="T390" s="48">
        <v>804.33</v>
      </c>
      <c r="U390" s="48">
        <v>466.36</v>
      </c>
      <c r="V390" s="48">
        <v>1816.52</v>
      </c>
      <c r="W390" s="48">
        <v>57160.52</v>
      </c>
      <c r="X390">
        <v>12</v>
      </c>
      <c r="Y390" t="s">
        <v>117</v>
      </c>
      <c r="Z390">
        <v>112.11</v>
      </c>
      <c r="AA390" t="s">
        <v>91</v>
      </c>
      <c r="AB390" t="s">
        <v>92</v>
      </c>
      <c r="AC390" t="s">
        <v>70</v>
      </c>
      <c r="AD390" t="s">
        <v>144</v>
      </c>
      <c r="AE390" t="s">
        <v>62</v>
      </c>
      <c r="AF390" s="5">
        <f>DATE(YEAR(C390),MONTH(C390),1)</f>
        <v>45901</v>
      </c>
      <c r="AG390">
        <f>E390-D390</f>
        <v>20</v>
      </c>
      <c r="AH390" s="6">
        <f t="shared" si="6"/>
        <v>71.06619079109403</v>
      </c>
    </row>
    <row r="391" spans="1:34">
      <c r="A391" t="s">
        <v>895</v>
      </c>
      <c r="B391" t="s">
        <v>896</v>
      </c>
      <c r="C391" s="1">
        <v>46017</v>
      </c>
      <c r="D391" s="1">
        <v>46018</v>
      </c>
      <c r="E391" s="1">
        <v>46030</v>
      </c>
      <c r="F391" t="s">
        <v>138</v>
      </c>
      <c r="G391" t="s">
        <v>139</v>
      </c>
      <c r="H391" t="s">
        <v>76</v>
      </c>
      <c r="I391" t="s">
        <v>115</v>
      </c>
      <c r="J391" t="s">
        <v>98</v>
      </c>
      <c r="K391" t="s">
        <v>99</v>
      </c>
      <c r="L391" t="s">
        <v>155</v>
      </c>
      <c r="M391" t="s">
        <v>79</v>
      </c>
      <c r="N391">
        <v>2</v>
      </c>
      <c r="O391" t="s">
        <v>54</v>
      </c>
      <c r="P391" s="48">
        <v>47049.47</v>
      </c>
      <c r="Q391" s="48">
        <v>13440.69</v>
      </c>
      <c r="R391" s="48">
        <v>3262.28</v>
      </c>
      <c r="S391" s="48">
        <v>908.41</v>
      </c>
      <c r="T391" s="48">
        <v>470.49</v>
      </c>
      <c r="U391" s="48">
        <v>412.98</v>
      </c>
      <c r="V391" s="48">
        <v>1847.41</v>
      </c>
      <c r="W391" s="48">
        <v>26707.21</v>
      </c>
      <c r="X391">
        <v>8</v>
      </c>
      <c r="Y391" t="s">
        <v>117</v>
      </c>
      <c r="Z391">
        <v>112.01</v>
      </c>
      <c r="AA391" t="s">
        <v>91</v>
      </c>
      <c r="AB391" t="s">
        <v>47</v>
      </c>
      <c r="AC391" t="s">
        <v>60</v>
      </c>
      <c r="AD391" t="s">
        <v>130</v>
      </c>
      <c r="AE391" t="s">
        <v>62</v>
      </c>
      <c r="AF391" s="5">
        <f>DATE(YEAR(C391),MONTH(C391),1)</f>
        <v>45992</v>
      </c>
      <c r="AG391">
        <f>E391-D391</f>
        <v>12</v>
      </c>
      <c r="AH391" s="6">
        <f t="shared" si="6"/>
        <v>56.764103825186552</v>
      </c>
    </row>
    <row r="392" spans="1:34">
      <c r="A392" t="s">
        <v>897</v>
      </c>
      <c r="B392" t="s">
        <v>898</v>
      </c>
      <c r="C392" s="1">
        <v>45918</v>
      </c>
      <c r="D392" s="1">
        <v>45922</v>
      </c>
      <c r="E392" s="1">
        <v>45951</v>
      </c>
      <c r="F392" t="s">
        <v>138</v>
      </c>
      <c r="G392" t="s">
        <v>139</v>
      </c>
      <c r="H392" t="s">
        <v>76</v>
      </c>
      <c r="I392" t="s">
        <v>115</v>
      </c>
      <c r="J392" t="s">
        <v>98</v>
      </c>
      <c r="K392" t="s">
        <v>99</v>
      </c>
      <c r="L392" t="s">
        <v>116</v>
      </c>
      <c r="M392" t="s">
        <v>79</v>
      </c>
      <c r="N392">
        <v>2</v>
      </c>
      <c r="O392" t="s">
        <v>54</v>
      </c>
      <c r="P392" s="48">
        <v>68012.39</v>
      </c>
      <c r="Q392" s="48">
        <v>13436.76</v>
      </c>
      <c r="R392" s="48">
        <v>2738.14</v>
      </c>
      <c r="S392" s="48">
        <v>1852.1</v>
      </c>
      <c r="T392" s="48">
        <v>680.12</v>
      </c>
      <c r="U392" s="48">
        <v>899.02</v>
      </c>
      <c r="V392" s="48">
        <v>941.35</v>
      </c>
      <c r="W392" s="48">
        <v>47464.9</v>
      </c>
      <c r="X392">
        <v>48</v>
      </c>
      <c r="Y392" t="s">
        <v>117</v>
      </c>
      <c r="Z392">
        <v>111.97</v>
      </c>
      <c r="AA392" t="s">
        <v>91</v>
      </c>
      <c r="AB392" t="s">
        <v>92</v>
      </c>
      <c r="AC392" t="s">
        <v>70</v>
      </c>
      <c r="AD392" t="s">
        <v>130</v>
      </c>
      <c r="AE392" t="s">
        <v>71</v>
      </c>
      <c r="AF392" s="5">
        <f>DATE(YEAR(C392),MONTH(C392),1)</f>
        <v>45901</v>
      </c>
      <c r="AG392">
        <f>E392-D392</f>
        <v>29</v>
      </c>
      <c r="AH392" s="6">
        <f t="shared" si="6"/>
        <v>69.78860763457952</v>
      </c>
    </row>
    <row r="393" spans="1:34">
      <c r="A393" t="s">
        <v>899</v>
      </c>
      <c r="B393" t="s">
        <v>900</v>
      </c>
      <c r="C393" s="1">
        <v>45861</v>
      </c>
      <c r="D393" s="1">
        <v>45865</v>
      </c>
      <c r="E393" s="1">
        <v>45889</v>
      </c>
      <c r="F393" t="s">
        <v>149</v>
      </c>
      <c r="G393" t="s">
        <v>111</v>
      </c>
      <c r="H393" t="s">
        <v>150</v>
      </c>
      <c r="I393" t="s">
        <v>40</v>
      </c>
      <c r="J393" t="s">
        <v>122</v>
      </c>
      <c r="K393" t="s">
        <v>123</v>
      </c>
      <c r="L393" t="s">
        <v>78</v>
      </c>
      <c r="M393" t="s">
        <v>68</v>
      </c>
      <c r="N393">
        <v>2</v>
      </c>
      <c r="O393" t="s">
        <v>44</v>
      </c>
      <c r="P393" s="48">
        <v>56680.14</v>
      </c>
      <c r="Q393" s="48">
        <v>13415.76</v>
      </c>
      <c r="R393" s="48">
        <v>4277.3100000000004</v>
      </c>
      <c r="S393" s="48">
        <v>1000.76</v>
      </c>
      <c r="T393" s="48">
        <v>566.79999999999995</v>
      </c>
      <c r="U393" s="48">
        <v>601.30999999999995</v>
      </c>
      <c r="V393" s="48">
        <v>1580.92</v>
      </c>
      <c r="W393" s="48">
        <v>35237.279999999999</v>
      </c>
      <c r="X393">
        <v>8</v>
      </c>
      <c r="Y393" t="s">
        <v>101</v>
      </c>
      <c r="Z393">
        <v>111.8</v>
      </c>
      <c r="AA393" t="s">
        <v>91</v>
      </c>
      <c r="AB393" t="s">
        <v>47</v>
      </c>
      <c r="AC393" t="s">
        <v>60</v>
      </c>
      <c r="AD393" t="s">
        <v>93</v>
      </c>
      <c r="AE393" t="s">
        <v>102</v>
      </c>
      <c r="AF393" s="5">
        <f>DATE(YEAR(C393),MONTH(C393),1)</f>
        <v>45839</v>
      </c>
      <c r="AG393">
        <f>E393-D393</f>
        <v>24</v>
      </c>
      <c r="AH393" s="6">
        <f t="shared" si="6"/>
        <v>62.168653782435968</v>
      </c>
    </row>
    <row r="394" spans="1:34">
      <c r="A394" t="s">
        <v>901</v>
      </c>
      <c r="B394" t="s">
        <v>902</v>
      </c>
      <c r="C394" s="1">
        <v>45844</v>
      </c>
      <c r="D394" s="1">
        <v>45845</v>
      </c>
      <c r="E394" s="1">
        <v>45861</v>
      </c>
      <c r="F394" t="s">
        <v>180</v>
      </c>
      <c r="G394" t="s">
        <v>181</v>
      </c>
      <c r="H394" t="s">
        <v>38</v>
      </c>
      <c r="I394" t="s">
        <v>56</v>
      </c>
      <c r="J394" t="s">
        <v>86</v>
      </c>
      <c r="K394" t="s">
        <v>41</v>
      </c>
      <c r="L394" t="s">
        <v>100</v>
      </c>
      <c r="M394" t="s">
        <v>68</v>
      </c>
      <c r="N394">
        <v>2</v>
      </c>
      <c r="O394" t="s">
        <v>111</v>
      </c>
      <c r="P394" s="48">
        <v>66367.710000000006</v>
      </c>
      <c r="Q394" s="48">
        <v>13415.71</v>
      </c>
      <c r="R394" s="48">
        <v>3909.68</v>
      </c>
      <c r="S394" s="48">
        <v>970.44</v>
      </c>
      <c r="T394" s="48">
        <v>663.68</v>
      </c>
      <c r="U394" s="48">
        <v>267.86</v>
      </c>
      <c r="V394" s="48">
        <v>1640.14</v>
      </c>
      <c r="W394" s="48">
        <v>45500.2</v>
      </c>
      <c r="X394">
        <v>0</v>
      </c>
      <c r="Y394" t="s">
        <v>45</v>
      </c>
      <c r="Z394">
        <v>111.8</v>
      </c>
      <c r="AA394" t="s">
        <v>46</v>
      </c>
      <c r="AB394" t="s">
        <v>47</v>
      </c>
      <c r="AC394" t="s">
        <v>70</v>
      </c>
      <c r="AD394" t="s">
        <v>144</v>
      </c>
      <c r="AE394" t="s">
        <v>102</v>
      </c>
      <c r="AF394" s="5">
        <f>DATE(YEAR(C394),MONTH(C394),1)</f>
        <v>45839</v>
      </c>
      <c r="AG394">
        <f>E394-D394</f>
        <v>16</v>
      </c>
      <c r="AH394" s="6">
        <f t="shared" si="6"/>
        <v>68.557736887411053</v>
      </c>
    </row>
    <row r="395" spans="1:34">
      <c r="A395" t="s">
        <v>903</v>
      </c>
      <c r="B395" t="s">
        <v>904</v>
      </c>
      <c r="C395" s="1">
        <v>45710</v>
      </c>
      <c r="D395" s="1">
        <v>45711</v>
      </c>
      <c r="E395" s="1">
        <v>45729</v>
      </c>
      <c r="F395" t="s">
        <v>234</v>
      </c>
      <c r="G395" t="s">
        <v>111</v>
      </c>
      <c r="H395" t="s">
        <v>150</v>
      </c>
      <c r="I395" t="s">
        <v>56</v>
      </c>
      <c r="J395" t="s">
        <v>57</v>
      </c>
      <c r="K395" t="s">
        <v>58</v>
      </c>
      <c r="L395" t="s">
        <v>116</v>
      </c>
      <c r="M395" t="s">
        <v>68</v>
      </c>
      <c r="N395">
        <v>2</v>
      </c>
      <c r="O395" t="s">
        <v>54</v>
      </c>
      <c r="P395" s="48">
        <v>68537.41</v>
      </c>
      <c r="Q395" s="48">
        <v>13408.95</v>
      </c>
      <c r="R395" s="48">
        <v>5375.07</v>
      </c>
      <c r="S395" s="48">
        <v>838.57</v>
      </c>
      <c r="T395" s="48">
        <v>685.37</v>
      </c>
      <c r="U395" s="48">
        <v>604.30999999999995</v>
      </c>
      <c r="V395" s="48">
        <v>1793.43</v>
      </c>
      <c r="W395" s="48">
        <v>45831.71</v>
      </c>
      <c r="X395">
        <v>0</v>
      </c>
      <c r="Y395" t="s">
        <v>45</v>
      </c>
      <c r="Z395">
        <v>111.74</v>
      </c>
      <c r="AA395" t="s">
        <v>46</v>
      </c>
      <c r="AB395" t="s">
        <v>92</v>
      </c>
      <c r="AC395" t="s">
        <v>70</v>
      </c>
      <c r="AD395" t="s">
        <v>93</v>
      </c>
      <c r="AE395" t="s">
        <v>102</v>
      </c>
      <c r="AF395" s="5">
        <f>DATE(YEAR(C395),MONTH(C395),1)</f>
        <v>45689</v>
      </c>
      <c r="AG395">
        <f>E395-D395</f>
        <v>18</v>
      </c>
      <c r="AH395" s="6">
        <f t="shared" si="6"/>
        <v>66.871085440783361</v>
      </c>
    </row>
    <row r="396" spans="1:34">
      <c r="A396" t="s">
        <v>905</v>
      </c>
      <c r="B396" t="s">
        <v>906</v>
      </c>
      <c r="C396" s="1">
        <v>45898</v>
      </c>
      <c r="D396" s="1">
        <v>45901</v>
      </c>
      <c r="E396" s="1">
        <v>45928</v>
      </c>
      <c r="F396" t="s">
        <v>83</v>
      </c>
      <c r="G396" t="s">
        <v>84</v>
      </c>
      <c r="H396" t="s">
        <v>85</v>
      </c>
      <c r="I396" t="s">
        <v>122</v>
      </c>
      <c r="J396" t="s">
        <v>87</v>
      </c>
      <c r="K396" t="s">
        <v>41</v>
      </c>
      <c r="L396" t="s">
        <v>59</v>
      </c>
      <c r="M396" t="s">
        <v>79</v>
      </c>
      <c r="N396">
        <v>2</v>
      </c>
      <c r="O396" t="s">
        <v>44</v>
      </c>
      <c r="P396" s="48">
        <v>53779.42</v>
      </c>
      <c r="Q396" s="48">
        <v>13216.21</v>
      </c>
      <c r="R396" s="48">
        <v>2742.98</v>
      </c>
      <c r="S396" s="48">
        <v>1002.16</v>
      </c>
      <c r="T396" s="48">
        <v>537.79</v>
      </c>
      <c r="U396" s="48">
        <v>651.05999999999995</v>
      </c>
      <c r="V396" s="48">
        <v>707.11</v>
      </c>
      <c r="W396" s="48">
        <v>34922.11</v>
      </c>
      <c r="X396">
        <v>0</v>
      </c>
      <c r="Y396" t="s">
        <v>45</v>
      </c>
      <c r="Z396">
        <v>110.14</v>
      </c>
      <c r="AA396" t="s">
        <v>46</v>
      </c>
      <c r="AB396" t="s">
        <v>92</v>
      </c>
      <c r="AC396" t="s">
        <v>48</v>
      </c>
      <c r="AD396" t="s">
        <v>61</v>
      </c>
      <c r="AE396" t="s">
        <v>71</v>
      </c>
      <c r="AF396" s="5">
        <f>DATE(YEAR(C396),MONTH(C396),1)</f>
        <v>45870</v>
      </c>
      <c r="AG396">
        <f>E396-D396</f>
        <v>27</v>
      </c>
      <c r="AH396" s="6">
        <f t="shared" si="6"/>
        <v>64.935824893611723</v>
      </c>
    </row>
    <row r="397" spans="1:34">
      <c r="A397" t="s">
        <v>907</v>
      </c>
      <c r="B397" t="s">
        <v>908</v>
      </c>
      <c r="C397" s="1">
        <v>45864</v>
      </c>
      <c r="D397" s="1">
        <v>45867</v>
      </c>
      <c r="E397" s="1">
        <v>45889</v>
      </c>
      <c r="F397" t="s">
        <v>36</v>
      </c>
      <c r="G397" t="s">
        <v>37</v>
      </c>
      <c r="H397" t="s">
        <v>38</v>
      </c>
      <c r="I397" t="s">
        <v>86</v>
      </c>
      <c r="J397" t="s">
        <v>87</v>
      </c>
      <c r="K397" t="s">
        <v>88</v>
      </c>
      <c r="L397" t="s">
        <v>124</v>
      </c>
      <c r="M397" t="s">
        <v>108</v>
      </c>
      <c r="N397">
        <v>4</v>
      </c>
      <c r="O397" t="s">
        <v>80</v>
      </c>
      <c r="P397" s="48">
        <v>54541.06</v>
      </c>
      <c r="Q397" s="48">
        <v>13211.06</v>
      </c>
      <c r="R397" s="48">
        <v>3106.57</v>
      </c>
      <c r="S397" s="48">
        <v>1603.78</v>
      </c>
      <c r="T397" s="48">
        <v>545.41</v>
      </c>
      <c r="U397" s="48">
        <v>204.99</v>
      </c>
      <c r="V397" s="48">
        <v>640.54</v>
      </c>
      <c r="W397" s="48">
        <v>35228.71</v>
      </c>
      <c r="X397">
        <v>36</v>
      </c>
      <c r="Y397" t="s">
        <v>90</v>
      </c>
      <c r="Z397">
        <v>110.09</v>
      </c>
      <c r="AA397" t="s">
        <v>91</v>
      </c>
      <c r="AB397" t="s">
        <v>47</v>
      </c>
      <c r="AC397" t="s">
        <v>48</v>
      </c>
      <c r="AD397" t="s">
        <v>61</v>
      </c>
      <c r="AE397" t="s">
        <v>102</v>
      </c>
      <c r="AF397" s="5">
        <f>DATE(YEAR(C397),MONTH(C397),1)</f>
        <v>45839</v>
      </c>
      <c r="AG397">
        <f>E397-D397</f>
        <v>22</v>
      </c>
      <c r="AH397" s="6">
        <f t="shared" si="6"/>
        <v>64.591172228775889</v>
      </c>
    </row>
    <row r="398" spans="1:34">
      <c r="A398" t="s">
        <v>909</v>
      </c>
      <c r="B398" t="s">
        <v>910</v>
      </c>
      <c r="C398" s="1">
        <v>45766</v>
      </c>
      <c r="D398" s="1">
        <v>45767</v>
      </c>
      <c r="E398" s="1">
        <v>45780</v>
      </c>
      <c r="F398" t="s">
        <v>74</v>
      </c>
      <c r="G398" t="s">
        <v>75</v>
      </c>
      <c r="H398" t="s">
        <v>76</v>
      </c>
      <c r="I398" t="s">
        <v>86</v>
      </c>
      <c r="J398" t="s">
        <v>40</v>
      </c>
      <c r="K398" t="s">
        <v>41</v>
      </c>
      <c r="L398" t="s">
        <v>124</v>
      </c>
      <c r="M398" t="s">
        <v>108</v>
      </c>
      <c r="N398">
        <v>2</v>
      </c>
      <c r="O398" t="s">
        <v>69</v>
      </c>
      <c r="P398" s="48">
        <v>57772.38</v>
      </c>
      <c r="Q398" s="48">
        <v>13177.45</v>
      </c>
      <c r="R398" s="48">
        <v>4514.2700000000004</v>
      </c>
      <c r="S398" s="48">
        <v>1332.71</v>
      </c>
      <c r="T398" s="48">
        <v>577.72</v>
      </c>
      <c r="U398" s="48">
        <v>718.05</v>
      </c>
      <c r="V398" s="48">
        <v>2014.21</v>
      </c>
      <c r="W398" s="48">
        <v>35437.97</v>
      </c>
      <c r="X398">
        <v>8</v>
      </c>
      <c r="Y398" t="s">
        <v>112</v>
      </c>
      <c r="Z398">
        <v>109.81</v>
      </c>
      <c r="AA398" t="s">
        <v>91</v>
      </c>
      <c r="AB398" t="s">
        <v>47</v>
      </c>
      <c r="AC398" t="s">
        <v>48</v>
      </c>
      <c r="AD398" t="s">
        <v>49</v>
      </c>
      <c r="AE398" t="s">
        <v>71</v>
      </c>
      <c r="AF398" s="5">
        <f>DATE(YEAR(C398),MONTH(C398),1)</f>
        <v>45748</v>
      </c>
      <c r="AG398">
        <f>E398-D398</f>
        <v>13</v>
      </c>
      <c r="AH398" s="6">
        <f t="shared" si="6"/>
        <v>61.34067871186889</v>
      </c>
    </row>
    <row r="399" spans="1:34">
      <c r="A399" t="s">
        <v>911</v>
      </c>
      <c r="B399" t="s">
        <v>912</v>
      </c>
      <c r="C399" s="1">
        <v>45739</v>
      </c>
      <c r="D399" s="1">
        <v>45742</v>
      </c>
      <c r="E399" s="1">
        <v>45756</v>
      </c>
      <c r="F399" t="s">
        <v>234</v>
      </c>
      <c r="G399" t="s">
        <v>111</v>
      </c>
      <c r="H399" t="s">
        <v>150</v>
      </c>
      <c r="I399" t="s">
        <v>115</v>
      </c>
      <c r="J399" t="s">
        <v>98</v>
      </c>
      <c r="K399" t="s">
        <v>99</v>
      </c>
      <c r="L399" t="s">
        <v>100</v>
      </c>
      <c r="M399" t="s">
        <v>68</v>
      </c>
      <c r="N399">
        <v>2</v>
      </c>
      <c r="O399" t="s">
        <v>80</v>
      </c>
      <c r="P399" s="48">
        <v>66948.759999999995</v>
      </c>
      <c r="Q399" s="48">
        <v>13166.66</v>
      </c>
      <c r="R399" s="48">
        <v>4175.08</v>
      </c>
      <c r="S399" s="48">
        <v>1524.78</v>
      </c>
      <c r="T399" s="48">
        <v>669.49</v>
      </c>
      <c r="U399" s="48">
        <v>450.74</v>
      </c>
      <c r="V399" s="48">
        <v>583.13</v>
      </c>
      <c r="W399" s="48">
        <v>46378.879999999997</v>
      </c>
      <c r="X399">
        <v>0</v>
      </c>
      <c r="Y399" t="s">
        <v>45</v>
      </c>
      <c r="Z399">
        <v>109.72</v>
      </c>
      <c r="AA399" t="s">
        <v>46</v>
      </c>
      <c r="AB399" t="s">
        <v>47</v>
      </c>
      <c r="AC399" t="s">
        <v>70</v>
      </c>
      <c r="AD399" t="s">
        <v>93</v>
      </c>
      <c r="AE399" t="s">
        <v>102</v>
      </c>
      <c r="AF399" s="5">
        <f>DATE(YEAR(C399),MONTH(C399),1)</f>
        <v>45717</v>
      </c>
      <c r="AG399">
        <f>E399-D399</f>
        <v>14</v>
      </c>
      <c r="AH399" s="6">
        <f t="shared" si="6"/>
        <v>69.275188965411758</v>
      </c>
    </row>
    <row r="400" spans="1:34">
      <c r="A400" t="s">
        <v>913</v>
      </c>
      <c r="B400" t="s">
        <v>914</v>
      </c>
      <c r="C400" s="1">
        <v>45816</v>
      </c>
      <c r="D400" s="1">
        <v>45819</v>
      </c>
      <c r="E400" s="1">
        <v>45840</v>
      </c>
      <c r="F400" t="s">
        <v>180</v>
      </c>
      <c r="G400" t="s">
        <v>181</v>
      </c>
      <c r="H400" t="s">
        <v>38</v>
      </c>
      <c r="I400" t="s">
        <v>77</v>
      </c>
      <c r="J400" t="s">
        <v>122</v>
      </c>
      <c r="K400" t="s">
        <v>41</v>
      </c>
      <c r="L400" t="s">
        <v>116</v>
      </c>
      <c r="M400" t="s">
        <v>108</v>
      </c>
      <c r="N400">
        <v>2</v>
      </c>
      <c r="O400" t="s">
        <v>105</v>
      </c>
      <c r="P400" s="48">
        <v>77767.64</v>
      </c>
      <c r="Q400" s="48">
        <v>13165.28</v>
      </c>
      <c r="R400" s="48">
        <v>5718.59</v>
      </c>
      <c r="S400" s="48">
        <v>1356.97</v>
      </c>
      <c r="T400" s="48">
        <v>777.68</v>
      </c>
      <c r="U400" s="48">
        <v>508.37</v>
      </c>
      <c r="V400" s="48">
        <v>837.85</v>
      </c>
      <c r="W400" s="48">
        <v>55402.9</v>
      </c>
      <c r="X400">
        <v>24</v>
      </c>
      <c r="Y400" t="s">
        <v>90</v>
      </c>
      <c r="Z400">
        <v>109.71</v>
      </c>
      <c r="AA400" t="s">
        <v>91</v>
      </c>
      <c r="AB400" t="s">
        <v>92</v>
      </c>
      <c r="AC400" t="s">
        <v>48</v>
      </c>
      <c r="AD400" t="s">
        <v>130</v>
      </c>
      <c r="AE400" t="s">
        <v>62</v>
      </c>
      <c r="AF400" s="5">
        <f>DATE(YEAR(C400),MONTH(C400),1)</f>
        <v>45809</v>
      </c>
      <c r="AG400">
        <f>E400-D400</f>
        <v>21</v>
      </c>
      <c r="AH400" s="6">
        <f t="shared" si="6"/>
        <v>71.241585831844716</v>
      </c>
    </row>
    <row r="401" spans="1:34">
      <c r="A401" t="s">
        <v>915</v>
      </c>
      <c r="B401" t="s">
        <v>916</v>
      </c>
      <c r="C401" s="1">
        <v>45849</v>
      </c>
      <c r="D401" s="1">
        <v>45852</v>
      </c>
      <c r="E401" s="1">
        <v>45870</v>
      </c>
      <c r="F401" t="s">
        <v>74</v>
      </c>
      <c r="G401" t="s">
        <v>75</v>
      </c>
      <c r="H401" t="s">
        <v>76</v>
      </c>
      <c r="I401" t="s">
        <v>40</v>
      </c>
      <c r="J401" t="s">
        <v>122</v>
      </c>
      <c r="K401" t="s">
        <v>123</v>
      </c>
      <c r="L401" t="s">
        <v>124</v>
      </c>
      <c r="M401" t="s">
        <v>68</v>
      </c>
      <c r="N401">
        <v>4</v>
      </c>
      <c r="O401" t="s">
        <v>89</v>
      </c>
      <c r="P401" s="48">
        <v>64475.45</v>
      </c>
      <c r="Q401" s="48">
        <v>13148.93</v>
      </c>
      <c r="R401" s="48">
        <v>4331.18</v>
      </c>
      <c r="S401" s="48">
        <v>1559.28</v>
      </c>
      <c r="T401" s="48">
        <v>644.75</v>
      </c>
      <c r="U401" s="48">
        <v>692.29</v>
      </c>
      <c r="V401" s="48">
        <v>2120.46</v>
      </c>
      <c r="W401" s="48">
        <v>41978.559999999998</v>
      </c>
      <c r="X401">
        <v>24</v>
      </c>
      <c r="Y401" t="s">
        <v>101</v>
      </c>
      <c r="Z401">
        <v>109.57</v>
      </c>
      <c r="AA401" t="s">
        <v>91</v>
      </c>
      <c r="AB401" t="s">
        <v>47</v>
      </c>
      <c r="AC401" t="s">
        <v>70</v>
      </c>
      <c r="AD401" t="s">
        <v>130</v>
      </c>
      <c r="AE401" t="s">
        <v>50</v>
      </c>
      <c r="AF401" s="5">
        <f>DATE(YEAR(C401),MONTH(C401),1)</f>
        <v>45839</v>
      </c>
      <c r="AG401">
        <f>E401-D401</f>
        <v>18</v>
      </c>
      <c r="AH401" s="6">
        <f t="shared" si="6"/>
        <v>65.107820108273771</v>
      </c>
    </row>
    <row r="402" spans="1:34">
      <c r="A402" t="s">
        <v>917</v>
      </c>
      <c r="B402" t="s">
        <v>918</v>
      </c>
      <c r="C402" s="1">
        <v>45970</v>
      </c>
      <c r="D402" s="1">
        <v>45971</v>
      </c>
      <c r="E402" s="1">
        <v>45982</v>
      </c>
      <c r="F402" t="s">
        <v>180</v>
      </c>
      <c r="G402" t="s">
        <v>181</v>
      </c>
      <c r="H402" t="s">
        <v>38</v>
      </c>
      <c r="I402" t="s">
        <v>40</v>
      </c>
      <c r="J402" t="s">
        <v>122</v>
      </c>
      <c r="K402" t="s">
        <v>123</v>
      </c>
      <c r="L402" t="s">
        <v>155</v>
      </c>
      <c r="M402" t="s">
        <v>79</v>
      </c>
      <c r="N402">
        <v>2</v>
      </c>
      <c r="O402" t="s">
        <v>44</v>
      </c>
      <c r="P402" s="48">
        <v>53707.64</v>
      </c>
      <c r="Q402" s="48">
        <v>13148.16</v>
      </c>
      <c r="R402" s="48">
        <v>3890.66</v>
      </c>
      <c r="S402" s="48">
        <v>1016.98</v>
      </c>
      <c r="T402" s="48">
        <v>537.08000000000004</v>
      </c>
      <c r="U402" s="48">
        <v>441.06</v>
      </c>
      <c r="V402" s="48">
        <v>1186.6400000000001</v>
      </c>
      <c r="W402" s="48">
        <v>33487.06</v>
      </c>
      <c r="X402">
        <v>12</v>
      </c>
      <c r="Y402" t="s">
        <v>101</v>
      </c>
      <c r="Z402">
        <v>109.57</v>
      </c>
      <c r="AA402" t="s">
        <v>91</v>
      </c>
      <c r="AB402" t="s">
        <v>92</v>
      </c>
      <c r="AC402" t="s">
        <v>70</v>
      </c>
      <c r="AD402" t="s">
        <v>49</v>
      </c>
      <c r="AE402" t="s">
        <v>62</v>
      </c>
      <c r="AF402" s="5">
        <f>DATE(YEAR(C402),MONTH(C402),1)</f>
        <v>45962</v>
      </c>
      <c r="AG402">
        <f>E402-D402</f>
        <v>11</v>
      </c>
      <c r="AH402" s="6">
        <f t="shared" si="6"/>
        <v>62.350645085131276</v>
      </c>
    </row>
    <row r="403" spans="1:34">
      <c r="A403" t="s">
        <v>919</v>
      </c>
      <c r="B403" t="s">
        <v>920</v>
      </c>
      <c r="C403" s="1">
        <v>45948</v>
      </c>
      <c r="D403" s="1">
        <v>45949</v>
      </c>
      <c r="E403" s="1">
        <v>45973</v>
      </c>
      <c r="F403" t="s">
        <v>180</v>
      </c>
      <c r="G403" t="s">
        <v>181</v>
      </c>
      <c r="H403" t="s">
        <v>38</v>
      </c>
      <c r="I403" t="s">
        <v>86</v>
      </c>
      <c r="J403" t="s">
        <v>87</v>
      </c>
      <c r="K403" t="s">
        <v>88</v>
      </c>
      <c r="L403" t="s">
        <v>100</v>
      </c>
      <c r="M403" t="s">
        <v>43</v>
      </c>
      <c r="N403">
        <v>1</v>
      </c>
      <c r="O403" t="s">
        <v>69</v>
      </c>
      <c r="P403" s="48">
        <v>44293.03</v>
      </c>
      <c r="Q403" s="48">
        <v>13119</v>
      </c>
      <c r="R403" s="48">
        <v>2236.9499999999998</v>
      </c>
      <c r="S403" s="48">
        <v>1217.55</v>
      </c>
      <c r="T403" s="48">
        <v>442.93</v>
      </c>
      <c r="U403" s="48">
        <v>834.61</v>
      </c>
      <c r="V403" s="48">
        <v>1931.25</v>
      </c>
      <c r="W403" s="48">
        <v>24510.74</v>
      </c>
      <c r="X403">
        <v>4</v>
      </c>
      <c r="Y403" t="s">
        <v>135</v>
      </c>
      <c r="Z403">
        <v>109.33</v>
      </c>
      <c r="AA403" t="s">
        <v>91</v>
      </c>
      <c r="AB403" t="s">
        <v>47</v>
      </c>
      <c r="AC403" t="s">
        <v>70</v>
      </c>
      <c r="AD403" t="s">
        <v>49</v>
      </c>
      <c r="AE403" t="s">
        <v>102</v>
      </c>
      <c r="AF403" s="5">
        <f>DATE(YEAR(C403),MONTH(C403),1)</f>
        <v>45931</v>
      </c>
      <c r="AG403">
        <f>E403-D403</f>
        <v>24</v>
      </c>
      <c r="AH403" s="6">
        <f t="shared" si="6"/>
        <v>55.337690828557008</v>
      </c>
    </row>
    <row r="404" spans="1:34">
      <c r="A404" t="s">
        <v>921</v>
      </c>
      <c r="B404" t="s">
        <v>922</v>
      </c>
      <c r="C404" s="1">
        <v>45735</v>
      </c>
      <c r="D404" s="1">
        <v>45736</v>
      </c>
      <c r="E404" s="1">
        <v>45747</v>
      </c>
      <c r="F404" t="s">
        <v>36</v>
      </c>
      <c r="G404" t="s">
        <v>37</v>
      </c>
      <c r="H404" t="s">
        <v>38</v>
      </c>
      <c r="I404" t="s">
        <v>57</v>
      </c>
      <c r="J404" t="s">
        <v>122</v>
      </c>
      <c r="K404" t="s">
        <v>41</v>
      </c>
      <c r="L404" t="s">
        <v>127</v>
      </c>
      <c r="M404" t="s">
        <v>79</v>
      </c>
      <c r="N404">
        <v>1</v>
      </c>
      <c r="O404" t="s">
        <v>105</v>
      </c>
      <c r="P404" s="48">
        <v>44221.07</v>
      </c>
      <c r="Q404" s="48">
        <v>13095.12</v>
      </c>
      <c r="R404" s="48">
        <v>3058.25</v>
      </c>
      <c r="S404" s="48">
        <v>1246.03</v>
      </c>
      <c r="T404" s="48">
        <v>442.21</v>
      </c>
      <c r="U404" s="48">
        <v>789.14</v>
      </c>
      <c r="V404" s="48">
        <v>503.63</v>
      </c>
      <c r="W404" s="48">
        <v>25086.69</v>
      </c>
      <c r="X404">
        <v>4</v>
      </c>
      <c r="Y404" t="s">
        <v>90</v>
      </c>
      <c r="Z404">
        <v>109.13</v>
      </c>
      <c r="AA404" t="s">
        <v>91</v>
      </c>
      <c r="AB404" t="s">
        <v>92</v>
      </c>
      <c r="AC404" t="s">
        <v>48</v>
      </c>
      <c r="AD404" t="s">
        <v>130</v>
      </c>
      <c r="AE404" t="s">
        <v>71</v>
      </c>
      <c r="AF404" s="5">
        <f>DATE(YEAR(C404),MONTH(C404),1)</f>
        <v>45717</v>
      </c>
      <c r="AG404">
        <f>E404-D404</f>
        <v>11</v>
      </c>
      <c r="AH404" s="6">
        <f t="shared" si="6"/>
        <v>56.730174100264875</v>
      </c>
    </row>
    <row r="405" spans="1:34">
      <c r="A405" t="s">
        <v>923</v>
      </c>
      <c r="B405" t="s">
        <v>924</v>
      </c>
      <c r="C405" s="1">
        <v>46000</v>
      </c>
      <c r="D405" s="1">
        <v>46002</v>
      </c>
      <c r="E405" s="1">
        <v>46029</v>
      </c>
      <c r="F405" t="s">
        <v>53</v>
      </c>
      <c r="G405" t="s">
        <v>54</v>
      </c>
      <c r="H405" t="s">
        <v>55</v>
      </c>
      <c r="I405" t="s">
        <v>122</v>
      </c>
      <c r="J405" t="s">
        <v>56</v>
      </c>
      <c r="K405" t="s">
        <v>41</v>
      </c>
      <c r="L405" t="s">
        <v>100</v>
      </c>
      <c r="M405" t="s">
        <v>43</v>
      </c>
      <c r="N405">
        <v>2</v>
      </c>
      <c r="O405" t="s">
        <v>105</v>
      </c>
      <c r="P405" s="48">
        <v>62872.11</v>
      </c>
      <c r="Q405" s="48">
        <v>13077.98</v>
      </c>
      <c r="R405" s="48">
        <v>2997.44</v>
      </c>
      <c r="S405" s="48">
        <v>740.58</v>
      </c>
      <c r="T405" s="48">
        <v>628.72</v>
      </c>
      <c r="U405" s="48">
        <v>542.36</v>
      </c>
      <c r="V405" s="48">
        <v>1453.78</v>
      </c>
      <c r="W405" s="48">
        <v>43431.25</v>
      </c>
      <c r="X405">
        <v>0</v>
      </c>
      <c r="Y405" t="s">
        <v>45</v>
      </c>
      <c r="Z405">
        <v>108.98</v>
      </c>
      <c r="AA405" t="s">
        <v>46</v>
      </c>
      <c r="AB405" t="s">
        <v>47</v>
      </c>
      <c r="AC405" t="s">
        <v>48</v>
      </c>
      <c r="AD405" t="s">
        <v>93</v>
      </c>
      <c r="AE405" t="s">
        <v>62</v>
      </c>
      <c r="AF405" s="5">
        <f>DATE(YEAR(C405),MONTH(C405),1)</f>
        <v>45992</v>
      </c>
      <c r="AG405">
        <f>E405-D405</f>
        <v>27</v>
      </c>
      <c r="AH405" s="6">
        <f t="shared" si="6"/>
        <v>69.078721868885907</v>
      </c>
    </row>
    <row r="406" spans="1:34">
      <c r="A406" t="s">
        <v>925</v>
      </c>
      <c r="B406" t="s">
        <v>926</v>
      </c>
      <c r="C406" s="1">
        <v>45699</v>
      </c>
      <c r="D406" s="1">
        <v>45702</v>
      </c>
      <c r="E406" s="1">
        <v>45714</v>
      </c>
      <c r="F406" t="s">
        <v>120</v>
      </c>
      <c r="G406" t="s">
        <v>75</v>
      </c>
      <c r="H406" t="s">
        <v>121</v>
      </c>
      <c r="I406" t="s">
        <v>40</v>
      </c>
      <c r="J406" t="s">
        <v>122</v>
      </c>
      <c r="K406" t="s">
        <v>123</v>
      </c>
      <c r="L406" t="s">
        <v>155</v>
      </c>
      <c r="M406" t="s">
        <v>43</v>
      </c>
      <c r="N406">
        <v>2</v>
      </c>
      <c r="O406" t="s">
        <v>89</v>
      </c>
      <c r="P406" s="48">
        <v>73432.63</v>
      </c>
      <c r="Q406" s="48">
        <v>13076.19</v>
      </c>
      <c r="R406" s="48">
        <v>5369.64</v>
      </c>
      <c r="S406" s="48">
        <v>2012.48</v>
      </c>
      <c r="T406" s="48">
        <v>734.33</v>
      </c>
      <c r="U406" s="48">
        <v>277.81</v>
      </c>
      <c r="V406" s="48">
        <v>2459</v>
      </c>
      <c r="W406" s="48">
        <v>49503.18</v>
      </c>
      <c r="X406">
        <v>24</v>
      </c>
      <c r="Y406" t="s">
        <v>112</v>
      </c>
      <c r="Z406">
        <v>108.97</v>
      </c>
      <c r="AA406" t="s">
        <v>91</v>
      </c>
      <c r="AB406" t="s">
        <v>92</v>
      </c>
      <c r="AC406" t="s">
        <v>60</v>
      </c>
      <c r="AD406" t="s">
        <v>49</v>
      </c>
      <c r="AE406" t="s">
        <v>71</v>
      </c>
      <c r="AF406" s="5">
        <f>DATE(YEAR(C406),MONTH(C406),1)</f>
        <v>45689</v>
      </c>
      <c r="AG406">
        <f>E406-D406</f>
        <v>12</v>
      </c>
      <c r="AH406" s="6">
        <f t="shared" si="6"/>
        <v>67.413056021553359</v>
      </c>
    </row>
    <row r="407" spans="1:34">
      <c r="A407" t="s">
        <v>927</v>
      </c>
      <c r="B407" t="s">
        <v>928</v>
      </c>
      <c r="C407" s="1">
        <v>45906</v>
      </c>
      <c r="D407" s="1">
        <v>45909</v>
      </c>
      <c r="E407" s="1">
        <v>45936</v>
      </c>
      <c r="F407" t="s">
        <v>83</v>
      </c>
      <c r="G407" t="s">
        <v>84</v>
      </c>
      <c r="H407" t="s">
        <v>85</v>
      </c>
      <c r="I407" t="s">
        <v>57</v>
      </c>
      <c r="J407" t="s">
        <v>87</v>
      </c>
      <c r="K407" t="s">
        <v>41</v>
      </c>
      <c r="L407" t="s">
        <v>116</v>
      </c>
      <c r="M407" t="s">
        <v>43</v>
      </c>
      <c r="N407">
        <v>2</v>
      </c>
      <c r="O407" t="s">
        <v>44</v>
      </c>
      <c r="P407" s="48">
        <v>59218.93</v>
      </c>
      <c r="Q407" s="48">
        <v>13062.49</v>
      </c>
      <c r="R407" s="48">
        <v>2480.4899999999998</v>
      </c>
      <c r="S407" s="48">
        <v>1199.67</v>
      </c>
      <c r="T407" s="48">
        <v>592.19000000000005</v>
      </c>
      <c r="U407" s="48">
        <v>245.39</v>
      </c>
      <c r="V407" s="48">
        <v>1017.24</v>
      </c>
      <c r="W407" s="48">
        <v>40621.46</v>
      </c>
      <c r="X407">
        <v>4</v>
      </c>
      <c r="Y407" t="s">
        <v>90</v>
      </c>
      <c r="Z407">
        <v>108.85</v>
      </c>
      <c r="AA407" t="s">
        <v>91</v>
      </c>
      <c r="AB407" t="s">
        <v>47</v>
      </c>
      <c r="AC407" t="s">
        <v>48</v>
      </c>
      <c r="AD407" t="s">
        <v>130</v>
      </c>
      <c r="AE407" t="s">
        <v>71</v>
      </c>
      <c r="AF407" s="5">
        <f>DATE(YEAR(C407),MONTH(C407),1)</f>
        <v>45901</v>
      </c>
      <c r="AG407">
        <f>E407-D407</f>
        <v>27</v>
      </c>
      <c r="AH407" s="6">
        <f t="shared" si="6"/>
        <v>68.595396775997131</v>
      </c>
    </row>
    <row r="408" spans="1:34">
      <c r="A408" t="s">
        <v>929</v>
      </c>
      <c r="B408" t="s">
        <v>930</v>
      </c>
      <c r="C408" s="1">
        <v>45934</v>
      </c>
      <c r="D408" s="1">
        <v>45936</v>
      </c>
      <c r="E408" s="1">
        <v>45957</v>
      </c>
      <c r="F408" t="s">
        <v>138</v>
      </c>
      <c r="G408" t="s">
        <v>139</v>
      </c>
      <c r="H408" t="s">
        <v>76</v>
      </c>
      <c r="I408" t="s">
        <v>86</v>
      </c>
      <c r="J408" t="s">
        <v>98</v>
      </c>
      <c r="K408" t="s">
        <v>41</v>
      </c>
      <c r="L408" t="s">
        <v>124</v>
      </c>
      <c r="M408" t="s">
        <v>43</v>
      </c>
      <c r="N408">
        <v>2</v>
      </c>
      <c r="O408" t="s">
        <v>69</v>
      </c>
      <c r="P408" s="48">
        <v>56344.06</v>
      </c>
      <c r="Q408" s="48">
        <v>13054.93</v>
      </c>
      <c r="R408" s="48">
        <v>2816.22</v>
      </c>
      <c r="S408" s="48">
        <v>859.82</v>
      </c>
      <c r="T408" s="48">
        <v>563.44000000000005</v>
      </c>
      <c r="U408" s="48">
        <v>594.13</v>
      </c>
      <c r="V408" s="48">
        <v>1859.55</v>
      </c>
      <c r="W408" s="48">
        <v>36595.97</v>
      </c>
      <c r="X408">
        <v>0</v>
      </c>
      <c r="Y408" t="s">
        <v>45</v>
      </c>
      <c r="Z408">
        <v>108.79</v>
      </c>
      <c r="AA408" t="s">
        <v>46</v>
      </c>
      <c r="AB408" t="s">
        <v>92</v>
      </c>
      <c r="AC408" t="s">
        <v>70</v>
      </c>
      <c r="AD408" t="s">
        <v>93</v>
      </c>
      <c r="AE408" t="s">
        <v>71</v>
      </c>
      <c r="AF408" s="5">
        <f>DATE(YEAR(C408),MONTH(C408),1)</f>
        <v>45931</v>
      </c>
      <c r="AG408">
        <f>E408-D408</f>
        <v>21</v>
      </c>
      <c r="AH408" s="6">
        <f t="shared" si="6"/>
        <v>64.950892782664226</v>
      </c>
    </row>
    <row r="409" spans="1:34">
      <c r="A409" t="s">
        <v>931</v>
      </c>
      <c r="B409" t="s">
        <v>932</v>
      </c>
      <c r="C409" s="1">
        <v>45772</v>
      </c>
      <c r="D409" s="1">
        <v>45775</v>
      </c>
      <c r="E409" s="1">
        <v>45795</v>
      </c>
      <c r="F409" t="s">
        <v>74</v>
      </c>
      <c r="G409" t="s">
        <v>75</v>
      </c>
      <c r="H409" t="s">
        <v>76</v>
      </c>
      <c r="I409" t="s">
        <v>115</v>
      </c>
      <c r="J409" t="s">
        <v>98</v>
      </c>
      <c r="K409" t="s">
        <v>99</v>
      </c>
      <c r="L409" t="s">
        <v>116</v>
      </c>
      <c r="M409" t="s">
        <v>108</v>
      </c>
      <c r="N409">
        <v>2</v>
      </c>
      <c r="O409" t="s">
        <v>54</v>
      </c>
      <c r="P409" s="48">
        <v>54545.760000000002</v>
      </c>
      <c r="Q409" s="48">
        <v>13048.58</v>
      </c>
      <c r="R409" s="48">
        <v>2731.69</v>
      </c>
      <c r="S409" s="48">
        <v>653.79</v>
      </c>
      <c r="T409" s="48">
        <v>545.46</v>
      </c>
      <c r="U409" s="48">
        <v>666.69</v>
      </c>
      <c r="V409" s="48">
        <v>1356.21</v>
      </c>
      <c r="W409" s="48">
        <v>35543.339999999997</v>
      </c>
      <c r="X409">
        <v>0</v>
      </c>
      <c r="Y409" t="s">
        <v>45</v>
      </c>
      <c r="Z409">
        <v>108.74</v>
      </c>
      <c r="AA409" t="s">
        <v>46</v>
      </c>
      <c r="AB409" t="s">
        <v>92</v>
      </c>
      <c r="AC409" t="s">
        <v>70</v>
      </c>
      <c r="AD409" t="s">
        <v>130</v>
      </c>
      <c r="AE409" t="s">
        <v>50</v>
      </c>
      <c r="AF409" s="5">
        <f>DATE(YEAR(C409),MONTH(C409),1)</f>
        <v>45748</v>
      </c>
      <c r="AG409">
        <f>E409-D409</f>
        <v>20</v>
      </c>
      <c r="AH409" s="6">
        <f t="shared" si="6"/>
        <v>65.162425090419489</v>
      </c>
    </row>
    <row r="410" spans="1:34">
      <c r="A410" t="s">
        <v>933</v>
      </c>
      <c r="B410" t="s">
        <v>934</v>
      </c>
      <c r="C410" s="1">
        <v>45945</v>
      </c>
      <c r="D410" s="1">
        <v>45949</v>
      </c>
      <c r="E410" s="1">
        <v>45968</v>
      </c>
      <c r="F410" t="s">
        <v>96</v>
      </c>
      <c r="G410" t="s">
        <v>97</v>
      </c>
      <c r="H410" t="s">
        <v>76</v>
      </c>
      <c r="I410" t="s">
        <v>115</v>
      </c>
      <c r="J410" t="s">
        <v>98</v>
      </c>
      <c r="K410" t="s">
        <v>99</v>
      </c>
      <c r="L410" t="s">
        <v>155</v>
      </c>
      <c r="M410" t="s">
        <v>79</v>
      </c>
      <c r="N410">
        <v>2</v>
      </c>
      <c r="O410" t="s">
        <v>69</v>
      </c>
      <c r="P410" s="48">
        <v>80890.720000000001</v>
      </c>
      <c r="Q410" s="48">
        <v>13001.03</v>
      </c>
      <c r="R410" s="48">
        <v>6095.58</v>
      </c>
      <c r="S410" s="48">
        <v>1965.85</v>
      </c>
      <c r="T410" s="48">
        <v>808.91</v>
      </c>
      <c r="U410" s="48">
        <v>428.61</v>
      </c>
      <c r="V410" s="48">
        <v>1685.39</v>
      </c>
      <c r="W410" s="48">
        <v>56905.35</v>
      </c>
      <c r="X410">
        <v>12</v>
      </c>
      <c r="Y410" t="s">
        <v>101</v>
      </c>
      <c r="Z410">
        <v>108.34</v>
      </c>
      <c r="AA410" t="s">
        <v>91</v>
      </c>
      <c r="AB410" t="s">
        <v>47</v>
      </c>
      <c r="AC410" t="s">
        <v>60</v>
      </c>
      <c r="AD410" t="s">
        <v>49</v>
      </c>
      <c r="AE410" t="s">
        <v>50</v>
      </c>
      <c r="AF410" s="5">
        <f>DATE(YEAR(C410),MONTH(C410),1)</f>
        <v>45931</v>
      </c>
      <c r="AG410">
        <f>E410-D410</f>
        <v>19</v>
      </c>
      <c r="AH410" s="6">
        <f t="shared" si="6"/>
        <v>70.348428101517698</v>
      </c>
    </row>
    <row r="411" spans="1:34">
      <c r="A411" t="s">
        <v>935</v>
      </c>
      <c r="B411" t="s">
        <v>936</v>
      </c>
      <c r="C411" s="1">
        <v>45790</v>
      </c>
      <c r="D411" s="1">
        <v>45792</v>
      </c>
      <c r="E411" s="1">
        <v>45807</v>
      </c>
      <c r="F411" t="s">
        <v>180</v>
      </c>
      <c r="G411" t="s">
        <v>181</v>
      </c>
      <c r="H411" t="s">
        <v>38</v>
      </c>
      <c r="I411" t="s">
        <v>87</v>
      </c>
      <c r="J411" t="s">
        <v>40</v>
      </c>
      <c r="K411" t="s">
        <v>41</v>
      </c>
      <c r="L411" t="s">
        <v>155</v>
      </c>
      <c r="M411" t="s">
        <v>43</v>
      </c>
      <c r="N411">
        <v>2</v>
      </c>
      <c r="O411" t="s">
        <v>105</v>
      </c>
      <c r="P411" s="48">
        <v>78460.27</v>
      </c>
      <c r="Q411" s="48">
        <v>12964.49</v>
      </c>
      <c r="R411" s="48">
        <v>5143.29</v>
      </c>
      <c r="S411" s="48">
        <v>1946.49</v>
      </c>
      <c r="T411" s="48">
        <v>784.6</v>
      </c>
      <c r="U411" s="48">
        <v>328.6</v>
      </c>
      <c r="V411" s="48">
        <v>759.08</v>
      </c>
      <c r="W411" s="48">
        <v>56533.72</v>
      </c>
      <c r="X411">
        <v>0</v>
      </c>
      <c r="Y411" t="s">
        <v>45</v>
      </c>
      <c r="Z411">
        <v>108.04</v>
      </c>
      <c r="AA411" t="s">
        <v>46</v>
      </c>
      <c r="AB411" t="s">
        <v>92</v>
      </c>
      <c r="AC411" t="s">
        <v>70</v>
      </c>
      <c r="AD411" t="s">
        <v>144</v>
      </c>
      <c r="AE411" t="s">
        <v>62</v>
      </c>
      <c r="AF411" s="5">
        <f>DATE(YEAR(C411),MONTH(C411),1)</f>
        <v>45778</v>
      </c>
      <c r="AG411">
        <f>E411-D411</f>
        <v>15</v>
      </c>
      <c r="AH411" s="6">
        <f t="shared" si="6"/>
        <v>72.053945264271974</v>
      </c>
    </row>
    <row r="412" spans="1:34">
      <c r="A412" t="s">
        <v>937</v>
      </c>
      <c r="B412" t="s">
        <v>938</v>
      </c>
      <c r="C412" s="1">
        <v>46010</v>
      </c>
      <c r="D412" s="1">
        <v>46014</v>
      </c>
      <c r="E412" s="1">
        <v>46039</v>
      </c>
      <c r="F412" t="s">
        <v>120</v>
      </c>
      <c r="G412" t="s">
        <v>75</v>
      </c>
      <c r="H412" t="s">
        <v>121</v>
      </c>
      <c r="I412" t="s">
        <v>57</v>
      </c>
      <c r="J412" t="s">
        <v>98</v>
      </c>
      <c r="K412" t="s">
        <v>99</v>
      </c>
      <c r="L412" t="s">
        <v>78</v>
      </c>
      <c r="M412" t="s">
        <v>43</v>
      </c>
      <c r="N412">
        <v>4</v>
      </c>
      <c r="O412" t="s">
        <v>89</v>
      </c>
      <c r="P412" s="48">
        <v>77872.45</v>
      </c>
      <c r="Q412" s="48">
        <v>12919.67</v>
      </c>
      <c r="R412" s="48">
        <v>4360.5600000000004</v>
      </c>
      <c r="S412" s="48">
        <v>1561.65</v>
      </c>
      <c r="T412" s="48">
        <v>778.72</v>
      </c>
      <c r="U412" s="48">
        <v>895.66</v>
      </c>
      <c r="V412" s="48">
        <v>1761.27</v>
      </c>
      <c r="W412" s="48">
        <v>55594.92</v>
      </c>
      <c r="X412">
        <v>24</v>
      </c>
      <c r="Y412" t="s">
        <v>135</v>
      </c>
      <c r="Z412">
        <v>107.66</v>
      </c>
      <c r="AA412" t="s">
        <v>91</v>
      </c>
      <c r="AB412" t="s">
        <v>92</v>
      </c>
      <c r="AC412" t="s">
        <v>70</v>
      </c>
      <c r="AD412" t="s">
        <v>93</v>
      </c>
      <c r="AE412" t="s">
        <v>102</v>
      </c>
      <c r="AF412" s="5">
        <f>DATE(YEAR(C412),MONTH(C412),1)</f>
        <v>45992</v>
      </c>
      <c r="AG412">
        <f>E412-D412</f>
        <v>25</v>
      </c>
      <c r="AH412" s="6">
        <f t="shared" si="6"/>
        <v>71.392283150202672</v>
      </c>
    </row>
    <row r="413" spans="1:34">
      <c r="A413" t="s">
        <v>939</v>
      </c>
      <c r="B413" t="s">
        <v>940</v>
      </c>
      <c r="C413" s="1">
        <v>46000</v>
      </c>
      <c r="D413" s="1">
        <v>46002</v>
      </c>
      <c r="E413" s="1">
        <v>46023</v>
      </c>
      <c r="F413" t="s">
        <v>83</v>
      </c>
      <c r="G413" t="s">
        <v>84</v>
      </c>
      <c r="H413" t="s">
        <v>85</v>
      </c>
      <c r="I413" t="s">
        <v>57</v>
      </c>
      <c r="J413" t="s">
        <v>87</v>
      </c>
      <c r="K413" t="s">
        <v>41</v>
      </c>
      <c r="L413" t="s">
        <v>155</v>
      </c>
      <c r="M413" t="s">
        <v>68</v>
      </c>
      <c r="N413">
        <v>2</v>
      </c>
      <c r="O413" t="s">
        <v>54</v>
      </c>
      <c r="P413" s="48">
        <v>56791.77</v>
      </c>
      <c r="Q413" s="48">
        <v>12898.47</v>
      </c>
      <c r="R413" s="48">
        <v>3066.15</v>
      </c>
      <c r="S413" s="48">
        <v>1286.1300000000001</v>
      </c>
      <c r="T413" s="48">
        <v>567.91999999999996</v>
      </c>
      <c r="U413" s="48">
        <v>642.04999999999995</v>
      </c>
      <c r="V413" s="48">
        <v>1827.34</v>
      </c>
      <c r="W413" s="48">
        <v>36503.71</v>
      </c>
      <c r="X413">
        <v>0</v>
      </c>
      <c r="Y413" t="s">
        <v>45</v>
      </c>
      <c r="Z413">
        <v>107.49</v>
      </c>
      <c r="AA413" t="s">
        <v>46</v>
      </c>
      <c r="AB413" t="s">
        <v>47</v>
      </c>
      <c r="AC413" t="s">
        <v>48</v>
      </c>
      <c r="AD413" t="s">
        <v>49</v>
      </c>
      <c r="AE413" t="s">
        <v>102</v>
      </c>
      <c r="AF413" s="5">
        <f>DATE(YEAR(C413),MONTH(C413),1)</f>
        <v>45992</v>
      </c>
      <c r="AG413">
        <f>E413-D413</f>
        <v>21</v>
      </c>
      <c r="AH413" s="6">
        <f t="shared" si="6"/>
        <v>64.276408359873273</v>
      </c>
    </row>
    <row r="414" spans="1:34">
      <c r="A414" t="s">
        <v>941</v>
      </c>
      <c r="B414" t="s">
        <v>942</v>
      </c>
      <c r="C414" s="1">
        <v>45691</v>
      </c>
      <c r="D414" s="1">
        <v>45692</v>
      </c>
      <c r="E414" s="1">
        <v>45712</v>
      </c>
      <c r="F414" t="s">
        <v>53</v>
      </c>
      <c r="G414" t="s">
        <v>54</v>
      </c>
      <c r="H414" t="s">
        <v>55</v>
      </c>
      <c r="I414" t="s">
        <v>57</v>
      </c>
      <c r="J414" t="s">
        <v>98</v>
      </c>
      <c r="K414" t="s">
        <v>99</v>
      </c>
      <c r="L414" t="s">
        <v>116</v>
      </c>
      <c r="M414" t="s">
        <v>108</v>
      </c>
      <c r="N414">
        <v>2</v>
      </c>
      <c r="O414" t="s">
        <v>69</v>
      </c>
      <c r="P414" s="48">
        <v>55850.3</v>
      </c>
      <c r="Q414" s="48">
        <v>12888.54</v>
      </c>
      <c r="R414" s="48">
        <v>4251.1400000000003</v>
      </c>
      <c r="S414" s="48">
        <v>1166.51</v>
      </c>
      <c r="T414" s="48">
        <v>558.5</v>
      </c>
      <c r="U414" s="48">
        <v>324.74</v>
      </c>
      <c r="V414" s="48">
        <v>390.74</v>
      </c>
      <c r="W414" s="48">
        <v>36270.129999999997</v>
      </c>
      <c r="X414">
        <v>0</v>
      </c>
      <c r="Y414" t="s">
        <v>45</v>
      </c>
      <c r="Z414">
        <v>107.4</v>
      </c>
      <c r="AA414" t="s">
        <v>46</v>
      </c>
      <c r="AB414" t="s">
        <v>92</v>
      </c>
      <c r="AC414" t="s">
        <v>70</v>
      </c>
      <c r="AD414" t="s">
        <v>61</v>
      </c>
      <c r="AE414" t="s">
        <v>71</v>
      </c>
      <c r="AF414" s="5">
        <f>DATE(YEAR(C414),MONTH(C414),1)</f>
        <v>45689</v>
      </c>
      <c r="AG414">
        <f>E414-D414</f>
        <v>20</v>
      </c>
      <c r="AH414" s="6">
        <f t="shared" si="6"/>
        <v>64.941692345430539</v>
      </c>
    </row>
    <row r="415" spans="1:34">
      <c r="A415" t="s">
        <v>943</v>
      </c>
      <c r="B415" t="s">
        <v>944</v>
      </c>
      <c r="C415" s="1">
        <v>45880</v>
      </c>
      <c r="D415" s="1">
        <v>45883</v>
      </c>
      <c r="E415" s="1">
        <v>45896</v>
      </c>
      <c r="F415" t="s">
        <v>234</v>
      </c>
      <c r="G415" t="s">
        <v>111</v>
      </c>
      <c r="H415" t="s">
        <v>150</v>
      </c>
      <c r="I415" t="s">
        <v>40</v>
      </c>
      <c r="J415" t="s">
        <v>122</v>
      </c>
      <c r="K415" t="s">
        <v>123</v>
      </c>
      <c r="L415" t="s">
        <v>155</v>
      </c>
      <c r="M415" t="s">
        <v>68</v>
      </c>
      <c r="N415">
        <v>4</v>
      </c>
      <c r="O415" t="s">
        <v>89</v>
      </c>
      <c r="P415" s="48">
        <v>43927.13</v>
      </c>
      <c r="Q415" s="48">
        <v>12794.16</v>
      </c>
      <c r="R415" s="48">
        <v>2882.25</v>
      </c>
      <c r="S415" s="48">
        <v>474.64</v>
      </c>
      <c r="T415" s="48">
        <v>439.27</v>
      </c>
      <c r="U415" s="48">
        <v>376.98</v>
      </c>
      <c r="V415" s="48">
        <v>957.88</v>
      </c>
      <c r="W415" s="48">
        <v>26001.95</v>
      </c>
      <c r="X415">
        <v>0</v>
      </c>
      <c r="Y415" t="s">
        <v>45</v>
      </c>
      <c r="Z415">
        <v>106.62</v>
      </c>
      <c r="AA415" t="s">
        <v>46</v>
      </c>
      <c r="AB415" t="s">
        <v>47</v>
      </c>
      <c r="AC415" t="s">
        <v>48</v>
      </c>
      <c r="AD415" t="s">
        <v>144</v>
      </c>
      <c r="AE415" t="s">
        <v>71</v>
      </c>
      <c r="AF415" s="5">
        <f>DATE(YEAR(C415),MONTH(C415),1)</f>
        <v>45870</v>
      </c>
      <c r="AG415">
        <f>E415-D415</f>
        <v>13</v>
      </c>
      <c r="AH415" s="6">
        <f t="shared" si="6"/>
        <v>59.193373206945232</v>
      </c>
    </row>
    <row r="416" spans="1:34">
      <c r="A416" t="s">
        <v>945</v>
      </c>
      <c r="B416" t="s">
        <v>946</v>
      </c>
      <c r="C416" s="1">
        <v>45815</v>
      </c>
      <c r="D416" s="1">
        <v>45816</v>
      </c>
      <c r="E416" s="1">
        <v>45828</v>
      </c>
      <c r="F416" t="s">
        <v>180</v>
      </c>
      <c r="G416" t="s">
        <v>181</v>
      </c>
      <c r="H416" t="s">
        <v>38</v>
      </c>
      <c r="I416" t="s">
        <v>86</v>
      </c>
      <c r="J416" t="s">
        <v>87</v>
      </c>
      <c r="K416" t="s">
        <v>88</v>
      </c>
      <c r="L416" t="s">
        <v>124</v>
      </c>
      <c r="M416" t="s">
        <v>108</v>
      </c>
      <c r="N416">
        <v>1</v>
      </c>
      <c r="O416" t="s">
        <v>69</v>
      </c>
      <c r="P416" s="48">
        <v>43489.49</v>
      </c>
      <c r="Q416" s="48">
        <v>12769.37</v>
      </c>
      <c r="R416" s="48">
        <v>2674.7</v>
      </c>
      <c r="S416" s="48">
        <v>1137.51</v>
      </c>
      <c r="T416" s="48">
        <v>434.89</v>
      </c>
      <c r="U416" s="48">
        <v>846.43</v>
      </c>
      <c r="V416" s="48">
        <v>2473</v>
      </c>
      <c r="W416" s="48">
        <v>23153.59</v>
      </c>
      <c r="X416">
        <v>0</v>
      </c>
      <c r="Y416" t="s">
        <v>45</v>
      </c>
      <c r="Z416">
        <v>106.41</v>
      </c>
      <c r="AA416" t="s">
        <v>46</v>
      </c>
      <c r="AB416" t="s">
        <v>92</v>
      </c>
      <c r="AC416" t="s">
        <v>48</v>
      </c>
      <c r="AD416" t="s">
        <v>61</v>
      </c>
      <c r="AE416" t="s">
        <v>102</v>
      </c>
      <c r="AF416" s="5">
        <f>DATE(YEAR(C416),MONTH(C416),1)</f>
        <v>45809</v>
      </c>
      <c r="AG416">
        <f>E416-D416</f>
        <v>12</v>
      </c>
      <c r="AH416" s="6">
        <f t="shared" si="6"/>
        <v>53.239506832570363</v>
      </c>
    </row>
    <row r="417" spans="1:34">
      <c r="A417" t="s">
        <v>947</v>
      </c>
      <c r="B417" t="s">
        <v>948</v>
      </c>
      <c r="C417" s="1">
        <v>45773</v>
      </c>
      <c r="D417" s="1">
        <v>45774</v>
      </c>
      <c r="E417" s="1">
        <v>45799</v>
      </c>
      <c r="F417" t="s">
        <v>83</v>
      </c>
      <c r="G417" t="s">
        <v>84</v>
      </c>
      <c r="H417" t="s">
        <v>85</v>
      </c>
      <c r="I417" t="s">
        <v>86</v>
      </c>
      <c r="J417" t="s">
        <v>87</v>
      </c>
      <c r="K417" t="s">
        <v>88</v>
      </c>
      <c r="L417" t="s">
        <v>42</v>
      </c>
      <c r="M417" t="s">
        <v>108</v>
      </c>
      <c r="N417">
        <v>2</v>
      </c>
      <c r="O417" t="s">
        <v>89</v>
      </c>
      <c r="P417" s="48">
        <v>73399.42</v>
      </c>
      <c r="Q417" s="48">
        <v>12752.88</v>
      </c>
      <c r="R417" s="48">
        <v>3581.18</v>
      </c>
      <c r="S417" s="48">
        <v>2078.86</v>
      </c>
      <c r="T417" s="48">
        <v>733.99</v>
      </c>
      <c r="U417" s="48">
        <v>644.75</v>
      </c>
      <c r="V417" s="48">
        <v>540.63</v>
      </c>
      <c r="W417" s="48">
        <v>53067.13</v>
      </c>
      <c r="X417">
        <v>0</v>
      </c>
      <c r="Y417" t="s">
        <v>45</v>
      </c>
      <c r="Z417">
        <v>106.27</v>
      </c>
      <c r="AA417" t="s">
        <v>46</v>
      </c>
      <c r="AB417" t="s">
        <v>92</v>
      </c>
      <c r="AC417" t="s">
        <v>60</v>
      </c>
      <c r="AD417" t="s">
        <v>93</v>
      </c>
      <c r="AE417" t="s">
        <v>71</v>
      </c>
      <c r="AF417" s="5">
        <f>DATE(YEAR(C417),MONTH(C417),1)</f>
        <v>45748</v>
      </c>
      <c r="AG417">
        <f>E417-D417</f>
        <v>25</v>
      </c>
      <c r="AH417" s="6">
        <f t="shared" si="6"/>
        <v>72.299113535229566</v>
      </c>
    </row>
    <row r="418" spans="1:34">
      <c r="A418" t="s">
        <v>949</v>
      </c>
      <c r="B418" t="s">
        <v>950</v>
      </c>
      <c r="C418" s="1">
        <v>45758</v>
      </c>
      <c r="D418" s="1">
        <v>45760</v>
      </c>
      <c r="E418" s="1">
        <v>45780</v>
      </c>
      <c r="F418" t="s">
        <v>234</v>
      </c>
      <c r="G418" t="s">
        <v>111</v>
      </c>
      <c r="H418" t="s">
        <v>150</v>
      </c>
      <c r="I418" t="s">
        <v>86</v>
      </c>
      <c r="J418" t="s">
        <v>87</v>
      </c>
      <c r="K418" t="s">
        <v>88</v>
      </c>
      <c r="L418" t="s">
        <v>100</v>
      </c>
      <c r="M418" t="s">
        <v>79</v>
      </c>
      <c r="N418">
        <v>2</v>
      </c>
      <c r="O418" t="s">
        <v>44</v>
      </c>
      <c r="P418" s="48">
        <v>62097.02</v>
      </c>
      <c r="Q418" s="48">
        <v>12699.25</v>
      </c>
      <c r="R418" s="48">
        <v>4512.22</v>
      </c>
      <c r="S418" s="48">
        <v>674.6</v>
      </c>
      <c r="T418" s="48">
        <v>620.97</v>
      </c>
      <c r="U418" s="48">
        <v>770.9</v>
      </c>
      <c r="V418" s="48">
        <v>723.17</v>
      </c>
      <c r="W418" s="48">
        <v>42095.91</v>
      </c>
      <c r="X418">
        <v>48</v>
      </c>
      <c r="Y418" t="s">
        <v>117</v>
      </c>
      <c r="Z418">
        <v>105.83</v>
      </c>
      <c r="AA418" t="s">
        <v>91</v>
      </c>
      <c r="AB418" t="s">
        <v>92</v>
      </c>
      <c r="AC418" t="s">
        <v>60</v>
      </c>
      <c r="AD418" t="s">
        <v>144</v>
      </c>
      <c r="AE418" t="s">
        <v>62</v>
      </c>
      <c r="AF418" s="5">
        <f>DATE(YEAR(C418),MONTH(C418),1)</f>
        <v>45748</v>
      </c>
      <c r="AG418">
        <f>E418-D418</f>
        <v>20</v>
      </c>
      <c r="AH418" s="6">
        <f t="shared" si="6"/>
        <v>67.790547758974597</v>
      </c>
    </row>
    <row r="419" spans="1:34">
      <c r="A419" t="s">
        <v>951</v>
      </c>
      <c r="B419" t="s">
        <v>952</v>
      </c>
      <c r="C419" s="1">
        <v>45960</v>
      </c>
      <c r="D419" s="1">
        <v>45964</v>
      </c>
      <c r="E419" s="1">
        <v>45979</v>
      </c>
      <c r="F419" t="s">
        <v>180</v>
      </c>
      <c r="G419" t="s">
        <v>181</v>
      </c>
      <c r="H419" t="s">
        <v>38</v>
      </c>
      <c r="I419" t="s">
        <v>40</v>
      </c>
      <c r="J419" t="s">
        <v>122</v>
      </c>
      <c r="K419" t="s">
        <v>123</v>
      </c>
      <c r="L419" t="s">
        <v>127</v>
      </c>
      <c r="M419" t="s">
        <v>79</v>
      </c>
      <c r="N419">
        <v>2</v>
      </c>
      <c r="O419" t="s">
        <v>105</v>
      </c>
      <c r="P419" s="48">
        <v>47267.43</v>
      </c>
      <c r="Q419" s="48">
        <v>12662.99</v>
      </c>
      <c r="R419" s="48">
        <v>3451.93</v>
      </c>
      <c r="S419" s="48">
        <v>1093.75</v>
      </c>
      <c r="T419" s="48">
        <v>472.67</v>
      </c>
      <c r="U419" s="48">
        <v>892.67</v>
      </c>
      <c r="V419" s="48">
        <v>1902.55</v>
      </c>
      <c r="W419" s="48">
        <v>26790.87</v>
      </c>
      <c r="X419">
        <v>8</v>
      </c>
      <c r="Y419" t="s">
        <v>101</v>
      </c>
      <c r="Z419">
        <v>105.52</v>
      </c>
      <c r="AA419" t="s">
        <v>91</v>
      </c>
      <c r="AB419" t="s">
        <v>47</v>
      </c>
      <c r="AC419" t="s">
        <v>48</v>
      </c>
      <c r="AD419" t="s">
        <v>61</v>
      </c>
      <c r="AE419" t="s">
        <v>71</v>
      </c>
      <c r="AF419" s="5">
        <f>DATE(YEAR(C419),MONTH(C419),1)</f>
        <v>45931</v>
      </c>
      <c r="AG419">
        <f>E419-D419</f>
        <v>15</v>
      </c>
      <c r="AH419" s="6">
        <f t="shared" si="6"/>
        <v>56.679345587437268</v>
      </c>
    </row>
    <row r="420" spans="1:34">
      <c r="A420" t="s">
        <v>953</v>
      </c>
      <c r="B420" t="s">
        <v>954</v>
      </c>
      <c r="C420" s="1">
        <v>45699</v>
      </c>
      <c r="D420" s="1">
        <v>45701</v>
      </c>
      <c r="E420" s="1">
        <v>45721</v>
      </c>
      <c r="F420" t="s">
        <v>138</v>
      </c>
      <c r="G420" t="s">
        <v>139</v>
      </c>
      <c r="H420" t="s">
        <v>76</v>
      </c>
      <c r="I420" t="s">
        <v>56</v>
      </c>
      <c r="J420" t="s">
        <v>57</v>
      </c>
      <c r="K420" t="s">
        <v>58</v>
      </c>
      <c r="L420" t="s">
        <v>42</v>
      </c>
      <c r="M420" t="s">
        <v>108</v>
      </c>
      <c r="N420">
        <v>2</v>
      </c>
      <c r="O420" t="s">
        <v>54</v>
      </c>
      <c r="P420" s="48">
        <v>76059.78</v>
      </c>
      <c r="Q420" s="48">
        <v>12631.8</v>
      </c>
      <c r="R420" s="48">
        <v>5709.35</v>
      </c>
      <c r="S420" s="48">
        <v>1557.87</v>
      </c>
      <c r="T420" s="48">
        <v>760.6</v>
      </c>
      <c r="U420" s="48">
        <v>415.59</v>
      </c>
      <c r="V420" s="48">
        <v>2388.21</v>
      </c>
      <c r="W420" s="48">
        <v>52596.36</v>
      </c>
      <c r="X420">
        <v>24</v>
      </c>
      <c r="Y420" t="s">
        <v>117</v>
      </c>
      <c r="Z420">
        <v>105.27</v>
      </c>
      <c r="AA420" t="s">
        <v>91</v>
      </c>
      <c r="AB420" t="s">
        <v>47</v>
      </c>
      <c r="AC420" t="s">
        <v>60</v>
      </c>
      <c r="AD420" t="s">
        <v>144</v>
      </c>
      <c r="AE420" t="s">
        <v>71</v>
      </c>
      <c r="AF420" s="5">
        <f>DATE(YEAR(C420),MONTH(C420),1)</f>
        <v>45689</v>
      </c>
      <c r="AG420">
        <f>E420-D420</f>
        <v>20</v>
      </c>
      <c r="AH420" s="6">
        <f t="shared" si="6"/>
        <v>69.151343850849955</v>
      </c>
    </row>
    <row r="421" spans="1:34">
      <c r="A421" t="s">
        <v>955</v>
      </c>
      <c r="B421" t="s">
        <v>956</v>
      </c>
      <c r="C421" s="1">
        <v>45973</v>
      </c>
      <c r="D421" s="1">
        <v>45974</v>
      </c>
      <c r="E421" s="1">
        <v>45993</v>
      </c>
      <c r="F421" t="s">
        <v>74</v>
      </c>
      <c r="G421" t="s">
        <v>75</v>
      </c>
      <c r="H421" t="s">
        <v>76</v>
      </c>
      <c r="I421" t="s">
        <v>115</v>
      </c>
      <c r="J421" t="s">
        <v>98</v>
      </c>
      <c r="K421" t="s">
        <v>99</v>
      </c>
      <c r="L421" t="s">
        <v>100</v>
      </c>
      <c r="M421" t="s">
        <v>43</v>
      </c>
      <c r="N421">
        <v>2</v>
      </c>
      <c r="O421" t="s">
        <v>105</v>
      </c>
      <c r="P421" s="48">
        <v>42228.63</v>
      </c>
      <c r="Q421" s="48">
        <v>12621.35</v>
      </c>
      <c r="R421" s="48">
        <v>2153.69</v>
      </c>
      <c r="S421" s="48">
        <v>1182.3599999999999</v>
      </c>
      <c r="T421" s="48">
        <v>422.29</v>
      </c>
      <c r="U421" s="48">
        <v>614.65</v>
      </c>
      <c r="V421" s="48">
        <v>947.25</v>
      </c>
      <c r="W421" s="48">
        <v>24287.040000000001</v>
      </c>
      <c r="X421">
        <v>12</v>
      </c>
      <c r="Y421" t="s">
        <v>101</v>
      </c>
      <c r="Z421">
        <v>105.18</v>
      </c>
      <c r="AA421" t="s">
        <v>91</v>
      </c>
      <c r="AB421" t="s">
        <v>92</v>
      </c>
      <c r="AC421" t="s">
        <v>60</v>
      </c>
      <c r="AD421" t="s">
        <v>130</v>
      </c>
      <c r="AE421" t="s">
        <v>62</v>
      </c>
      <c r="AF421" s="5">
        <f>DATE(YEAR(C421),MONTH(C421),1)</f>
        <v>45962</v>
      </c>
      <c r="AG421">
        <f>E421-D421</f>
        <v>19</v>
      </c>
      <c r="AH421" s="6">
        <f t="shared" si="6"/>
        <v>57.513208455969334</v>
      </c>
    </row>
    <row r="422" spans="1:34">
      <c r="A422" t="s">
        <v>957</v>
      </c>
      <c r="B422" t="s">
        <v>958</v>
      </c>
      <c r="C422" s="1">
        <v>45932</v>
      </c>
      <c r="D422" s="1">
        <v>45936</v>
      </c>
      <c r="E422" s="1">
        <v>45962</v>
      </c>
      <c r="F422" t="s">
        <v>83</v>
      </c>
      <c r="G422" t="s">
        <v>84</v>
      </c>
      <c r="H422" t="s">
        <v>85</v>
      </c>
      <c r="I422" t="s">
        <v>40</v>
      </c>
      <c r="J422" t="s">
        <v>56</v>
      </c>
      <c r="K422" t="s">
        <v>41</v>
      </c>
      <c r="L422" t="s">
        <v>116</v>
      </c>
      <c r="M422" t="s">
        <v>79</v>
      </c>
      <c r="N422">
        <v>2</v>
      </c>
      <c r="O422" t="s">
        <v>69</v>
      </c>
      <c r="P422" s="48">
        <v>59208.12</v>
      </c>
      <c r="Q422" s="48">
        <v>12620.41</v>
      </c>
      <c r="R422" s="48">
        <v>3426.55</v>
      </c>
      <c r="S422" s="48">
        <v>890.25</v>
      </c>
      <c r="T422" s="48">
        <v>592.08000000000004</v>
      </c>
      <c r="U422" s="48">
        <v>878.36</v>
      </c>
      <c r="V422" s="48">
        <v>1145.57</v>
      </c>
      <c r="W422" s="48">
        <v>39654.9</v>
      </c>
      <c r="X422">
        <v>36</v>
      </c>
      <c r="Y422" t="s">
        <v>117</v>
      </c>
      <c r="Z422">
        <v>105.17</v>
      </c>
      <c r="AA422" t="s">
        <v>91</v>
      </c>
      <c r="AB422" t="s">
        <v>92</v>
      </c>
      <c r="AC422" t="s">
        <v>60</v>
      </c>
      <c r="AD422" t="s">
        <v>130</v>
      </c>
      <c r="AE422" t="s">
        <v>62</v>
      </c>
      <c r="AF422" s="5">
        <f>DATE(YEAR(C422),MONTH(C422),1)</f>
        <v>45931</v>
      </c>
      <c r="AG422">
        <f>E422-D422</f>
        <v>26</v>
      </c>
      <c r="AH422" s="6">
        <f t="shared" si="6"/>
        <v>66.975441881958091</v>
      </c>
    </row>
    <row r="423" spans="1:34">
      <c r="A423" t="s">
        <v>959</v>
      </c>
      <c r="B423" t="s">
        <v>960</v>
      </c>
      <c r="C423" s="1">
        <v>45886</v>
      </c>
      <c r="D423" s="1">
        <v>45888</v>
      </c>
      <c r="E423" s="1">
        <v>45913</v>
      </c>
      <c r="F423" t="s">
        <v>153</v>
      </c>
      <c r="G423" t="s">
        <v>75</v>
      </c>
      <c r="H423" t="s">
        <v>154</v>
      </c>
      <c r="I423" t="s">
        <v>86</v>
      </c>
      <c r="J423" t="s">
        <v>87</v>
      </c>
      <c r="K423" t="s">
        <v>88</v>
      </c>
      <c r="L423" t="s">
        <v>127</v>
      </c>
      <c r="M423" t="s">
        <v>79</v>
      </c>
      <c r="N423">
        <v>2</v>
      </c>
      <c r="O423" t="s">
        <v>105</v>
      </c>
      <c r="P423" s="48">
        <v>56533.05</v>
      </c>
      <c r="Q423" s="48">
        <v>12591.83</v>
      </c>
      <c r="R423" s="48">
        <v>2372.04</v>
      </c>
      <c r="S423" s="48">
        <v>979.47</v>
      </c>
      <c r="T423" s="48">
        <v>565.33000000000004</v>
      </c>
      <c r="U423" s="48">
        <v>500.33</v>
      </c>
      <c r="V423" s="48">
        <v>856.03</v>
      </c>
      <c r="W423" s="48">
        <v>38668.019999999997</v>
      </c>
      <c r="X423">
        <v>24</v>
      </c>
      <c r="Y423" t="s">
        <v>112</v>
      </c>
      <c r="Z423">
        <v>104.93</v>
      </c>
      <c r="AA423" t="s">
        <v>91</v>
      </c>
      <c r="AB423" t="s">
        <v>47</v>
      </c>
      <c r="AC423" t="s">
        <v>48</v>
      </c>
      <c r="AD423" t="s">
        <v>93</v>
      </c>
      <c r="AE423" t="s">
        <v>50</v>
      </c>
      <c r="AF423" s="5">
        <f>DATE(YEAR(C423),MONTH(C423),1)</f>
        <v>45870</v>
      </c>
      <c r="AG423">
        <f>E423-D423</f>
        <v>25</v>
      </c>
      <c r="AH423" s="6">
        <f t="shared" si="6"/>
        <v>68.39896308442583</v>
      </c>
    </row>
    <row r="424" spans="1:34">
      <c r="A424" t="s">
        <v>961</v>
      </c>
      <c r="B424" t="s">
        <v>962</v>
      </c>
      <c r="C424" s="1">
        <v>45944</v>
      </c>
      <c r="D424" s="1">
        <v>45947</v>
      </c>
      <c r="E424" s="1">
        <v>45965</v>
      </c>
      <c r="F424" t="s">
        <v>138</v>
      </c>
      <c r="G424" t="s">
        <v>139</v>
      </c>
      <c r="H424" t="s">
        <v>76</v>
      </c>
      <c r="I424" t="s">
        <v>86</v>
      </c>
      <c r="J424" t="s">
        <v>87</v>
      </c>
      <c r="K424" t="s">
        <v>88</v>
      </c>
      <c r="L424" t="s">
        <v>42</v>
      </c>
      <c r="M424" t="s">
        <v>79</v>
      </c>
      <c r="N424">
        <v>2</v>
      </c>
      <c r="O424" t="s">
        <v>44</v>
      </c>
      <c r="P424" s="48">
        <v>41962.06</v>
      </c>
      <c r="Q424" s="48">
        <v>12578.66</v>
      </c>
      <c r="R424" s="48">
        <v>3154.97</v>
      </c>
      <c r="S424" s="48">
        <v>1151.8599999999999</v>
      </c>
      <c r="T424" s="48">
        <v>419.62</v>
      </c>
      <c r="U424" s="48">
        <v>152.52000000000001</v>
      </c>
      <c r="V424" s="48">
        <v>887.6</v>
      </c>
      <c r="W424" s="48">
        <v>23616.83</v>
      </c>
      <c r="X424">
        <v>4</v>
      </c>
      <c r="Y424" t="s">
        <v>117</v>
      </c>
      <c r="Z424">
        <v>104.82</v>
      </c>
      <c r="AA424" t="s">
        <v>91</v>
      </c>
      <c r="AB424" t="s">
        <v>47</v>
      </c>
      <c r="AC424" t="s">
        <v>48</v>
      </c>
      <c r="AD424" t="s">
        <v>61</v>
      </c>
      <c r="AE424" t="s">
        <v>102</v>
      </c>
      <c r="AF424" s="5">
        <f>DATE(YEAR(C424),MONTH(C424),1)</f>
        <v>45931</v>
      </c>
      <c r="AG424">
        <f>E424-D424</f>
        <v>18</v>
      </c>
      <c r="AH424" s="6">
        <f t="shared" si="6"/>
        <v>56.281388473301838</v>
      </c>
    </row>
    <row r="425" spans="1:34">
      <c r="A425" t="s">
        <v>963</v>
      </c>
      <c r="B425" t="s">
        <v>964</v>
      </c>
      <c r="C425" s="1">
        <v>45848</v>
      </c>
      <c r="D425" s="1">
        <v>45850</v>
      </c>
      <c r="E425" s="1">
        <v>45863</v>
      </c>
      <c r="F425" t="s">
        <v>65</v>
      </c>
      <c r="G425" t="s">
        <v>66</v>
      </c>
      <c r="H425" t="s">
        <v>67</v>
      </c>
      <c r="I425" t="s">
        <v>122</v>
      </c>
      <c r="J425" t="s">
        <v>122</v>
      </c>
      <c r="K425" t="s">
        <v>41</v>
      </c>
      <c r="L425" t="s">
        <v>78</v>
      </c>
      <c r="M425" t="s">
        <v>108</v>
      </c>
      <c r="N425">
        <v>4</v>
      </c>
      <c r="O425" t="s">
        <v>54</v>
      </c>
      <c r="P425" s="48">
        <v>58706.39</v>
      </c>
      <c r="Q425" s="48">
        <v>12541.18</v>
      </c>
      <c r="R425" s="48">
        <v>4550.91</v>
      </c>
      <c r="S425" s="48">
        <v>1668.1</v>
      </c>
      <c r="T425" s="48">
        <v>587.05999999999995</v>
      </c>
      <c r="U425" s="48">
        <v>794.07</v>
      </c>
      <c r="V425" s="48">
        <v>561.4</v>
      </c>
      <c r="W425" s="48">
        <v>38003.67</v>
      </c>
      <c r="X425">
        <v>0</v>
      </c>
      <c r="Y425" t="s">
        <v>45</v>
      </c>
      <c r="Z425">
        <v>104.51</v>
      </c>
      <c r="AA425" t="s">
        <v>46</v>
      </c>
      <c r="AB425" t="s">
        <v>92</v>
      </c>
      <c r="AC425" t="s">
        <v>48</v>
      </c>
      <c r="AD425" t="s">
        <v>130</v>
      </c>
      <c r="AE425" t="s">
        <v>71</v>
      </c>
      <c r="AF425" s="5">
        <f>DATE(YEAR(C425),MONTH(C425),1)</f>
        <v>45839</v>
      </c>
      <c r="AG425">
        <f>E425-D425</f>
        <v>13</v>
      </c>
      <c r="AH425" s="6">
        <f t="shared" si="6"/>
        <v>64.735150636923848</v>
      </c>
    </row>
    <row r="426" spans="1:34">
      <c r="A426" t="s">
        <v>965</v>
      </c>
      <c r="B426" t="s">
        <v>966</v>
      </c>
      <c r="C426" s="1">
        <v>45884</v>
      </c>
      <c r="D426" s="1">
        <v>45886</v>
      </c>
      <c r="E426" s="1">
        <v>45897</v>
      </c>
      <c r="F426" t="s">
        <v>120</v>
      </c>
      <c r="G426" t="s">
        <v>75</v>
      </c>
      <c r="H426" t="s">
        <v>121</v>
      </c>
      <c r="I426" t="s">
        <v>115</v>
      </c>
      <c r="J426" t="s">
        <v>98</v>
      </c>
      <c r="K426" t="s">
        <v>99</v>
      </c>
      <c r="L426" t="s">
        <v>116</v>
      </c>
      <c r="M426" t="s">
        <v>108</v>
      </c>
      <c r="N426">
        <v>2</v>
      </c>
      <c r="O426" t="s">
        <v>80</v>
      </c>
      <c r="P426" s="48">
        <v>51950.65</v>
      </c>
      <c r="Q426" s="48">
        <v>12532.72</v>
      </c>
      <c r="R426" s="48">
        <v>2214.67</v>
      </c>
      <c r="S426" s="48">
        <v>709.05</v>
      </c>
      <c r="T426" s="48">
        <v>519.51</v>
      </c>
      <c r="U426" s="48">
        <v>618.87</v>
      </c>
      <c r="V426" s="48">
        <v>1637.29</v>
      </c>
      <c r="W426" s="48">
        <v>33718.54</v>
      </c>
      <c r="X426">
        <v>12</v>
      </c>
      <c r="Y426" t="s">
        <v>101</v>
      </c>
      <c r="Z426">
        <v>104.44</v>
      </c>
      <c r="AA426" t="s">
        <v>91</v>
      </c>
      <c r="AB426" t="s">
        <v>47</v>
      </c>
      <c r="AC426" t="s">
        <v>60</v>
      </c>
      <c r="AD426" t="s">
        <v>61</v>
      </c>
      <c r="AE426" t="s">
        <v>62</v>
      </c>
      <c r="AF426" s="5">
        <f>DATE(YEAR(C426),MONTH(C426),1)</f>
        <v>45870</v>
      </c>
      <c r="AG426">
        <f>E426-D426</f>
        <v>11</v>
      </c>
      <c r="AH426" s="6">
        <f t="shared" si="6"/>
        <v>64.904943441516124</v>
      </c>
    </row>
    <row r="427" spans="1:34">
      <c r="A427" t="s">
        <v>967</v>
      </c>
      <c r="B427" t="s">
        <v>968</v>
      </c>
      <c r="C427" s="1">
        <v>45872</v>
      </c>
      <c r="D427" s="1">
        <v>45873</v>
      </c>
      <c r="E427" s="1">
        <v>45885</v>
      </c>
      <c r="F427" t="s">
        <v>74</v>
      </c>
      <c r="G427" t="s">
        <v>75</v>
      </c>
      <c r="H427" t="s">
        <v>76</v>
      </c>
      <c r="I427" t="s">
        <v>40</v>
      </c>
      <c r="J427" t="s">
        <v>122</v>
      </c>
      <c r="K427" t="s">
        <v>123</v>
      </c>
      <c r="L427" t="s">
        <v>116</v>
      </c>
      <c r="M427" t="s">
        <v>68</v>
      </c>
      <c r="N427">
        <v>2</v>
      </c>
      <c r="O427" t="s">
        <v>89</v>
      </c>
      <c r="P427" s="48">
        <v>68936.100000000006</v>
      </c>
      <c r="Q427" s="48">
        <v>12508.27</v>
      </c>
      <c r="R427" s="48">
        <v>3835.33</v>
      </c>
      <c r="S427" s="48">
        <v>1593.28</v>
      </c>
      <c r="T427" s="48">
        <v>689.36</v>
      </c>
      <c r="U427" s="48">
        <v>582</v>
      </c>
      <c r="V427" s="48">
        <v>419.78</v>
      </c>
      <c r="W427" s="48">
        <v>49308.08</v>
      </c>
      <c r="X427">
        <v>0</v>
      </c>
      <c r="Y427" t="s">
        <v>45</v>
      </c>
      <c r="Z427">
        <v>104.24</v>
      </c>
      <c r="AA427" t="s">
        <v>46</v>
      </c>
      <c r="AB427" t="s">
        <v>47</v>
      </c>
      <c r="AC427" t="s">
        <v>70</v>
      </c>
      <c r="AD427" t="s">
        <v>144</v>
      </c>
      <c r="AE427" t="s">
        <v>50</v>
      </c>
      <c r="AF427" s="5">
        <f>DATE(YEAR(C427),MONTH(C427),1)</f>
        <v>45870</v>
      </c>
      <c r="AG427">
        <f>E427-D427</f>
        <v>12</v>
      </c>
      <c r="AH427" s="6">
        <f t="shared" si="6"/>
        <v>71.52722593822395</v>
      </c>
    </row>
    <row r="428" spans="1:34">
      <c r="A428" t="s">
        <v>969</v>
      </c>
      <c r="B428" t="s">
        <v>970</v>
      </c>
      <c r="C428" s="1">
        <v>45963</v>
      </c>
      <c r="D428" s="1">
        <v>45966</v>
      </c>
      <c r="E428" s="1">
        <v>45989</v>
      </c>
      <c r="F428" t="s">
        <v>74</v>
      </c>
      <c r="G428" t="s">
        <v>75</v>
      </c>
      <c r="H428" t="s">
        <v>76</v>
      </c>
      <c r="I428" t="s">
        <v>57</v>
      </c>
      <c r="J428" t="s">
        <v>98</v>
      </c>
      <c r="K428" t="s">
        <v>99</v>
      </c>
      <c r="L428" t="s">
        <v>78</v>
      </c>
      <c r="M428" t="s">
        <v>43</v>
      </c>
      <c r="N428">
        <v>2</v>
      </c>
      <c r="O428" t="s">
        <v>105</v>
      </c>
      <c r="P428" s="48">
        <v>64948.6</v>
      </c>
      <c r="Q428" s="48">
        <v>12498.86</v>
      </c>
      <c r="R428" s="48">
        <v>3094.82</v>
      </c>
      <c r="S428" s="48">
        <v>1637.94</v>
      </c>
      <c r="T428" s="48">
        <v>649.49</v>
      </c>
      <c r="U428" s="48">
        <v>250.19</v>
      </c>
      <c r="V428" s="48">
        <v>2311.58</v>
      </c>
      <c r="W428" s="48">
        <v>44505.72</v>
      </c>
      <c r="X428">
        <v>0</v>
      </c>
      <c r="Y428" t="s">
        <v>45</v>
      </c>
      <c r="Z428">
        <v>104.16</v>
      </c>
      <c r="AA428" t="s">
        <v>46</v>
      </c>
      <c r="AB428" t="s">
        <v>47</v>
      </c>
      <c r="AC428" t="s">
        <v>48</v>
      </c>
      <c r="AD428" t="s">
        <v>144</v>
      </c>
      <c r="AE428" t="s">
        <v>102</v>
      </c>
      <c r="AF428" s="5">
        <f>DATE(YEAR(C428),MONTH(C428),1)</f>
        <v>45962</v>
      </c>
      <c r="AG428">
        <f>E428-D428</f>
        <v>23</v>
      </c>
      <c r="AH428" s="6">
        <f t="shared" si="6"/>
        <v>68.524525547894797</v>
      </c>
    </row>
    <row r="429" spans="1:34">
      <c r="A429" t="s">
        <v>971</v>
      </c>
      <c r="B429" t="s">
        <v>972</v>
      </c>
      <c r="C429" s="1">
        <v>45693</v>
      </c>
      <c r="D429" s="1">
        <v>45695</v>
      </c>
      <c r="E429" s="1">
        <v>45709</v>
      </c>
      <c r="F429" t="s">
        <v>234</v>
      </c>
      <c r="G429" t="s">
        <v>111</v>
      </c>
      <c r="H429" t="s">
        <v>150</v>
      </c>
      <c r="I429" t="s">
        <v>77</v>
      </c>
      <c r="J429" t="s">
        <v>40</v>
      </c>
      <c r="K429" t="s">
        <v>41</v>
      </c>
      <c r="L429" t="s">
        <v>127</v>
      </c>
      <c r="M429" t="s">
        <v>79</v>
      </c>
      <c r="N429">
        <v>4</v>
      </c>
      <c r="O429" t="s">
        <v>111</v>
      </c>
      <c r="P429" s="48">
        <v>66587.360000000001</v>
      </c>
      <c r="Q429" s="48">
        <v>12477.09</v>
      </c>
      <c r="R429" s="48">
        <v>3929.2</v>
      </c>
      <c r="S429" s="48">
        <v>748.84</v>
      </c>
      <c r="T429" s="48">
        <v>665.87</v>
      </c>
      <c r="U429" s="48">
        <v>101.74</v>
      </c>
      <c r="V429" s="48">
        <v>1225.42</v>
      </c>
      <c r="W429" s="48">
        <v>47439.199999999997</v>
      </c>
      <c r="X429">
        <v>36</v>
      </c>
      <c r="Y429" t="s">
        <v>135</v>
      </c>
      <c r="Z429">
        <v>103.98</v>
      </c>
      <c r="AA429" t="s">
        <v>91</v>
      </c>
      <c r="AB429" t="s">
        <v>92</v>
      </c>
      <c r="AC429" t="s">
        <v>70</v>
      </c>
      <c r="AD429" t="s">
        <v>61</v>
      </c>
      <c r="AE429" t="s">
        <v>62</v>
      </c>
      <c r="AF429" s="5">
        <f>DATE(YEAR(C429),MONTH(C429),1)</f>
        <v>45689</v>
      </c>
      <c r="AG429">
        <f>E429-D429</f>
        <v>14</v>
      </c>
      <c r="AH429" s="6">
        <f t="shared" si="6"/>
        <v>71.243551328660573</v>
      </c>
    </row>
    <row r="430" spans="1:34">
      <c r="A430" t="s">
        <v>973</v>
      </c>
      <c r="B430" t="s">
        <v>974</v>
      </c>
      <c r="C430" s="1">
        <v>45720</v>
      </c>
      <c r="D430" s="1">
        <v>45722</v>
      </c>
      <c r="E430" s="1">
        <v>45737</v>
      </c>
      <c r="F430" t="s">
        <v>153</v>
      </c>
      <c r="G430" t="s">
        <v>75</v>
      </c>
      <c r="H430" t="s">
        <v>154</v>
      </c>
      <c r="I430" t="s">
        <v>56</v>
      </c>
      <c r="J430" t="s">
        <v>57</v>
      </c>
      <c r="K430" t="s">
        <v>58</v>
      </c>
      <c r="L430" t="s">
        <v>116</v>
      </c>
      <c r="M430" t="s">
        <v>68</v>
      </c>
      <c r="N430">
        <v>1</v>
      </c>
      <c r="O430" t="s">
        <v>44</v>
      </c>
      <c r="P430" s="48">
        <v>41576.53</v>
      </c>
      <c r="Q430" s="48">
        <v>12401.23</v>
      </c>
      <c r="R430" s="48">
        <v>1744.31</v>
      </c>
      <c r="S430" s="48">
        <v>896.6</v>
      </c>
      <c r="T430" s="48">
        <v>415.77</v>
      </c>
      <c r="U430" s="48">
        <v>323.85000000000002</v>
      </c>
      <c r="V430" s="48">
        <v>458.55</v>
      </c>
      <c r="W430" s="48">
        <v>25336.22</v>
      </c>
      <c r="X430">
        <v>0</v>
      </c>
      <c r="Y430" t="s">
        <v>45</v>
      </c>
      <c r="Z430">
        <v>103.34</v>
      </c>
      <c r="AA430" t="s">
        <v>46</v>
      </c>
      <c r="AB430" t="s">
        <v>47</v>
      </c>
      <c r="AC430" t="s">
        <v>48</v>
      </c>
      <c r="AD430" t="s">
        <v>61</v>
      </c>
      <c r="AE430" t="s">
        <v>102</v>
      </c>
      <c r="AF430" s="5">
        <f>DATE(YEAR(C430),MONTH(C430),1)</f>
        <v>45717</v>
      </c>
      <c r="AG430">
        <f>E430-D430</f>
        <v>15</v>
      </c>
      <c r="AH430" s="6">
        <f t="shared" si="6"/>
        <v>60.938755591195324</v>
      </c>
    </row>
    <row r="431" spans="1:34">
      <c r="A431" t="s">
        <v>975</v>
      </c>
      <c r="B431" t="s">
        <v>976</v>
      </c>
      <c r="C431" s="1">
        <v>45664</v>
      </c>
      <c r="D431" s="1">
        <v>45668</v>
      </c>
      <c r="E431" s="1">
        <v>45692</v>
      </c>
      <c r="F431" t="s">
        <v>36</v>
      </c>
      <c r="G431" t="s">
        <v>37</v>
      </c>
      <c r="H431" t="s">
        <v>38</v>
      </c>
      <c r="I431" t="s">
        <v>86</v>
      </c>
      <c r="J431" t="s">
        <v>87</v>
      </c>
      <c r="K431" t="s">
        <v>88</v>
      </c>
      <c r="L431" t="s">
        <v>100</v>
      </c>
      <c r="M431" t="s">
        <v>79</v>
      </c>
      <c r="N431">
        <v>4</v>
      </c>
      <c r="O431" t="s">
        <v>44</v>
      </c>
      <c r="P431" s="48">
        <v>42231.69</v>
      </c>
      <c r="Q431" s="48">
        <v>12386.92</v>
      </c>
      <c r="R431" s="48">
        <v>2594.9</v>
      </c>
      <c r="S431" s="48">
        <v>663.64</v>
      </c>
      <c r="T431" s="48">
        <v>422.32</v>
      </c>
      <c r="U431" s="48">
        <v>580.11</v>
      </c>
      <c r="V431" s="48">
        <v>1894.72</v>
      </c>
      <c r="W431" s="48">
        <v>23689.08</v>
      </c>
      <c r="X431">
        <v>4</v>
      </c>
      <c r="Y431" t="s">
        <v>117</v>
      </c>
      <c r="Z431">
        <v>103.22</v>
      </c>
      <c r="AA431" t="s">
        <v>91</v>
      </c>
      <c r="AB431" t="s">
        <v>47</v>
      </c>
      <c r="AC431" t="s">
        <v>70</v>
      </c>
      <c r="AD431" t="s">
        <v>61</v>
      </c>
      <c r="AE431" t="s">
        <v>62</v>
      </c>
      <c r="AF431" s="5">
        <f>DATE(YEAR(C431),MONTH(C431),1)</f>
        <v>45658</v>
      </c>
      <c r="AG431">
        <f>E431-D431</f>
        <v>24</v>
      </c>
      <c r="AH431" s="6">
        <f t="shared" si="6"/>
        <v>56.093137641425194</v>
      </c>
    </row>
    <row r="432" spans="1:34">
      <c r="A432" t="s">
        <v>977</v>
      </c>
      <c r="B432" t="s">
        <v>978</v>
      </c>
      <c r="C432" s="1">
        <v>45724</v>
      </c>
      <c r="D432" s="1">
        <v>45728</v>
      </c>
      <c r="E432" s="1">
        <v>45745</v>
      </c>
      <c r="F432" t="s">
        <v>53</v>
      </c>
      <c r="G432" t="s">
        <v>54</v>
      </c>
      <c r="H432" t="s">
        <v>55</v>
      </c>
      <c r="I432" t="s">
        <v>86</v>
      </c>
      <c r="J432" t="s">
        <v>122</v>
      </c>
      <c r="K432" t="s">
        <v>41</v>
      </c>
      <c r="L432" t="s">
        <v>124</v>
      </c>
      <c r="M432" t="s">
        <v>68</v>
      </c>
      <c r="N432">
        <v>2</v>
      </c>
      <c r="O432" t="s">
        <v>105</v>
      </c>
      <c r="P432" s="48">
        <v>49976.27</v>
      </c>
      <c r="Q432" s="48">
        <v>12375.61</v>
      </c>
      <c r="R432" s="48">
        <v>2175.4699999999998</v>
      </c>
      <c r="S432" s="48">
        <v>899.68</v>
      </c>
      <c r="T432" s="48">
        <v>499.76</v>
      </c>
      <c r="U432" s="48">
        <v>732.52</v>
      </c>
      <c r="V432" s="48">
        <v>322.16000000000003</v>
      </c>
      <c r="W432" s="48">
        <v>32971.07</v>
      </c>
      <c r="X432">
        <v>0</v>
      </c>
      <c r="Y432" t="s">
        <v>45</v>
      </c>
      <c r="Z432">
        <v>103.13</v>
      </c>
      <c r="AA432" t="s">
        <v>46</v>
      </c>
      <c r="AB432" t="s">
        <v>92</v>
      </c>
      <c r="AC432" t="s">
        <v>70</v>
      </c>
      <c r="AD432" t="s">
        <v>130</v>
      </c>
      <c r="AE432" t="s">
        <v>102</v>
      </c>
      <c r="AF432" s="5">
        <f>DATE(YEAR(C432),MONTH(C432),1)</f>
        <v>45717</v>
      </c>
      <c r="AG432">
        <f>E432-D432</f>
        <v>17</v>
      </c>
      <c r="AH432" s="6">
        <f t="shared" si="6"/>
        <v>65.97345099984453</v>
      </c>
    </row>
    <row r="433" spans="1:34">
      <c r="A433" t="s">
        <v>979</v>
      </c>
      <c r="B433" t="s">
        <v>980</v>
      </c>
      <c r="C433" s="1">
        <v>45859</v>
      </c>
      <c r="D433" s="1">
        <v>45861</v>
      </c>
      <c r="E433" s="1">
        <v>45887</v>
      </c>
      <c r="F433" t="s">
        <v>65</v>
      </c>
      <c r="G433" t="s">
        <v>66</v>
      </c>
      <c r="H433" t="s">
        <v>67</v>
      </c>
      <c r="I433" t="s">
        <v>40</v>
      </c>
      <c r="J433" t="s">
        <v>57</v>
      </c>
      <c r="K433" t="s">
        <v>41</v>
      </c>
      <c r="L433" t="s">
        <v>42</v>
      </c>
      <c r="M433" t="s">
        <v>43</v>
      </c>
      <c r="N433">
        <v>2</v>
      </c>
      <c r="O433" t="s">
        <v>44</v>
      </c>
      <c r="P433" s="48">
        <v>73653.570000000007</v>
      </c>
      <c r="Q433" s="48">
        <v>12371.28</v>
      </c>
      <c r="R433" s="48">
        <v>4410.33</v>
      </c>
      <c r="S433" s="48">
        <v>1320.11</v>
      </c>
      <c r="T433" s="48">
        <v>736.54</v>
      </c>
      <c r="U433" s="48">
        <v>505.27</v>
      </c>
      <c r="V433" s="48">
        <v>1766.16</v>
      </c>
      <c r="W433" s="48">
        <v>52543.88</v>
      </c>
      <c r="X433">
        <v>24</v>
      </c>
      <c r="Y433" t="s">
        <v>117</v>
      </c>
      <c r="Z433">
        <v>103.09</v>
      </c>
      <c r="AA433" t="s">
        <v>91</v>
      </c>
      <c r="AB433" t="s">
        <v>92</v>
      </c>
      <c r="AC433" t="s">
        <v>60</v>
      </c>
      <c r="AD433" t="s">
        <v>61</v>
      </c>
      <c r="AE433" t="s">
        <v>50</v>
      </c>
      <c r="AF433" s="5">
        <f>DATE(YEAR(C433),MONTH(C433),1)</f>
        <v>45839</v>
      </c>
      <c r="AG433">
        <f>E433-D433</f>
        <v>26</v>
      </c>
      <c r="AH433" s="6">
        <f t="shared" si="6"/>
        <v>71.339216822755489</v>
      </c>
    </row>
    <row r="434" spans="1:34">
      <c r="A434" t="s">
        <v>981</v>
      </c>
      <c r="B434" t="s">
        <v>982</v>
      </c>
      <c r="C434" s="1">
        <v>45955</v>
      </c>
      <c r="D434" s="1">
        <v>45956</v>
      </c>
      <c r="E434" s="1">
        <v>45976</v>
      </c>
      <c r="F434" t="s">
        <v>120</v>
      </c>
      <c r="G434" t="s">
        <v>75</v>
      </c>
      <c r="H434" t="s">
        <v>121</v>
      </c>
      <c r="I434" t="s">
        <v>39</v>
      </c>
      <c r="J434" t="s">
        <v>98</v>
      </c>
      <c r="K434" t="s">
        <v>41</v>
      </c>
      <c r="L434" t="s">
        <v>116</v>
      </c>
      <c r="M434" t="s">
        <v>79</v>
      </c>
      <c r="N434">
        <v>4</v>
      </c>
      <c r="O434" t="s">
        <v>80</v>
      </c>
      <c r="P434" s="48">
        <v>47395.1</v>
      </c>
      <c r="Q434" s="48">
        <v>12332.83</v>
      </c>
      <c r="R434" s="48">
        <v>3768.2</v>
      </c>
      <c r="S434" s="48">
        <v>719.61</v>
      </c>
      <c r="T434" s="48">
        <v>473.95</v>
      </c>
      <c r="U434" s="48">
        <v>139.63999999999999</v>
      </c>
      <c r="V434" s="48">
        <v>703.9</v>
      </c>
      <c r="W434" s="48">
        <v>29256.97</v>
      </c>
      <c r="X434">
        <v>36</v>
      </c>
      <c r="Y434" t="s">
        <v>112</v>
      </c>
      <c r="Z434">
        <v>102.77</v>
      </c>
      <c r="AA434" t="s">
        <v>91</v>
      </c>
      <c r="AB434" t="s">
        <v>47</v>
      </c>
      <c r="AC434" t="s">
        <v>60</v>
      </c>
      <c r="AD434" t="s">
        <v>93</v>
      </c>
      <c r="AE434" t="s">
        <v>50</v>
      </c>
      <c r="AF434" s="5">
        <f>DATE(YEAR(C434),MONTH(C434),1)</f>
        <v>45931</v>
      </c>
      <c r="AG434">
        <f>E434-D434</f>
        <v>20</v>
      </c>
      <c r="AH434" s="6">
        <f t="shared" si="6"/>
        <v>61.729946766648879</v>
      </c>
    </row>
    <row r="435" spans="1:34">
      <c r="A435" t="s">
        <v>983</v>
      </c>
      <c r="B435" t="s">
        <v>984</v>
      </c>
      <c r="C435" s="1">
        <v>45761</v>
      </c>
      <c r="D435" s="1">
        <v>45763</v>
      </c>
      <c r="E435" s="1">
        <v>45777</v>
      </c>
      <c r="F435" t="s">
        <v>153</v>
      </c>
      <c r="G435" t="s">
        <v>75</v>
      </c>
      <c r="H435" t="s">
        <v>154</v>
      </c>
      <c r="I435" t="s">
        <v>86</v>
      </c>
      <c r="J435" t="s">
        <v>87</v>
      </c>
      <c r="K435" t="s">
        <v>88</v>
      </c>
      <c r="L435" t="s">
        <v>116</v>
      </c>
      <c r="M435" t="s">
        <v>68</v>
      </c>
      <c r="N435">
        <v>4</v>
      </c>
      <c r="O435" t="s">
        <v>80</v>
      </c>
      <c r="P435" s="48">
        <v>66097.77</v>
      </c>
      <c r="Q435" s="48">
        <v>12262.99</v>
      </c>
      <c r="R435" s="48">
        <v>4705.83</v>
      </c>
      <c r="S435" s="48">
        <v>1193.6400000000001</v>
      </c>
      <c r="T435" s="48">
        <v>660.98</v>
      </c>
      <c r="U435" s="48">
        <v>408.13</v>
      </c>
      <c r="V435" s="48">
        <v>2347.7199999999998</v>
      </c>
      <c r="W435" s="48">
        <v>44518.48</v>
      </c>
      <c r="X435">
        <v>12</v>
      </c>
      <c r="Y435" t="s">
        <v>101</v>
      </c>
      <c r="Z435">
        <v>102.19</v>
      </c>
      <c r="AA435" t="s">
        <v>91</v>
      </c>
      <c r="AB435" t="s">
        <v>92</v>
      </c>
      <c r="AC435" t="s">
        <v>60</v>
      </c>
      <c r="AD435" t="s">
        <v>130</v>
      </c>
      <c r="AE435" t="s">
        <v>71</v>
      </c>
      <c r="AF435" s="5">
        <f>DATE(YEAR(C435),MONTH(C435),1)</f>
        <v>45748</v>
      </c>
      <c r="AG435">
        <f>E435-D435</f>
        <v>14</v>
      </c>
      <c r="AH435" s="6">
        <f t="shared" si="6"/>
        <v>67.352468925956202</v>
      </c>
    </row>
    <row r="436" spans="1:34">
      <c r="A436" t="s">
        <v>985</v>
      </c>
      <c r="B436" t="s">
        <v>986</v>
      </c>
      <c r="C436" s="1">
        <v>45828</v>
      </c>
      <c r="D436" s="1">
        <v>45832</v>
      </c>
      <c r="E436" s="1">
        <v>45845</v>
      </c>
      <c r="F436" t="s">
        <v>138</v>
      </c>
      <c r="G436" t="s">
        <v>139</v>
      </c>
      <c r="H436" t="s">
        <v>76</v>
      </c>
      <c r="I436" t="s">
        <v>57</v>
      </c>
      <c r="J436" t="s">
        <v>98</v>
      </c>
      <c r="K436" t="s">
        <v>99</v>
      </c>
      <c r="L436" t="s">
        <v>127</v>
      </c>
      <c r="M436" t="s">
        <v>108</v>
      </c>
      <c r="N436">
        <v>4</v>
      </c>
      <c r="O436" t="s">
        <v>80</v>
      </c>
      <c r="P436" s="48">
        <v>69320.570000000007</v>
      </c>
      <c r="Q436" s="48">
        <v>12232.46</v>
      </c>
      <c r="R436" s="48">
        <v>3356.01</v>
      </c>
      <c r="S436" s="48">
        <v>1568.73</v>
      </c>
      <c r="T436" s="48">
        <v>693.21</v>
      </c>
      <c r="U436" s="48">
        <v>611.95000000000005</v>
      </c>
      <c r="V436" s="48">
        <v>412.35</v>
      </c>
      <c r="W436" s="48">
        <v>50445.86</v>
      </c>
      <c r="X436">
        <v>0</v>
      </c>
      <c r="Y436" t="s">
        <v>45</v>
      </c>
      <c r="Z436">
        <v>101.94</v>
      </c>
      <c r="AA436" t="s">
        <v>46</v>
      </c>
      <c r="AB436" t="s">
        <v>47</v>
      </c>
      <c r="AC436" t="s">
        <v>60</v>
      </c>
      <c r="AD436" t="s">
        <v>49</v>
      </c>
      <c r="AE436" t="s">
        <v>50</v>
      </c>
      <c r="AF436" s="5">
        <f>DATE(YEAR(C436),MONTH(C436),1)</f>
        <v>45809</v>
      </c>
      <c r="AG436">
        <f>E436-D436</f>
        <v>13</v>
      </c>
      <c r="AH436" s="6">
        <f t="shared" si="6"/>
        <v>72.771848240716992</v>
      </c>
    </row>
    <row r="437" spans="1:34">
      <c r="A437" t="s">
        <v>987</v>
      </c>
      <c r="B437" t="s">
        <v>988</v>
      </c>
      <c r="C437" s="1">
        <v>45992</v>
      </c>
      <c r="D437" s="1">
        <v>45993</v>
      </c>
      <c r="E437" s="1">
        <v>46016</v>
      </c>
      <c r="F437" t="s">
        <v>65</v>
      </c>
      <c r="G437" t="s">
        <v>66</v>
      </c>
      <c r="H437" t="s">
        <v>67</v>
      </c>
      <c r="I437" t="s">
        <v>40</v>
      </c>
      <c r="J437" t="s">
        <v>122</v>
      </c>
      <c r="K437" t="s">
        <v>123</v>
      </c>
      <c r="L437" t="s">
        <v>116</v>
      </c>
      <c r="M437" t="s">
        <v>79</v>
      </c>
      <c r="N437">
        <v>4</v>
      </c>
      <c r="O437" t="s">
        <v>111</v>
      </c>
      <c r="P437" s="48">
        <v>72116.63</v>
      </c>
      <c r="Q437" s="48">
        <v>12222.56</v>
      </c>
      <c r="R437" s="48">
        <v>5315.38</v>
      </c>
      <c r="S437" s="48">
        <v>1197.5</v>
      </c>
      <c r="T437" s="48">
        <v>721.17</v>
      </c>
      <c r="U437" s="48">
        <v>632.71</v>
      </c>
      <c r="V437" s="48">
        <v>1589.39</v>
      </c>
      <c r="W437" s="48">
        <v>50437.919999999998</v>
      </c>
      <c r="X437">
        <v>0</v>
      </c>
      <c r="Y437" t="s">
        <v>45</v>
      </c>
      <c r="Z437">
        <v>101.85</v>
      </c>
      <c r="AA437" t="s">
        <v>46</v>
      </c>
      <c r="AB437" t="s">
        <v>47</v>
      </c>
      <c r="AC437" t="s">
        <v>60</v>
      </c>
      <c r="AD437" t="s">
        <v>144</v>
      </c>
      <c r="AE437" t="s">
        <v>102</v>
      </c>
      <c r="AF437" s="5">
        <f>DATE(YEAR(C437),MONTH(C437),1)</f>
        <v>45992</v>
      </c>
      <c r="AG437">
        <f>E437-D437</f>
        <v>23</v>
      </c>
      <c r="AH437" s="6">
        <f t="shared" si="6"/>
        <v>69.939374593627008</v>
      </c>
    </row>
    <row r="438" spans="1:34">
      <c r="A438" t="s">
        <v>989</v>
      </c>
      <c r="B438" t="s">
        <v>990</v>
      </c>
      <c r="C438" s="1">
        <v>45678</v>
      </c>
      <c r="D438" s="1">
        <v>45680</v>
      </c>
      <c r="E438" s="1">
        <v>45695</v>
      </c>
      <c r="F438" t="s">
        <v>96</v>
      </c>
      <c r="G438" t="s">
        <v>97</v>
      </c>
      <c r="H438" t="s">
        <v>76</v>
      </c>
      <c r="I438" t="s">
        <v>57</v>
      </c>
      <c r="J438" t="s">
        <v>98</v>
      </c>
      <c r="K438" t="s">
        <v>99</v>
      </c>
      <c r="L438" t="s">
        <v>116</v>
      </c>
      <c r="M438" t="s">
        <v>43</v>
      </c>
      <c r="N438">
        <v>1</v>
      </c>
      <c r="O438" t="s">
        <v>69</v>
      </c>
      <c r="P438" s="48">
        <v>41448.75</v>
      </c>
      <c r="Q438" s="48">
        <v>12203.35</v>
      </c>
      <c r="R438" s="48">
        <v>2637.66</v>
      </c>
      <c r="S438" s="48">
        <v>1190.0999999999999</v>
      </c>
      <c r="T438" s="48">
        <v>414.49</v>
      </c>
      <c r="U438" s="48">
        <v>197</v>
      </c>
      <c r="V438" s="48">
        <v>1140.6400000000001</v>
      </c>
      <c r="W438" s="48">
        <v>23665.51</v>
      </c>
      <c r="X438">
        <v>0</v>
      </c>
      <c r="Y438" t="s">
        <v>45</v>
      </c>
      <c r="Z438">
        <v>101.69</v>
      </c>
      <c r="AA438" t="s">
        <v>46</v>
      </c>
      <c r="AB438" t="s">
        <v>47</v>
      </c>
      <c r="AC438" t="s">
        <v>60</v>
      </c>
      <c r="AD438" t="s">
        <v>130</v>
      </c>
      <c r="AE438" t="s">
        <v>50</v>
      </c>
      <c r="AF438" s="5">
        <f>DATE(YEAR(C438),MONTH(C438),1)</f>
        <v>45658</v>
      </c>
      <c r="AG438">
        <f>E438-D438</f>
        <v>15</v>
      </c>
      <c r="AH438" s="6">
        <f t="shared" si="6"/>
        <v>57.095835218191141</v>
      </c>
    </row>
    <row r="439" spans="1:34">
      <c r="A439" t="s">
        <v>991</v>
      </c>
      <c r="B439" t="s">
        <v>992</v>
      </c>
      <c r="C439" s="1">
        <v>45698</v>
      </c>
      <c r="D439" s="1">
        <v>45701</v>
      </c>
      <c r="E439" s="1">
        <v>45725</v>
      </c>
      <c r="F439" t="s">
        <v>83</v>
      </c>
      <c r="G439" t="s">
        <v>84</v>
      </c>
      <c r="H439" t="s">
        <v>85</v>
      </c>
      <c r="I439" t="s">
        <v>40</v>
      </c>
      <c r="J439" t="s">
        <v>122</v>
      </c>
      <c r="K439" t="s">
        <v>123</v>
      </c>
      <c r="L439" t="s">
        <v>155</v>
      </c>
      <c r="M439" t="s">
        <v>68</v>
      </c>
      <c r="N439">
        <v>4</v>
      </c>
      <c r="O439" t="s">
        <v>44</v>
      </c>
      <c r="P439" s="48">
        <v>47656.06</v>
      </c>
      <c r="Q439" s="48">
        <v>12202.29</v>
      </c>
      <c r="R439" s="48">
        <v>3567.08</v>
      </c>
      <c r="S439" s="48">
        <v>512.05999999999995</v>
      </c>
      <c r="T439" s="48">
        <v>476.56</v>
      </c>
      <c r="U439" s="48">
        <v>508.31</v>
      </c>
      <c r="V439" s="48">
        <v>360.16</v>
      </c>
      <c r="W439" s="48">
        <v>30029.599999999999</v>
      </c>
      <c r="X439">
        <v>8</v>
      </c>
      <c r="Y439" t="s">
        <v>101</v>
      </c>
      <c r="Z439">
        <v>101.69</v>
      </c>
      <c r="AA439" t="s">
        <v>91</v>
      </c>
      <c r="AB439" t="s">
        <v>47</v>
      </c>
      <c r="AC439" t="s">
        <v>48</v>
      </c>
      <c r="AD439" t="s">
        <v>144</v>
      </c>
      <c r="AE439" t="s">
        <v>102</v>
      </c>
      <c r="AF439" s="5">
        <f>DATE(YEAR(C439),MONTH(C439),1)</f>
        <v>45689</v>
      </c>
      <c r="AG439">
        <f>E439-D439</f>
        <v>24</v>
      </c>
      <c r="AH439" s="6">
        <f t="shared" si="6"/>
        <v>63.013182373868084</v>
      </c>
    </row>
    <row r="440" spans="1:34">
      <c r="A440" t="s">
        <v>993</v>
      </c>
      <c r="B440" t="s">
        <v>994</v>
      </c>
      <c r="C440" s="1">
        <v>45819</v>
      </c>
      <c r="D440" s="1">
        <v>45822</v>
      </c>
      <c r="E440" s="1">
        <v>45839</v>
      </c>
      <c r="F440" t="s">
        <v>53</v>
      </c>
      <c r="G440" t="s">
        <v>54</v>
      </c>
      <c r="H440" t="s">
        <v>55</v>
      </c>
      <c r="I440" t="s">
        <v>57</v>
      </c>
      <c r="J440" t="s">
        <v>98</v>
      </c>
      <c r="K440" t="s">
        <v>99</v>
      </c>
      <c r="L440" t="s">
        <v>127</v>
      </c>
      <c r="M440" t="s">
        <v>43</v>
      </c>
      <c r="N440">
        <v>2</v>
      </c>
      <c r="O440" t="s">
        <v>105</v>
      </c>
      <c r="P440" s="48">
        <v>46469.62</v>
      </c>
      <c r="Q440" s="48">
        <v>12193.86</v>
      </c>
      <c r="R440" s="48">
        <v>3656.51</v>
      </c>
      <c r="S440" s="48">
        <v>947.21</v>
      </c>
      <c r="T440" s="48">
        <v>464.7</v>
      </c>
      <c r="U440" s="48">
        <v>477.8</v>
      </c>
      <c r="V440" s="48">
        <v>1451.06</v>
      </c>
      <c r="W440" s="48">
        <v>27278.48</v>
      </c>
      <c r="X440">
        <v>48</v>
      </c>
      <c r="Y440" t="s">
        <v>112</v>
      </c>
      <c r="Z440">
        <v>101.62</v>
      </c>
      <c r="AA440" t="s">
        <v>91</v>
      </c>
      <c r="AB440" t="s">
        <v>92</v>
      </c>
      <c r="AC440" t="s">
        <v>48</v>
      </c>
      <c r="AD440" t="s">
        <v>49</v>
      </c>
      <c r="AE440" t="s">
        <v>102</v>
      </c>
      <c r="AF440" s="5">
        <f>DATE(YEAR(C440),MONTH(C440),1)</f>
        <v>45809</v>
      </c>
      <c r="AG440">
        <f>E440-D440</f>
        <v>17</v>
      </c>
      <c r="AH440" s="6">
        <f t="shared" si="6"/>
        <v>58.701749659239731</v>
      </c>
    </row>
    <row r="441" spans="1:34">
      <c r="A441" t="s">
        <v>995</v>
      </c>
      <c r="B441" t="s">
        <v>996</v>
      </c>
      <c r="C441" s="1">
        <v>45818</v>
      </c>
      <c r="D441" s="1">
        <v>45821</v>
      </c>
      <c r="E441" s="1">
        <v>45844</v>
      </c>
      <c r="F441" t="s">
        <v>36</v>
      </c>
      <c r="G441" t="s">
        <v>37</v>
      </c>
      <c r="H441" t="s">
        <v>38</v>
      </c>
      <c r="I441" t="s">
        <v>40</v>
      </c>
      <c r="J441" t="s">
        <v>122</v>
      </c>
      <c r="K441" t="s">
        <v>123</v>
      </c>
      <c r="L441" t="s">
        <v>127</v>
      </c>
      <c r="M441" t="s">
        <v>43</v>
      </c>
      <c r="N441">
        <v>4</v>
      </c>
      <c r="O441" t="s">
        <v>111</v>
      </c>
      <c r="P441" s="48">
        <v>74116.25</v>
      </c>
      <c r="Q441" s="48">
        <v>12177.51</v>
      </c>
      <c r="R441" s="48">
        <v>5647.96</v>
      </c>
      <c r="S441" s="48">
        <v>1416.56</v>
      </c>
      <c r="T441" s="48">
        <v>741.16</v>
      </c>
      <c r="U441" s="48">
        <v>505.48</v>
      </c>
      <c r="V441" s="48">
        <v>1082.1600000000001</v>
      </c>
      <c r="W441" s="48">
        <v>52545.42</v>
      </c>
      <c r="X441">
        <v>0</v>
      </c>
      <c r="Y441" t="s">
        <v>45</v>
      </c>
      <c r="Z441">
        <v>101.48</v>
      </c>
      <c r="AA441" t="s">
        <v>46</v>
      </c>
      <c r="AB441" t="s">
        <v>47</v>
      </c>
      <c r="AC441" t="s">
        <v>48</v>
      </c>
      <c r="AD441" t="s">
        <v>49</v>
      </c>
      <c r="AE441" t="s">
        <v>102</v>
      </c>
      <c r="AF441" s="5">
        <f>DATE(YEAR(C441),MONTH(C441),1)</f>
        <v>45809</v>
      </c>
      <c r="AG441">
        <f>E441-D441</f>
        <v>23</v>
      </c>
      <c r="AH441" s="6">
        <f t="shared" si="6"/>
        <v>70.895950618116814</v>
      </c>
    </row>
    <row r="442" spans="1:34">
      <c r="A442" t="s">
        <v>997</v>
      </c>
      <c r="B442" t="s">
        <v>998</v>
      </c>
      <c r="C442" s="1">
        <v>45703</v>
      </c>
      <c r="D442" s="1">
        <v>45704</v>
      </c>
      <c r="E442" s="1">
        <v>45726</v>
      </c>
      <c r="F442" t="s">
        <v>96</v>
      </c>
      <c r="G442" t="s">
        <v>97</v>
      </c>
      <c r="H442" t="s">
        <v>76</v>
      </c>
      <c r="I442" t="s">
        <v>86</v>
      </c>
      <c r="J442" t="s">
        <v>87</v>
      </c>
      <c r="K442" t="s">
        <v>88</v>
      </c>
      <c r="L442" t="s">
        <v>100</v>
      </c>
      <c r="M442" t="s">
        <v>43</v>
      </c>
      <c r="N442">
        <v>2</v>
      </c>
      <c r="O442" t="s">
        <v>69</v>
      </c>
      <c r="P442" s="48">
        <v>45757.599999999999</v>
      </c>
      <c r="Q442" s="48">
        <v>12168.25</v>
      </c>
      <c r="R442" s="48">
        <v>3160.69</v>
      </c>
      <c r="S442" s="48">
        <v>1329.59</v>
      </c>
      <c r="T442" s="48">
        <v>457.58</v>
      </c>
      <c r="U442" s="48">
        <v>220.86</v>
      </c>
      <c r="V442" s="48">
        <v>1812.05</v>
      </c>
      <c r="W442" s="48">
        <v>26608.58</v>
      </c>
      <c r="X442">
        <v>0</v>
      </c>
      <c r="Y442" t="s">
        <v>45</v>
      </c>
      <c r="Z442">
        <v>101.4</v>
      </c>
      <c r="AA442" t="s">
        <v>46</v>
      </c>
      <c r="AB442" t="s">
        <v>47</v>
      </c>
      <c r="AC442" t="s">
        <v>60</v>
      </c>
      <c r="AD442" t="s">
        <v>93</v>
      </c>
      <c r="AE442" t="s">
        <v>102</v>
      </c>
      <c r="AF442" s="5">
        <f>DATE(YEAR(C442),MONTH(C442),1)</f>
        <v>45689</v>
      </c>
      <c r="AG442">
        <f>E442-D442</f>
        <v>22</v>
      </c>
      <c r="AH442" s="6">
        <f t="shared" si="6"/>
        <v>58.151170515936158</v>
      </c>
    </row>
    <row r="443" spans="1:34">
      <c r="A443" t="s">
        <v>999</v>
      </c>
      <c r="B443" t="s">
        <v>1000</v>
      </c>
      <c r="C443" s="1">
        <v>46021</v>
      </c>
      <c r="D443" s="1">
        <v>46024</v>
      </c>
      <c r="E443" s="1">
        <v>46048</v>
      </c>
      <c r="F443" t="s">
        <v>53</v>
      </c>
      <c r="G443" t="s">
        <v>54</v>
      </c>
      <c r="H443" t="s">
        <v>55</v>
      </c>
      <c r="I443" t="s">
        <v>115</v>
      </c>
      <c r="J443" t="s">
        <v>98</v>
      </c>
      <c r="K443" t="s">
        <v>99</v>
      </c>
      <c r="L443" t="s">
        <v>59</v>
      </c>
      <c r="M443" t="s">
        <v>79</v>
      </c>
      <c r="N443">
        <v>1</v>
      </c>
      <c r="O443" t="s">
        <v>69</v>
      </c>
      <c r="P443" s="48">
        <v>42952.86</v>
      </c>
      <c r="Q443" s="48">
        <v>12161.2</v>
      </c>
      <c r="R443" s="48">
        <v>2549.96</v>
      </c>
      <c r="S443" s="48">
        <v>1101.8399999999999</v>
      </c>
      <c r="T443" s="48">
        <v>429.53</v>
      </c>
      <c r="U443" s="48">
        <v>807.97</v>
      </c>
      <c r="V443" s="48">
        <v>421.17</v>
      </c>
      <c r="W443" s="48">
        <v>25481.19</v>
      </c>
      <c r="X443">
        <v>4</v>
      </c>
      <c r="Y443" t="s">
        <v>90</v>
      </c>
      <c r="Z443">
        <v>101.34</v>
      </c>
      <c r="AA443" t="s">
        <v>91</v>
      </c>
      <c r="AB443" t="s">
        <v>47</v>
      </c>
      <c r="AC443" t="s">
        <v>60</v>
      </c>
      <c r="AD443" t="s">
        <v>49</v>
      </c>
      <c r="AE443" t="s">
        <v>102</v>
      </c>
      <c r="AF443" s="5">
        <f>DATE(YEAR(C443),MONTH(C443),1)</f>
        <v>45992</v>
      </c>
      <c r="AG443">
        <f>E443-D443</f>
        <v>24</v>
      </c>
      <c r="AH443" s="6">
        <f t="shared" si="6"/>
        <v>59.323616634608264</v>
      </c>
    </row>
    <row r="444" spans="1:34">
      <c r="A444" t="s">
        <v>1001</v>
      </c>
      <c r="B444" t="s">
        <v>1002</v>
      </c>
      <c r="C444" s="1">
        <v>46006</v>
      </c>
      <c r="D444" s="1">
        <v>46009</v>
      </c>
      <c r="E444" s="1">
        <v>46030</v>
      </c>
      <c r="F444" t="s">
        <v>138</v>
      </c>
      <c r="G444" t="s">
        <v>139</v>
      </c>
      <c r="H444" t="s">
        <v>76</v>
      </c>
      <c r="I444" t="s">
        <v>57</v>
      </c>
      <c r="J444" t="s">
        <v>98</v>
      </c>
      <c r="K444" t="s">
        <v>99</v>
      </c>
      <c r="L444" t="s">
        <v>100</v>
      </c>
      <c r="M444" t="s">
        <v>43</v>
      </c>
      <c r="N444">
        <v>2</v>
      </c>
      <c r="O444" t="s">
        <v>111</v>
      </c>
      <c r="P444" s="48">
        <v>53587.5</v>
      </c>
      <c r="Q444" s="48">
        <v>12159.35</v>
      </c>
      <c r="R444" s="48">
        <v>2631.86</v>
      </c>
      <c r="S444" s="48">
        <v>699.64</v>
      </c>
      <c r="T444" s="48">
        <v>535.88</v>
      </c>
      <c r="U444" s="48">
        <v>880.83</v>
      </c>
      <c r="V444" s="48">
        <v>1807.1</v>
      </c>
      <c r="W444" s="48">
        <v>34872.839999999997</v>
      </c>
      <c r="X444">
        <v>12</v>
      </c>
      <c r="Y444" t="s">
        <v>117</v>
      </c>
      <c r="Z444">
        <v>101.33</v>
      </c>
      <c r="AA444" t="s">
        <v>91</v>
      </c>
      <c r="AB444" t="s">
        <v>92</v>
      </c>
      <c r="AC444" t="s">
        <v>48</v>
      </c>
      <c r="AD444" t="s">
        <v>93</v>
      </c>
      <c r="AE444" t="s">
        <v>102</v>
      </c>
      <c r="AF444" s="5">
        <f>DATE(YEAR(C444),MONTH(C444),1)</f>
        <v>45992</v>
      </c>
      <c r="AG444">
        <f>E444-D444</f>
        <v>21</v>
      </c>
      <c r="AH444" s="6">
        <f t="shared" si="6"/>
        <v>65.076445066480048</v>
      </c>
    </row>
    <row r="445" spans="1:34">
      <c r="A445" t="s">
        <v>1003</v>
      </c>
      <c r="B445" t="s">
        <v>1004</v>
      </c>
      <c r="C445" s="1">
        <v>45963</v>
      </c>
      <c r="D445" s="1">
        <v>45965</v>
      </c>
      <c r="E445" s="1">
        <v>45991</v>
      </c>
      <c r="F445" t="s">
        <v>36</v>
      </c>
      <c r="G445" t="s">
        <v>37</v>
      </c>
      <c r="H445" t="s">
        <v>38</v>
      </c>
      <c r="I445" t="s">
        <v>56</v>
      </c>
      <c r="J445" t="s">
        <v>57</v>
      </c>
      <c r="K445" t="s">
        <v>58</v>
      </c>
      <c r="L445" t="s">
        <v>127</v>
      </c>
      <c r="M445" t="s">
        <v>68</v>
      </c>
      <c r="N445">
        <v>2</v>
      </c>
      <c r="O445" t="s">
        <v>44</v>
      </c>
      <c r="P445" s="48">
        <v>46807.45</v>
      </c>
      <c r="Q445" s="48">
        <v>12147.41</v>
      </c>
      <c r="R445" s="48">
        <v>2302.36</v>
      </c>
      <c r="S445" s="48">
        <v>840.16</v>
      </c>
      <c r="T445" s="48">
        <v>468.07</v>
      </c>
      <c r="U445" s="48">
        <v>651.66999999999996</v>
      </c>
      <c r="V445" s="48">
        <v>1478.92</v>
      </c>
      <c r="W445" s="48">
        <v>28918.86</v>
      </c>
      <c r="X445">
        <v>12</v>
      </c>
      <c r="Y445" t="s">
        <v>90</v>
      </c>
      <c r="Z445">
        <v>101.23</v>
      </c>
      <c r="AA445" t="s">
        <v>91</v>
      </c>
      <c r="AB445" t="s">
        <v>47</v>
      </c>
      <c r="AC445" t="s">
        <v>60</v>
      </c>
      <c r="AD445" t="s">
        <v>93</v>
      </c>
      <c r="AE445" t="s">
        <v>71</v>
      </c>
      <c r="AF445" s="5">
        <f>DATE(YEAR(C445),MONTH(C445),1)</f>
        <v>45962</v>
      </c>
      <c r="AG445">
        <f>E445-D445</f>
        <v>26</v>
      </c>
      <c r="AH445" s="6">
        <f t="shared" si="6"/>
        <v>61.782600846660095</v>
      </c>
    </row>
    <row r="446" spans="1:34">
      <c r="A446" t="s">
        <v>1005</v>
      </c>
      <c r="B446" t="s">
        <v>1006</v>
      </c>
      <c r="C446" s="1">
        <v>46012</v>
      </c>
      <c r="D446" s="1">
        <v>46016</v>
      </c>
      <c r="E446" s="1">
        <v>46043</v>
      </c>
      <c r="F446" t="s">
        <v>96</v>
      </c>
      <c r="G446" t="s">
        <v>97</v>
      </c>
      <c r="H446" t="s">
        <v>76</v>
      </c>
      <c r="I446" t="s">
        <v>39</v>
      </c>
      <c r="J446" t="s">
        <v>122</v>
      </c>
      <c r="K446" t="s">
        <v>41</v>
      </c>
      <c r="L446" t="s">
        <v>100</v>
      </c>
      <c r="M446" t="s">
        <v>68</v>
      </c>
      <c r="N446">
        <v>1</v>
      </c>
      <c r="O446" t="s">
        <v>44</v>
      </c>
      <c r="P446" s="48">
        <v>43766.91</v>
      </c>
      <c r="Q446" s="48">
        <v>12144.6</v>
      </c>
      <c r="R446" s="48">
        <v>3202.48</v>
      </c>
      <c r="S446" s="48">
        <v>690.01</v>
      </c>
      <c r="T446" s="48">
        <v>437.67</v>
      </c>
      <c r="U446" s="48">
        <v>238.12</v>
      </c>
      <c r="V446" s="48">
        <v>1367.99</v>
      </c>
      <c r="W446" s="48">
        <v>25686.04</v>
      </c>
      <c r="X446">
        <v>0</v>
      </c>
      <c r="Y446" t="s">
        <v>45</v>
      </c>
      <c r="Z446">
        <v>101.2</v>
      </c>
      <c r="AA446" t="s">
        <v>46</v>
      </c>
      <c r="AB446" t="s">
        <v>92</v>
      </c>
      <c r="AC446" t="s">
        <v>70</v>
      </c>
      <c r="AD446" t="s">
        <v>61</v>
      </c>
      <c r="AE446" t="s">
        <v>50</v>
      </c>
      <c r="AF446" s="5">
        <f>DATE(YEAR(C446),MONTH(C446),1)</f>
        <v>45992</v>
      </c>
      <c r="AG446">
        <f>E446-D446</f>
        <v>27</v>
      </c>
      <c r="AH446" s="6">
        <f t="shared" si="6"/>
        <v>58.688264718711004</v>
      </c>
    </row>
    <row r="447" spans="1:34">
      <c r="A447" t="s">
        <v>1007</v>
      </c>
      <c r="B447" t="s">
        <v>1008</v>
      </c>
      <c r="C447" s="1">
        <v>45845</v>
      </c>
      <c r="D447" s="1">
        <v>45847</v>
      </c>
      <c r="E447" s="1">
        <v>45873</v>
      </c>
      <c r="F447" t="s">
        <v>96</v>
      </c>
      <c r="G447" t="s">
        <v>97</v>
      </c>
      <c r="H447" t="s">
        <v>76</v>
      </c>
      <c r="I447" t="s">
        <v>57</v>
      </c>
      <c r="J447" t="s">
        <v>98</v>
      </c>
      <c r="K447" t="s">
        <v>99</v>
      </c>
      <c r="L447" t="s">
        <v>42</v>
      </c>
      <c r="M447" t="s">
        <v>43</v>
      </c>
      <c r="N447">
        <v>2</v>
      </c>
      <c r="O447" t="s">
        <v>44</v>
      </c>
      <c r="P447" s="48">
        <v>43401.86</v>
      </c>
      <c r="Q447" s="48">
        <v>12093.55</v>
      </c>
      <c r="R447" s="48">
        <v>1916.74</v>
      </c>
      <c r="S447" s="48">
        <v>1105.31</v>
      </c>
      <c r="T447" s="48">
        <v>434.02</v>
      </c>
      <c r="U447" s="48">
        <v>434.58</v>
      </c>
      <c r="V447" s="48">
        <v>2474.37</v>
      </c>
      <c r="W447" s="48">
        <v>24943.29</v>
      </c>
      <c r="X447">
        <v>24</v>
      </c>
      <c r="Y447" t="s">
        <v>90</v>
      </c>
      <c r="Z447">
        <v>100.78</v>
      </c>
      <c r="AA447" t="s">
        <v>91</v>
      </c>
      <c r="AB447" t="s">
        <v>47</v>
      </c>
      <c r="AC447" t="s">
        <v>70</v>
      </c>
      <c r="AD447" t="s">
        <v>130</v>
      </c>
      <c r="AE447" t="s">
        <v>71</v>
      </c>
      <c r="AF447" s="5">
        <f>DATE(YEAR(C447),MONTH(C447),1)</f>
        <v>45839</v>
      </c>
      <c r="AG447">
        <f>E447-D447</f>
        <v>26</v>
      </c>
      <c r="AH447" s="6">
        <f t="shared" si="6"/>
        <v>57.470555409376466</v>
      </c>
    </row>
    <row r="448" spans="1:34">
      <c r="A448" t="s">
        <v>1009</v>
      </c>
      <c r="B448" t="s">
        <v>1010</v>
      </c>
      <c r="C448" s="1">
        <v>45925</v>
      </c>
      <c r="D448" s="1">
        <v>45926</v>
      </c>
      <c r="E448" s="1">
        <v>45949</v>
      </c>
      <c r="F448" t="s">
        <v>234</v>
      </c>
      <c r="G448" t="s">
        <v>111</v>
      </c>
      <c r="H448" t="s">
        <v>150</v>
      </c>
      <c r="I448" t="s">
        <v>86</v>
      </c>
      <c r="J448" t="s">
        <v>87</v>
      </c>
      <c r="K448" t="s">
        <v>88</v>
      </c>
      <c r="L448" t="s">
        <v>155</v>
      </c>
      <c r="M448" t="s">
        <v>79</v>
      </c>
      <c r="N448">
        <v>4</v>
      </c>
      <c r="O448" t="s">
        <v>69</v>
      </c>
      <c r="P448" s="48">
        <v>58892.89</v>
      </c>
      <c r="Q448" s="48">
        <v>12085.59</v>
      </c>
      <c r="R448" s="48">
        <v>3432.6</v>
      </c>
      <c r="S448" s="48">
        <v>906.05</v>
      </c>
      <c r="T448" s="48">
        <v>588.92999999999995</v>
      </c>
      <c r="U448" s="48">
        <v>434.07</v>
      </c>
      <c r="V448" s="48">
        <v>1661.18</v>
      </c>
      <c r="W448" s="48">
        <v>39784.47</v>
      </c>
      <c r="X448">
        <v>24</v>
      </c>
      <c r="Y448" t="s">
        <v>90</v>
      </c>
      <c r="Z448">
        <v>100.71</v>
      </c>
      <c r="AA448" t="s">
        <v>91</v>
      </c>
      <c r="AB448" t="s">
        <v>92</v>
      </c>
      <c r="AC448" t="s">
        <v>48</v>
      </c>
      <c r="AD448" t="s">
        <v>130</v>
      </c>
      <c r="AE448" t="s">
        <v>62</v>
      </c>
      <c r="AF448" s="5">
        <f>DATE(YEAR(C448),MONTH(C448),1)</f>
        <v>45901</v>
      </c>
      <c r="AG448">
        <f>E448-D448</f>
        <v>23</v>
      </c>
      <c r="AH448" s="6">
        <f t="shared" si="6"/>
        <v>67.553944117872305</v>
      </c>
    </row>
    <row r="449" spans="1:34">
      <c r="A449" t="s">
        <v>1011</v>
      </c>
      <c r="B449" t="s">
        <v>1012</v>
      </c>
      <c r="C449" s="1">
        <v>45679</v>
      </c>
      <c r="D449" s="1">
        <v>45682</v>
      </c>
      <c r="E449" s="1">
        <v>45708</v>
      </c>
      <c r="F449" t="s">
        <v>83</v>
      </c>
      <c r="G449" t="s">
        <v>84</v>
      </c>
      <c r="H449" t="s">
        <v>85</v>
      </c>
      <c r="I449" t="s">
        <v>56</v>
      </c>
      <c r="J449" t="s">
        <v>57</v>
      </c>
      <c r="K449" t="s">
        <v>58</v>
      </c>
      <c r="L449" t="s">
        <v>100</v>
      </c>
      <c r="M449" t="s">
        <v>43</v>
      </c>
      <c r="N449">
        <v>2</v>
      </c>
      <c r="O449" t="s">
        <v>89</v>
      </c>
      <c r="P449" s="48">
        <v>45453.83</v>
      </c>
      <c r="Q449" s="48">
        <v>12078.43</v>
      </c>
      <c r="R449" s="48">
        <v>2900.3</v>
      </c>
      <c r="S449" s="48">
        <v>575.26</v>
      </c>
      <c r="T449" s="48">
        <v>454.54</v>
      </c>
      <c r="U449" s="48">
        <v>699.45</v>
      </c>
      <c r="V449" s="48">
        <v>1791.96</v>
      </c>
      <c r="W449" s="48">
        <v>26953.89</v>
      </c>
      <c r="X449">
        <v>0</v>
      </c>
      <c r="Y449" t="s">
        <v>45</v>
      </c>
      <c r="Z449">
        <v>100.65</v>
      </c>
      <c r="AA449" t="s">
        <v>46</v>
      </c>
      <c r="AB449" t="s">
        <v>47</v>
      </c>
      <c r="AC449" t="s">
        <v>60</v>
      </c>
      <c r="AD449" t="s">
        <v>49</v>
      </c>
      <c r="AE449" t="s">
        <v>50</v>
      </c>
      <c r="AF449" s="5">
        <f>DATE(YEAR(C449),MONTH(C449),1)</f>
        <v>45658</v>
      </c>
      <c r="AG449">
        <f>E449-D449</f>
        <v>26</v>
      </c>
      <c r="AH449" s="6">
        <f t="shared" si="6"/>
        <v>59.299491373994229</v>
      </c>
    </row>
    <row r="450" spans="1:34">
      <c r="A450" t="s">
        <v>1013</v>
      </c>
      <c r="B450" t="s">
        <v>1014</v>
      </c>
      <c r="C450" s="1">
        <v>45732</v>
      </c>
      <c r="D450" s="1">
        <v>45734</v>
      </c>
      <c r="E450" s="1">
        <v>45762</v>
      </c>
      <c r="F450" t="s">
        <v>36</v>
      </c>
      <c r="G450" t="s">
        <v>37</v>
      </c>
      <c r="H450" t="s">
        <v>38</v>
      </c>
      <c r="I450" t="s">
        <v>56</v>
      </c>
      <c r="J450" t="s">
        <v>57</v>
      </c>
      <c r="K450" t="s">
        <v>58</v>
      </c>
      <c r="L450" t="s">
        <v>78</v>
      </c>
      <c r="M450" t="s">
        <v>68</v>
      </c>
      <c r="N450">
        <v>2</v>
      </c>
      <c r="O450" t="s">
        <v>69</v>
      </c>
      <c r="P450" s="48">
        <v>61063.64</v>
      </c>
      <c r="Q450" s="48">
        <v>12068.73</v>
      </c>
      <c r="R450" s="48">
        <v>3604.42</v>
      </c>
      <c r="S450" s="48">
        <v>1268.83</v>
      </c>
      <c r="T450" s="48">
        <v>610.64</v>
      </c>
      <c r="U450" s="48">
        <v>317.74</v>
      </c>
      <c r="V450" s="48">
        <v>1180.51</v>
      </c>
      <c r="W450" s="48">
        <v>42012.77</v>
      </c>
      <c r="X450">
        <v>8</v>
      </c>
      <c r="Y450" t="s">
        <v>135</v>
      </c>
      <c r="Z450">
        <v>100.57</v>
      </c>
      <c r="AA450" t="s">
        <v>91</v>
      </c>
      <c r="AB450" t="s">
        <v>92</v>
      </c>
      <c r="AC450" t="s">
        <v>60</v>
      </c>
      <c r="AD450" t="s">
        <v>144</v>
      </c>
      <c r="AE450" t="s">
        <v>62</v>
      </c>
      <c r="AF450" s="5">
        <f>DATE(YEAR(C450),MONTH(C450),1)</f>
        <v>45717</v>
      </c>
      <c r="AG450">
        <f>E450-D450</f>
        <v>28</v>
      </c>
      <c r="AH450" s="6">
        <f t="shared" si="6"/>
        <v>68.801614184807846</v>
      </c>
    </row>
    <row r="451" spans="1:34">
      <c r="A451" t="s">
        <v>1015</v>
      </c>
      <c r="B451" t="s">
        <v>1016</v>
      </c>
      <c r="C451" s="1">
        <v>45823</v>
      </c>
      <c r="D451" s="1">
        <v>45824</v>
      </c>
      <c r="E451" s="1">
        <v>45849</v>
      </c>
      <c r="F451" t="s">
        <v>83</v>
      </c>
      <c r="G451" t="s">
        <v>84</v>
      </c>
      <c r="H451" t="s">
        <v>85</v>
      </c>
      <c r="I451" t="s">
        <v>115</v>
      </c>
      <c r="J451" t="s">
        <v>98</v>
      </c>
      <c r="K451" t="s">
        <v>99</v>
      </c>
      <c r="L451" t="s">
        <v>59</v>
      </c>
      <c r="M451" t="s">
        <v>108</v>
      </c>
      <c r="N451">
        <v>2</v>
      </c>
      <c r="O451" t="s">
        <v>89</v>
      </c>
      <c r="P451" s="48">
        <v>44016.68</v>
      </c>
      <c r="Q451" s="48">
        <v>12064.3</v>
      </c>
      <c r="R451" s="48">
        <v>2825.97</v>
      </c>
      <c r="S451" s="48">
        <v>626</v>
      </c>
      <c r="T451" s="48">
        <v>440.17</v>
      </c>
      <c r="U451" s="48">
        <v>534.48</v>
      </c>
      <c r="V451" s="48">
        <v>570.22</v>
      </c>
      <c r="W451" s="48">
        <v>26955.54</v>
      </c>
      <c r="X451">
        <v>0</v>
      </c>
      <c r="Y451" t="s">
        <v>45</v>
      </c>
      <c r="Z451">
        <v>100.54</v>
      </c>
      <c r="AA451" t="s">
        <v>46</v>
      </c>
      <c r="AB451" t="s">
        <v>92</v>
      </c>
      <c r="AC451" t="s">
        <v>48</v>
      </c>
      <c r="AD451" t="s">
        <v>93</v>
      </c>
      <c r="AE451" t="s">
        <v>62</v>
      </c>
      <c r="AF451" s="5">
        <f>DATE(YEAR(C451),MONTH(C451),1)</f>
        <v>45809</v>
      </c>
      <c r="AG451">
        <f>E451-D451</f>
        <v>25</v>
      </c>
      <c r="AH451" s="6">
        <f t="shared" ref="AH451:AH514" si="7">W451/P451*100</f>
        <v>61.239375618515524</v>
      </c>
    </row>
    <row r="452" spans="1:34">
      <c r="A452" t="s">
        <v>1017</v>
      </c>
      <c r="B452" t="s">
        <v>1018</v>
      </c>
      <c r="C452" s="1">
        <v>45902</v>
      </c>
      <c r="D452" s="1">
        <v>45903</v>
      </c>
      <c r="E452" s="1">
        <v>45918</v>
      </c>
      <c r="F452" t="s">
        <v>96</v>
      </c>
      <c r="G452" t="s">
        <v>97</v>
      </c>
      <c r="H452" t="s">
        <v>76</v>
      </c>
      <c r="I452" t="s">
        <v>57</v>
      </c>
      <c r="J452" t="s">
        <v>98</v>
      </c>
      <c r="K452" t="s">
        <v>99</v>
      </c>
      <c r="L452" t="s">
        <v>42</v>
      </c>
      <c r="M452" t="s">
        <v>43</v>
      </c>
      <c r="N452">
        <v>2</v>
      </c>
      <c r="O452" t="s">
        <v>54</v>
      </c>
      <c r="P452" s="48">
        <v>70604.240000000005</v>
      </c>
      <c r="Q452" s="48">
        <v>12046.6</v>
      </c>
      <c r="R452" s="48">
        <v>3673.46</v>
      </c>
      <c r="S452" s="48">
        <v>1111.4100000000001</v>
      </c>
      <c r="T452" s="48">
        <v>706.04</v>
      </c>
      <c r="U452" s="48">
        <v>300.60000000000002</v>
      </c>
      <c r="V452" s="48">
        <v>1873.69</v>
      </c>
      <c r="W452" s="48">
        <v>50892.44</v>
      </c>
      <c r="X452">
        <v>0</v>
      </c>
      <c r="Y452" t="s">
        <v>45</v>
      </c>
      <c r="Z452">
        <v>100.39</v>
      </c>
      <c r="AA452" t="s">
        <v>46</v>
      </c>
      <c r="AB452" t="s">
        <v>47</v>
      </c>
      <c r="AC452" t="s">
        <v>48</v>
      </c>
      <c r="AD452" t="s">
        <v>144</v>
      </c>
      <c r="AE452" t="s">
        <v>102</v>
      </c>
      <c r="AF452" s="5">
        <f>DATE(YEAR(C452),MONTH(C452),1)</f>
        <v>45901</v>
      </c>
      <c r="AG452">
        <f>E452-D452</f>
        <v>15</v>
      </c>
      <c r="AH452" s="6">
        <f t="shared" si="7"/>
        <v>72.081280104424323</v>
      </c>
    </row>
    <row r="453" spans="1:34">
      <c r="A453" t="s">
        <v>1019</v>
      </c>
      <c r="B453" t="s">
        <v>1020</v>
      </c>
      <c r="C453" s="1">
        <v>45839</v>
      </c>
      <c r="D453" s="1">
        <v>45841</v>
      </c>
      <c r="E453" s="1">
        <v>45858</v>
      </c>
      <c r="F453" t="s">
        <v>96</v>
      </c>
      <c r="G453" t="s">
        <v>97</v>
      </c>
      <c r="H453" t="s">
        <v>76</v>
      </c>
      <c r="I453" t="s">
        <v>40</v>
      </c>
      <c r="J453" t="s">
        <v>122</v>
      </c>
      <c r="K453" t="s">
        <v>123</v>
      </c>
      <c r="L453" t="s">
        <v>127</v>
      </c>
      <c r="M453" t="s">
        <v>79</v>
      </c>
      <c r="N453">
        <v>1</v>
      </c>
      <c r="O453" t="s">
        <v>54</v>
      </c>
      <c r="P453" s="48">
        <v>40658.58</v>
      </c>
      <c r="Q453" s="48">
        <v>12046.23</v>
      </c>
      <c r="R453" s="48">
        <v>2598.5100000000002</v>
      </c>
      <c r="S453" s="48">
        <v>518.89</v>
      </c>
      <c r="T453" s="48">
        <v>406.59</v>
      </c>
      <c r="U453" s="48">
        <v>420.22</v>
      </c>
      <c r="V453" s="48">
        <v>1024.55</v>
      </c>
      <c r="W453" s="48">
        <v>23643.59</v>
      </c>
      <c r="X453">
        <v>24</v>
      </c>
      <c r="Y453" t="s">
        <v>117</v>
      </c>
      <c r="Z453">
        <v>100.39</v>
      </c>
      <c r="AA453" t="s">
        <v>91</v>
      </c>
      <c r="AB453" t="s">
        <v>92</v>
      </c>
      <c r="AC453" t="s">
        <v>48</v>
      </c>
      <c r="AD453" t="s">
        <v>144</v>
      </c>
      <c r="AE453" t="s">
        <v>71</v>
      </c>
      <c r="AF453" s="5">
        <f>DATE(YEAR(C453),MONTH(C453),1)</f>
        <v>45839</v>
      </c>
      <c r="AG453">
        <f>E453-D453</f>
        <v>17</v>
      </c>
      <c r="AH453" s="6">
        <f t="shared" si="7"/>
        <v>58.151538986359085</v>
      </c>
    </row>
    <row r="454" spans="1:34">
      <c r="A454" t="s">
        <v>1021</v>
      </c>
      <c r="B454" t="s">
        <v>1022</v>
      </c>
      <c r="C454" s="1">
        <v>45716</v>
      </c>
      <c r="D454" s="1">
        <v>45719</v>
      </c>
      <c r="E454" s="1">
        <v>45733</v>
      </c>
      <c r="F454" t="s">
        <v>53</v>
      </c>
      <c r="G454" t="s">
        <v>54</v>
      </c>
      <c r="H454" t="s">
        <v>55</v>
      </c>
      <c r="I454" t="s">
        <v>40</v>
      </c>
      <c r="J454" t="s">
        <v>122</v>
      </c>
      <c r="K454" t="s">
        <v>123</v>
      </c>
      <c r="L454" t="s">
        <v>127</v>
      </c>
      <c r="M454" t="s">
        <v>68</v>
      </c>
      <c r="N454">
        <v>2</v>
      </c>
      <c r="O454" t="s">
        <v>54</v>
      </c>
      <c r="P454" s="48">
        <v>54848.67</v>
      </c>
      <c r="Q454" s="48">
        <v>12032.59</v>
      </c>
      <c r="R454" s="48">
        <v>3357.19</v>
      </c>
      <c r="S454" s="48">
        <v>921.82</v>
      </c>
      <c r="T454" s="48">
        <v>548.49</v>
      </c>
      <c r="U454" s="48">
        <v>491.61</v>
      </c>
      <c r="V454" s="48">
        <v>2036.9</v>
      </c>
      <c r="W454" s="48">
        <v>35460.07</v>
      </c>
      <c r="X454">
        <v>36</v>
      </c>
      <c r="Y454" t="s">
        <v>90</v>
      </c>
      <c r="Z454">
        <v>100.27</v>
      </c>
      <c r="AA454" t="s">
        <v>91</v>
      </c>
      <c r="AB454" t="s">
        <v>92</v>
      </c>
      <c r="AC454" t="s">
        <v>70</v>
      </c>
      <c r="AD454" t="s">
        <v>144</v>
      </c>
      <c r="AE454" t="s">
        <v>102</v>
      </c>
      <c r="AF454" s="5">
        <f>DATE(YEAR(C454),MONTH(C454),1)</f>
        <v>45689</v>
      </c>
      <c r="AG454">
        <f>E454-D454</f>
        <v>14</v>
      </c>
      <c r="AH454" s="6">
        <f t="shared" si="7"/>
        <v>64.650738112701731</v>
      </c>
    </row>
    <row r="455" spans="1:34">
      <c r="A455" t="s">
        <v>1023</v>
      </c>
      <c r="B455" t="s">
        <v>1024</v>
      </c>
      <c r="C455" s="1">
        <v>45843</v>
      </c>
      <c r="D455" s="1">
        <v>45844</v>
      </c>
      <c r="E455" s="1">
        <v>45856</v>
      </c>
      <c r="F455" t="s">
        <v>53</v>
      </c>
      <c r="G455" t="s">
        <v>54</v>
      </c>
      <c r="H455" t="s">
        <v>55</v>
      </c>
      <c r="I455" t="s">
        <v>40</v>
      </c>
      <c r="J455" t="s">
        <v>122</v>
      </c>
      <c r="K455" t="s">
        <v>123</v>
      </c>
      <c r="L455" t="s">
        <v>42</v>
      </c>
      <c r="M455" t="s">
        <v>43</v>
      </c>
      <c r="N455">
        <v>2</v>
      </c>
      <c r="O455" t="s">
        <v>69</v>
      </c>
      <c r="P455" s="48">
        <v>43873.17</v>
      </c>
      <c r="Q455" s="48">
        <v>12019</v>
      </c>
      <c r="R455" s="48">
        <v>3133.61</v>
      </c>
      <c r="S455" s="48">
        <v>1077.6099999999999</v>
      </c>
      <c r="T455" s="48">
        <v>438.73</v>
      </c>
      <c r="U455" s="48">
        <v>368.05</v>
      </c>
      <c r="V455" s="48">
        <v>720.8</v>
      </c>
      <c r="W455" s="48">
        <v>26115.37</v>
      </c>
      <c r="X455">
        <v>24</v>
      </c>
      <c r="Y455" t="s">
        <v>135</v>
      </c>
      <c r="Z455">
        <v>100.16</v>
      </c>
      <c r="AA455" t="s">
        <v>91</v>
      </c>
      <c r="AB455" t="s">
        <v>47</v>
      </c>
      <c r="AC455" t="s">
        <v>48</v>
      </c>
      <c r="AD455" t="s">
        <v>130</v>
      </c>
      <c r="AE455" t="s">
        <v>50</v>
      </c>
      <c r="AF455" s="5">
        <f>DATE(YEAR(C455),MONTH(C455),1)</f>
        <v>45839</v>
      </c>
      <c r="AG455">
        <f>E455-D455</f>
        <v>12</v>
      </c>
      <c r="AH455" s="6">
        <f t="shared" si="7"/>
        <v>59.52469356556638</v>
      </c>
    </row>
    <row r="456" spans="1:34">
      <c r="A456" t="s">
        <v>1025</v>
      </c>
      <c r="B456" t="s">
        <v>1026</v>
      </c>
      <c r="C456" s="1">
        <v>45669</v>
      </c>
      <c r="D456" s="1">
        <v>45673</v>
      </c>
      <c r="E456" s="1">
        <v>45701</v>
      </c>
      <c r="F456" t="s">
        <v>65</v>
      </c>
      <c r="G456" t="s">
        <v>66</v>
      </c>
      <c r="H456" t="s">
        <v>67</v>
      </c>
      <c r="I456" t="s">
        <v>40</v>
      </c>
      <c r="J456" t="s">
        <v>77</v>
      </c>
      <c r="K456" t="s">
        <v>41</v>
      </c>
      <c r="L456" t="s">
        <v>78</v>
      </c>
      <c r="M456" t="s">
        <v>68</v>
      </c>
      <c r="N456">
        <v>2</v>
      </c>
      <c r="O456" t="s">
        <v>69</v>
      </c>
      <c r="P456" s="48">
        <v>58213.62</v>
      </c>
      <c r="Q456" s="48">
        <v>11992.08</v>
      </c>
      <c r="R456" s="48">
        <v>2447.23</v>
      </c>
      <c r="S456" s="48">
        <v>1410.61</v>
      </c>
      <c r="T456" s="48">
        <v>582.14</v>
      </c>
      <c r="U456" s="48">
        <v>875.39</v>
      </c>
      <c r="V456" s="48">
        <v>2408.58</v>
      </c>
      <c r="W456" s="48">
        <v>38497.589999999997</v>
      </c>
      <c r="X456">
        <v>24</v>
      </c>
      <c r="Y456" t="s">
        <v>117</v>
      </c>
      <c r="Z456">
        <v>99.93</v>
      </c>
      <c r="AA456" t="s">
        <v>91</v>
      </c>
      <c r="AB456" t="s">
        <v>47</v>
      </c>
      <c r="AC456" t="s">
        <v>48</v>
      </c>
      <c r="AD456" t="s">
        <v>49</v>
      </c>
      <c r="AE456" t="s">
        <v>62</v>
      </c>
      <c r="AF456" s="5">
        <f>DATE(YEAR(C456),MONTH(C456),1)</f>
        <v>45658</v>
      </c>
      <c r="AG456">
        <f>E456-D456</f>
        <v>28</v>
      </c>
      <c r="AH456" s="6">
        <f t="shared" si="7"/>
        <v>66.131585701078194</v>
      </c>
    </row>
    <row r="457" spans="1:34">
      <c r="A457" t="s">
        <v>1027</v>
      </c>
      <c r="B457" t="s">
        <v>1028</v>
      </c>
      <c r="C457" s="1">
        <v>45690</v>
      </c>
      <c r="D457" s="1">
        <v>45693</v>
      </c>
      <c r="E457" s="1">
        <v>45710</v>
      </c>
      <c r="F457" t="s">
        <v>65</v>
      </c>
      <c r="G457" t="s">
        <v>66</v>
      </c>
      <c r="H457" t="s">
        <v>67</v>
      </c>
      <c r="I457" t="s">
        <v>57</v>
      </c>
      <c r="J457" t="s">
        <v>98</v>
      </c>
      <c r="K457" t="s">
        <v>99</v>
      </c>
      <c r="L457" t="s">
        <v>116</v>
      </c>
      <c r="M457" t="s">
        <v>43</v>
      </c>
      <c r="N457">
        <v>2</v>
      </c>
      <c r="O457" t="s">
        <v>44</v>
      </c>
      <c r="P457" s="48">
        <v>59619.05</v>
      </c>
      <c r="Q457" s="48">
        <v>11984.39</v>
      </c>
      <c r="R457" s="48">
        <v>3798.56</v>
      </c>
      <c r="S457" s="48">
        <v>754.34</v>
      </c>
      <c r="T457" s="48">
        <v>596.19000000000005</v>
      </c>
      <c r="U457" s="48">
        <v>300.43</v>
      </c>
      <c r="V457" s="48">
        <v>1280.8399999999999</v>
      </c>
      <c r="W457" s="48">
        <v>40904.300000000003</v>
      </c>
      <c r="X457">
        <v>36</v>
      </c>
      <c r="Y457" t="s">
        <v>135</v>
      </c>
      <c r="Z457">
        <v>99.87</v>
      </c>
      <c r="AA457" t="s">
        <v>91</v>
      </c>
      <c r="AB457" t="s">
        <v>92</v>
      </c>
      <c r="AC457" t="s">
        <v>60</v>
      </c>
      <c r="AD457" t="s">
        <v>144</v>
      </c>
      <c r="AE457" t="s">
        <v>102</v>
      </c>
      <c r="AF457" s="5">
        <f>DATE(YEAR(C457),MONTH(C457),1)</f>
        <v>45689</v>
      </c>
      <c r="AG457">
        <f>E457-D457</f>
        <v>17</v>
      </c>
      <c r="AH457" s="6">
        <f t="shared" si="7"/>
        <v>68.609446141795289</v>
      </c>
    </row>
    <row r="458" spans="1:34">
      <c r="A458" t="s">
        <v>1029</v>
      </c>
      <c r="B458" t="s">
        <v>1030</v>
      </c>
      <c r="C458" s="1">
        <v>45689</v>
      </c>
      <c r="D458" s="1">
        <v>45692</v>
      </c>
      <c r="E458" s="1">
        <v>45708</v>
      </c>
      <c r="F458" t="s">
        <v>234</v>
      </c>
      <c r="G458" t="s">
        <v>111</v>
      </c>
      <c r="H458" t="s">
        <v>150</v>
      </c>
      <c r="I458" t="s">
        <v>39</v>
      </c>
      <c r="J458" t="s">
        <v>57</v>
      </c>
      <c r="K458" t="s">
        <v>41</v>
      </c>
      <c r="L458" t="s">
        <v>127</v>
      </c>
      <c r="M458" t="s">
        <v>68</v>
      </c>
      <c r="N458">
        <v>4</v>
      </c>
      <c r="O458" t="s">
        <v>89</v>
      </c>
      <c r="P458" s="48">
        <v>47926.87</v>
      </c>
      <c r="Q458" s="48">
        <v>11974.52</v>
      </c>
      <c r="R458" s="48">
        <v>2307.86</v>
      </c>
      <c r="S458" s="48">
        <v>957.21</v>
      </c>
      <c r="T458" s="48">
        <v>479.27</v>
      </c>
      <c r="U458" s="48">
        <v>575.91999999999996</v>
      </c>
      <c r="V458" s="48">
        <v>2485.08</v>
      </c>
      <c r="W458" s="48">
        <v>29147.01</v>
      </c>
      <c r="X458">
        <v>24</v>
      </c>
      <c r="Y458" t="s">
        <v>135</v>
      </c>
      <c r="Z458">
        <v>99.79</v>
      </c>
      <c r="AA458" t="s">
        <v>91</v>
      </c>
      <c r="AB458" t="s">
        <v>47</v>
      </c>
      <c r="AC458" t="s">
        <v>70</v>
      </c>
      <c r="AD458" t="s">
        <v>49</v>
      </c>
      <c r="AE458" t="s">
        <v>50</v>
      </c>
      <c r="AF458" s="5">
        <f>DATE(YEAR(C458),MONTH(C458),1)</f>
        <v>45689</v>
      </c>
      <c r="AG458">
        <f>E458-D458</f>
        <v>16</v>
      </c>
      <c r="AH458" s="6">
        <f t="shared" si="7"/>
        <v>60.815592589292812</v>
      </c>
    </row>
    <row r="459" spans="1:34">
      <c r="A459" t="s">
        <v>1031</v>
      </c>
      <c r="B459" t="s">
        <v>1032</v>
      </c>
      <c r="C459" s="1">
        <v>45891</v>
      </c>
      <c r="D459" s="1">
        <v>45893</v>
      </c>
      <c r="E459" s="1">
        <v>45907</v>
      </c>
      <c r="F459" t="s">
        <v>65</v>
      </c>
      <c r="G459" t="s">
        <v>66</v>
      </c>
      <c r="H459" t="s">
        <v>67</v>
      </c>
      <c r="I459" t="s">
        <v>40</v>
      </c>
      <c r="J459" t="s">
        <v>122</v>
      </c>
      <c r="K459" t="s">
        <v>123</v>
      </c>
      <c r="L459" t="s">
        <v>127</v>
      </c>
      <c r="M459" t="s">
        <v>43</v>
      </c>
      <c r="N459">
        <v>2</v>
      </c>
      <c r="O459" t="s">
        <v>44</v>
      </c>
      <c r="P459" s="48">
        <v>70120.02</v>
      </c>
      <c r="Q459" s="48">
        <v>11961.28</v>
      </c>
      <c r="R459" s="48">
        <v>2818.03</v>
      </c>
      <c r="S459" s="48">
        <v>1660.29</v>
      </c>
      <c r="T459" s="48">
        <v>701.2</v>
      </c>
      <c r="U459" s="48">
        <v>632.57000000000005</v>
      </c>
      <c r="V459" s="48">
        <v>1683.8</v>
      </c>
      <c r="W459" s="48">
        <v>50662.85</v>
      </c>
      <c r="X459">
        <v>4</v>
      </c>
      <c r="Y459" t="s">
        <v>117</v>
      </c>
      <c r="Z459">
        <v>99.68</v>
      </c>
      <c r="AA459" t="s">
        <v>91</v>
      </c>
      <c r="AB459" t="s">
        <v>47</v>
      </c>
      <c r="AC459" t="s">
        <v>60</v>
      </c>
      <c r="AD459" t="s">
        <v>49</v>
      </c>
      <c r="AE459" t="s">
        <v>102</v>
      </c>
      <c r="AF459" s="5">
        <f>DATE(YEAR(C459),MONTH(C459),1)</f>
        <v>45870</v>
      </c>
      <c r="AG459">
        <f>E459-D459</f>
        <v>14</v>
      </c>
      <c r="AH459" s="6">
        <f t="shared" si="7"/>
        <v>72.251619437644194</v>
      </c>
    </row>
    <row r="460" spans="1:34">
      <c r="A460" t="s">
        <v>1033</v>
      </c>
      <c r="B460" t="s">
        <v>1034</v>
      </c>
      <c r="C460" s="1">
        <v>45714</v>
      </c>
      <c r="D460" s="1">
        <v>45715</v>
      </c>
      <c r="E460" s="1">
        <v>45733</v>
      </c>
      <c r="F460" t="s">
        <v>74</v>
      </c>
      <c r="G460" t="s">
        <v>75</v>
      </c>
      <c r="H460" t="s">
        <v>76</v>
      </c>
      <c r="I460" t="s">
        <v>115</v>
      </c>
      <c r="J460" t="s">
        <v>98</v>
      </c>
      <c r="K460" t="s">
        <v>99</v>
      </c>
      <c r="L460" t="s">
        <v>127</v>
      </c>
      <c r="M460" t="s">
        <v>108</v>
      </c>
      <c r="N460">
        <v>1</v>
      </c>
      <c r="O460" t="s">
        <v>89</v>
      </c>
      <c r="P460" s="48">
        <v>42239.56</v>
      </c>
      <c r="Q460" s="48">
        <v>11949.01</v>
      </c>
      <c r="R460" s="48">
        <v>3234.39</v>
      </c>
      <c r="S460" s="48">
        <v>557.64</v>
      </c>
      <c r="T460" s="48">
        <v>422.4</v>
      </c>
      <c r="U460" s="48">
        <v>284.73</v>
      </c>
      <c r="V460" s="48">
        <v>960.56</v>
      </c>
      <c r="W460" s="48">
        <v>24830.83</v>
      </c>
      <c r="X460">
        <v>0</v>
      </c>
      <c r="Y460" t="s">
        <v>45</v>
      </c>
      <c r="Z460">
        <v>99.58</v>
      </c>
      <c r="AA460" t="s">
        <v>46</v>
      </c>
      <c r="AB460" t="s">
        <v>47</v>
      </c>
      <c r="AC460" t="s">
        <v>70</v>
      </c>
      <c r="AD460" t="s">
        <v>93</v>
      </c>
      <c r="AE460" t="s">
        <v>71</v>
      </c>
      <c r="AF460" s="5">
        <f>DATE(YEAR(C460),MONTH(C460),1)</f>
        <v>45689</v>
      </c>
      <c r="AG460">
        <f>E460-D460</f>
        <v>18</v>
      </c>
      <c r="AH460" s="6">
        <f t="shared" si="7"/>
        <v>58.78572125277821</v>
      </c>
    </row>
    <row r="461" spans="1:34">
      <c r="A461" t="s">
        <v>1035</v>
      </c>
      <c r="B461" t="s">
        <v>1036</v>
      </c>
      <c r="C461" s="1">
        <v>45984</v>
      </c>
      <c r="D461" s="1">
        <v>45987</v>
      </c>
      <c r="E461" s="1">
        <v>46009</v>
      </c>
      <c r="F461" t="s">
        <v>36</v>
      </c>
      <c r="G461" t="s">
        <v>37</v>
      </c>
      <c r="H461" t="s">
        <v>38</v>
      </c>
      <c r="I461" t="s">
        <v>115</v>
      </c>
      <c r="J461" t="s">
        <v>57</v>
      </c>
      <c r="K461" t="s">
        <v>41</v>
      </c>
      <c r="L461" t="s">
        <v>59</v>
      </c>
      <c r="M461" t="s">
        <v>68</v>
      </c>
      <c r="N461">
        <v>2</v>
      </c>
      <c r="O461" t="s">
        <v>111</v>
      </c>
      <c r="P461" s="48">
        <v>53574.33</v>
      </c>
      <c r="Q461" s="48">
        <v>11937.17</v>
      </c>
      <c r="R461" s="48">
        <v>3391.5</v>
      </c>
      <c r="S461" s="48">
        <v>1094.27</v>
      </c>
      <c r="T461" s="48">
        <v>535.74</v>
      </c>
      <c r="U461" s="48">
        <v>231.18</v>
      </c>
      <c r="V461" s="48">
        <v>375.25</v>
      </c>
      <c r="W461" s="48">
        <v>36009.22</v>
      </c>
      <c r="X461">
        <v>4</v>
      </c>
      <c r="Y461" t="s">
        <v>112</v>
      </c>
      <c r="Z461">
        <v>99.48</v>
      </c>
      <c r="AA461" t="s">
        <v>91</v>
      </c>
      <c r="AB461" t="s">
        <v>92</v>
      </c>
      <c r="AC461" t="s">
        <v>48</v>
      </c>
      <c r="AD461" t="s">
        <v>130</v>
      </c>
      <c r="AE461" t="s">
        <v>50</v>
      </c>
      <c r="AF461" s="5">
        <f>DATE(YEAR(C461),MONTH(C461),1)</f>
        <v>45962</v>
      </c>
      <c r="AG461">
        <f>E461-D461</f>
        <v>22</v>
      </c>
      <c r="AH461" s="6">
        <f t="shared" si="7"/>
        <v>67.2135703796949</v>
      </c>
    </row>
    <row r="462" spans="1:34">
      <c r="A462" t="s">
        <v>1037</v>
      </c>
      <c r="B462" t="s">
        <v>1038</v>
      </c>
      <c r="C462" s="1">
        <v>45758</v>
      </c>
      <c r="D462" s="1">
        <v>45759</v>
      </c>
      <c r="E462" s="1">
        <v>45785</v>
      </c>
      <c r="F462" t="s">
        <v>74</v>
      </c>
      <c r="G462" t="s">
        <v>75</v>
      </c>
      <c r="H462" t="s">
        <v>76</v>
      </c>
      <c r="I462" t="s">
        <v>39</v>
      </c>
      <c r="J462" t="s">
        <v>122</v>
      </c>
      <c r="K462" t="s">
        <v>41</v>
      </c>
      <c r="L462" t="s">
        <v>127</v>
      </c>
      <c r="M462" t="s">
        <v>79</v>
      </c>
      <c r="N462">
        <v>4</v>
      </c>
      <c r="O462" t="s">
        <v>69</v>
      </c>
      <c r="P462" s="48">
        <v>43375.22</v>
      </c>
      <c r="Q462" s="48">
        <v>11917.7</v>
      </c>
      <c r="R462" s="48">
        <v>1849.07</v>
      </c>
      <c r="S462" s="48">
        <v>877.22</v>
      </c>
      <c r="T462" s="48">
        <v>433.75</v>
      </c>
      <c r="U462" s="48">
        <v>682.92</v>
      </c>
      <c r="V462" s="48">
        <v>1904.88</v>
      </c>
      <c r="W462" s="48">
        <v>25709.68</v>
      </c>
      <c r="X462">
        <v>24</v>
      </c>
      <c r="Y462" t="s">
        <v>112</v>
      </c>
      <c r="Z462">
        <v>99.31</v>
      </c>
      <c r="AA462" t="s">
        <v>91</v>
      </c>
      <c r="AB462" t="s">
        <v>47</v>
      </c>
      <c r="AC462" t="s">
        <v>60</v>
      </c>
      <c r="AD462" t="s">
        <v>93</v>
      </c>
      <c r="AE462" t="s">
        <v>62</v>
      </c>
      <c r="AF462" s="5">
        <f>DATE(YEAR(C462),MONTH(C462),1)</f>
        <v>45748</v>
      </c>
      <c r="AG462">
        <f>E462-D462</f>
        <v>26</v>
      </c>
      <c r="AH462" s="6">
        <f t="shared" si="7"/>
        <v>59.2727368299227</v>
      </c>
    </row>
    <row r="463" spans="1:34">
      <c r="A463" t="s">
        <v>1039</v>
      </c>
      <c r="B463" t="s">
        <v>1040</v>
      </c>
      <c r="C463" s="1">
        <v>45773</v>
      </c>
      <c r="D463" s="1">
        <v>45776</v>
      </c>
      <c r="E463" s="1">
        <v>45792</v>
      </c>
      <c r="F463" t="s">
        <v>153</v>
      </c>
      <c r="G463" t="s">
        <v>75</v>
      </c>
      <c r="H463" t="s">
        <v>154</v>
      </c>
      <c r="I463" t="s">
        <v>56</v>
      </c>
      <c r="J463" t="s">
        <v>57</v>
      </c>
      <c r="K463" t="s">
        <v>58</v>
      </c>
      <c r="L463" t="s">
        <v>42</v>
      </c>
      <c r="M463" t="s">
        <v>68</v>
      </c>
      <c r="N463">
        <v>2</v>
      </c>
      <c r="O463" t="s">
        <v>89</v>
      </c>
      <c r="P463" s="48">
        <v>41548.730000000003</v>
      </c>
      <c r="Q463" s="48">
        <v>11902.47</v>
      </c>
      <c r="R463" s="48">
        <v>2179.94</v>
      </c>
      <c r="S463" s="48">
        <v>515.34</v>
      </c>
      <c r="T463" s="48">
        <v>415.49</v>
      </c>
      <c r="U463" s="48">
        <v>490.72</v>
      </c>
      <c r="V463" s="48">
        <v>1945.52</v>
      </c>
      <c r="W463" s="48">
        <v>24099.25</v>
      </c>
      <c r="X463">
        <v>0</v>
      </c>
      <c r="Y463" t="s">
        <v>45</v>
      </c>
      <c r="Z463">
        <v>99.19</v>
      </c>
      <c r="AA463" t="s">
        <v>46</v>
      </c>
      <c r="AB463" t="s">
        <v>47</v>
      </c>
      <c r="AC463" t="s">
        <v>48</v>
      </c>
      <c r="AD463" t="s">
        <v>144</v>
      </c>
      <c r="AE463" t="s">
        <v>62</v>
      </c>
      <c r="AF463" s="5">
        <f>DATE(YEAR(C463),MONTH(C463),1)</f>
        <v>45748</v>
      </c>
      <c r="AG463">
        <f>E463-D463</f>
        <v>16</v>
      </c>
      <c r="AH463" s="6">
        <f t="shared" si="7"/>
        <v>58.002374561147832</v>
      </c>
    </row>
    <row r="464" spans="1:34">
      <c r="A464" t="s">
        <v>1041</v>
      </c>
      <c r="B464" t="s">
        <v>1042</v>
      </c>
      <c r="C464" s="1">
        <v>45734</v>
      </c>
      <c r="D464" s="1">
        <v>45736</v>
      </c>
      <c r="E464" s="1">
        <v>45753</v>
      </c>
      <c r="F464" t="s">
        <v>149</v>
      </c>
      <c r="G464" t="s">
        <v>111</v>
      </c>
      <c r="H464" t="s">
        <v>150</v>
      </c>
      <c r="I464" t="s">
        <v>98</v>
      </c>
      <c r="J464" t="s">
        <v>77</v>
      </c>
      <c r="K464" t="s">
        <v>41</v>
      </c>
      <c r="L464" t="s">
        <v>59</v>
      </c>
      <c r="M464" t="s">
        <v>108</v>
      </c>
      <c r="N464">
        <v>2</v>
      </c>
      <c r="O464" t="s">
        <v>89</v>
      </c>
      <c r="P464" s="48">
        <v>45921.33</v>
      </c>
      <c r="Q464" s="48">
        <v>11877.18</v>
      </c>
      <c r="R464" s="48">
        <v>3302.68</v>
      </c>
      <c r="S464" s="48">
        <v>954.28</v>
      </c>
      <c r="T464" s="48">
        <v>459.21</v>
      </c>
      <c r="U464" s="48">
        <v>806.25</v>
      </c>
      <c r="V464" s="48">
        <v>496.37</v>
      </c>
      <c r="W464" s="48">
        <v>28025.360000000001</v>
      </c>
      <c r="X464">
        <v>12</v>
      </c>
      <c r="Y464" t="s">
        <v>101</v>
      </c>
      <c r="Z464">
        <v>98.98</v>
      </c>
      <c r="AA464" t="s">
        <v>91</v>
      </c>
      <c r="AB464" t="s">
        <v>92</v>
      </c>
      <c r="AC464" t="s">
        <v>48</v>
      </c>
      <c r="AD464" t="s">
        <v>61</v>
      </c>
      <c r="AE464" t="s">
        <v>50</v>
      </c>
      <c r="AF464" s="5">
        <f>DATE(YEAR(C464),MONTH(C464),1)</f>
        <v>45717</v>
      </c>
      <c r="AG464">
        <f>E464-D464</f>
        <v>17</v>
      </c>
      <c r="AH464" s="6">
        <f t="shared" si="7"/>
        <v>61.02906862671442</v>
      </c>
    </row>
    <row r="465" spans="1:34">
      <c r="A465" t="s">
        <v>1043</v>
      </c>
      <c r="B465" t="s">
        <v>1044</v>
      </c>
      <c r="C465" s="1">
        <v>45961</v>
      </c>
      <c r="D465" s="1">
        <v>45963</v>
      </c>
      <c r="E465" s="1">
        <v>45989</v>
      </c>
      <c r="F465" t="s">
        <v>149</v>
      </c>
      <c r="G465" t="s">
        <v>111</v>
      </c>
      <c r="H465" t="s">
        <v>150</v>
      </c>
      <c r="I465" t="s">
        <v>57</v>
      </c>
      <c r="J465" t="s">
        <v>98</v>
      </c>
      <c r="K465" t="s">
        <v>99</v>
      </c>
      <c r="L465" t="s">
        <v>42</v>
      </c>
      <c r="M465" t="s">
        <v>79</v>
      </c>
      <c r="N465">
        <v>4</v>
      </c>
      <c r="O465" t="s">
        <v>69</v>
      </c>
      <c r="P465" s="48">
        <v>42084.32</v>
      </c>
      <c r="Q465" s="48">
        <v>11869.12</v>
      </c>
      <c r="R465" s="48">
        <v>2698.8</v>
      </c>
      <c r="S465" s="48">
        <v>760.01</v>
      </c>
      <c r="T465" s="48">
        <v>420.84</v>
      </c>
      <c r="U465" s="48">
        <v>521.58000000000004</v>
      </c>
      <c r="V465" s="48">
        <v>2204.6799999999998</v>
      </c>
      <c r="W465" s="48">
        <v>23609.29</v>
      </c>
      <c r="X465">
        <v>48</v>
      </c>
      <c r="Y465" t="s">
        <v>112</v>
      </c>
      <c r="Z465">
        <v>98.91</v>
      </c>
      <c r="AA465" t="s">
        <v>91</v>
      </c>
      <c r="AB465" t="s">
        <v>92</v>
      </c>
      <c r="AC465" t="s">
        <v>60</v>
      </c>
      <c r="AD465" t="s">
        <v>93</v>
      </c>
      <c r="AE465" t="s">
        <v>50</v>
      </c>
      <c r="AF465" s="5">
        <f>DATE(YEAR(C465),MONTH(C465),1)</f>
        <v>45931</v>
      </c>
      <c r="AG465">
        <f>E465-D465</f>
        <v>26</v>
      </c>
      <c r="AH465" s="6">
        <f t="shared" si="7"/>
        <v>56.099967874020543</v>
      </c>
    </row>
    <row r="466" spans="1:34">
      <c r="A466" t="s">
        <v>1045</v>
      </c>
      <c r="B466" t="s">
        <v>1046</v>
      </c>
      <c r="C466" s="1">
        <v>45760</v>
      </c>
      <c r="D466" s="1">
        <v>45762</v>
      </c>
      <c r="E466" s="1">
        <v>45783</v>
      </c>
      <c r="F466" t="s">
        <v>120</v>
      </c>
      <c r="G466" t="s">
        <v>75</v>
      </c>
      <c r="H466" t="s">
        <v>121</v>
      </c>
      <c r="I466" t="s">
        <v>86</v>
      </c>
      <c r="J466" t="s">
        <v>40</v>
      </c>
      <c r="K466" t="s">
        <v>41</v>
      </c>
      <c r="L466" t="s">
        <v>42</v>
      </c>
      <c r="M466" t="s">
        <v>68</v>
      </c>
      <c r="N466">
        <v>2</v>
      </c>
      <c r="O466" t="s">
        <v>44</v>
      </c>
      <c r="P466" s="48">
        <v>51758.69</v>
      </c>
      <c r="Q466" s="48">
        <v>11843.85</v>
      </c>
      <c r="R466" s="48">
        <v>2936.27</v>
      </c>
      <c r="S466" s="48">
        <v>561.66</v>
      </c>
      <c r="T466" s="48">
        <v>517.59</v>
      </c>
      <c r="U466" s="48">
        <v>619.66999999999996</v>
      </c>
      <c r="V466" s="48">
        <v>2480.87</v>
      </c>
      <c r="W466" s="48">
        <v>32798.78</v>
      </c>
      <c r="X466">
        <v>48</v>
      </c>
      <c r="Y466" t="s">
        <v>90</v>
      </c>
      <c r="Z466">
        <v>98.7</v>
      </c>
      <c r="AA466" t="s">
        <v>91</v>
      </c>
      <c r="AB466" t="s">
        <v>47</v>
      </c>
      <c r="AC466" t="s">
        <v>48</v>
      </c>
      <c r="AD466" t="s">
        <v>61</v>
      </c>
      <c r="AE466" t="s">
        <v>62</v>
      </c>
      <c r="AF466" s="5">
        <f>DATE(YEAR(C466),MONTH(C466),1)</f>
        <v>45748</v>
      </c>
      <c r="AG466">
        <f>E466-D466</f>
        <v>21</v>
      </c>
      <c r="AH466" s="6">
        <f t="shared" si="7"/>
        <v>63.368643990023699</v>
      </c>
    </row>
    <row r="467" spans="1:34">
      <c r="A467" t="s">
        <v>1047</v>
      </c>
      <c r="B467" t="s">
        <v>1048</v>
      </c>
      <c r="C467" s="1">
        <v>45664</v>
      </c>
      <c r="D467" s="1">
        <v>45665</v>
      </c>
      <c r="E467" s="1">
        <v>45678</v>
      </c>
      <c r="F467" t="s">
        <v>120</v>
      </c>
      <c r="G467" t="s">
        <v>75</v>
      </c>
      <c r="H467" t="s">
        <v>121</v>
      </c>
      <c r="I467" t="s">
        <v>56</v>
      </c>
      <c r="J467" t="s">
        <v>57</v>
      </c>
      <c r="K467" t="s">
        <v>58</v>
      </c>
      <c r="L467" t="s">
        <v>155</v>
      </c>
      <c r="M467" t="s">
        <v>79</v>
      </c>
      <c r="N467">
        <v>2</v>
      </c>
      <c r="O467" t="s">
        <v>80</v>
      </c>
      <c r="P467" s="48">
        <v>48534.64</v>
      </c>
      <c r="Q467" s="48">
        <v>11816</v>
      </c>
      <c r="R467" s="48">
        <v>3113.56</v>
      </c>
      <c r="S467" s="48">
        <v>548.13</v>
      </c>
      <c r="T467" s="48">
        <v>485.35</v>
      </c>
      <c r="U467" s="48">
        <v>492.61</v>
      </c>
      <c r="V467" s="48">
        <v>1179.44</v>
      </c>
      <c r="W467" s="48">
        <v>30899.55</v>
      </c>
      <c r="X467">
        <v>0</v>
      </c>
      <c r="Y467" t="s">
        <v>45</v>
      </c>
      <c r="Z467">
        <v>98.47</v>
      </c>
      <c r="AA467" t="s">
        <v>46</v>
      </c>
      <c r="AB467" t="s">
        <v>47</v>
      </c>
      <c r="AC467" t="s">
        <v>70</v>
      </c>
      <c r="AD467" t="s">
        <v>49</v>
      </c>
      <c r="AE467" t="s">
        <v>102</v>
      </c>
      <c r="AF467" s="5">
        <f>DATE(YEAR(C467),MONTH(C467),1)</f>
        <v>45658</v>
      </c>
      <c r="AG467">
        <f>E467-D467</f>
        <v>13</v>
      </c>
      <c r="AH467" s="6">
        <f t="shared" si="7"/>
        <v>63.664941163671962</v>
      </c>
    </row>
    <row r="468" spans="1:34">
      <c r="A468" t="s">
        <v>1049</v>
      </c>
      <c r="B468" t="s">
        <v>1050</v>
      </c>
      <c r="C468" s="1">
        <v>45991</v>
      </c>
      <c r="D468" s="1">
        <v>45993</v>
      </c>
      <c r="E468" s="1">
        <v>46017</v>
      </c>
      <c r="F468" t="s">
        <v>36</v>
      </c>
      <c r="G468" t="s">
        <v>37</v>
      </c>
      <c r="H468" t="s">
        <v>38</v>
      </c>
      <c r="I468" t="s">
        <v>56</v>
      </c>
      <c r="J468" t="s">
        <v>57</v>
      </c>
      <c r="K468" t="s">
        <v>58</v>
      </c>
      <c r="L468" t="s">
        <v>42</v>
      </c>
      <c r="M468" t="s">
        <v>79</v>
      </c>
      <c r="N468">
        <v>2</v>
      </c>
      <c r="O468" t="s">
        <v>111</v>
      </c>
      <c r="P468" s="48">
        <v>48197.08</v>
      </c>
      <c r="Q468" s="48">
        <v>11803.4</v>
      </c>
      <c r="R468" s="48">
        <v>3446.04</v>
      </c>
      <c r="S468" s="48">
        <v>1340.48</v>
      </c>
      <c r="T468" s="48">
        <v>481.97</v>
      </c>
      <c r="U468" s="48">
        <v>596.23</v>
      </c>
      <c r="V468" s="48">
        <v>1336.89</v>
      </c>
      <c r="W468" s="48">
        <v>29192.07</v>
      </c>
      <c r="X468">
        <v>0</v>
      </c>
      <c r="Y468" t="s">
        <v>45</v>
      </c>
      <c r="Z468">
        <v>98.36</v>
      </c>
      <c r="AA468" t="s">
        <v>46</v>
      </c>
      <c r="AB468" t="s">
        <v>47</v>
      </c>
      <c r="AC468" t="s">
        <v>48</v>
      </c>
      <c r="AD468" t="s">
        <v>61</v>
      </c>
      <c r="AE468" t="s">
        <v>62</v>
      </c>
      <c r="AF468" s="5">
        <f>DATE(YEAR(C468),MONTH(C468),1)</f>
        <v>45962</v>
      </c>
      <c r="AG468">
        <f>E468-D468</f>
        <v>24</v>
      </c>
      <c r="AH468" s="6">
        <f t="shared" si="7"/>
        <v>60.568129853509802</v>
      </c>
    </row>
    <row r="469" spans="1:34">
      <c r="A469" t="s">
        <v>1051</v>
      </c>
      <c r="B469" t="s">
        <v>1052</v>
      </c>
      <c r="C469" s="1">
        <v>45694</v>
      </c>
      <c r="D469" s="1">
        <v>45696</v>
      </c>
      <c r="E469" s="1">
        <v>45724</v>
      </c>
      <c r="F469" t="s">
        <v>120</v>
      </c>
      <c r="G469" t="s">
        <v>75</v>
      </c>
      <c r="H469" t="s">
        <v>121</v>
      </c>
      <c r="I469" t="s">
        <v>56</v>
      </c>
      <c r="J469" t="s">
        <v>57</v>
      </c>
      <c r="K469" t="s">
        <v>58</v>
      </c>
      <c r="L469" t="s">
        <v>59</v>
      </c>
      <c r="M469" t="s">
        <v>68</v>
      </c>
      <c r="N469">
        <v>2</v>
      </c>
      <c r="O469" t="s">
        <v>80</v>
      </c>
      <c r="P469" s="48">
        <v>42220.47</v>
      </c>
      <c r="Q469" s="48">
        <v>11770.04</v>
      </c>
      <c r="R469" s="48">
        <v>3097.33</v>
      </c>
      <c r="S469" s="48">
        <v>684.16</v>
      </c>
      <c r="T469" s="48">
        <v>422.2</v>
      </c>
      <c r="U469" s="48">
        <v>151.53</v>
      </c>
      <c r="V469" s="48">
        <v>1538.24</v>
      </c>
      <c r="W469" s="48">
        <v>24556.97</v>
      </c>
      <c r="X469">
        <v>36</v>
      </c>
      <c r="Y469" t="s">
        <v>90</v>
      </c>
      <c r="Z469">
        <v>98.08</v>
      </c>
      <c r="AA469" t="s">
        <v>91</v>
      </c>
      <c r="AB469" t="s">
        <v>92</v>
      </c>
      <c r="AC469" t="s">
        <v>48</v>
      </c>
      <c r="AD469" t="s">
        <v>61</v>
      </c>
      <c r="AE469" t="s">
        <v>102</v>
      </c>
      <c r="AF469" s="5">
        <f>DATE(YEAR(C469),MONTH(C469),1)</f>
        <v>45689</v>
      </c>
      <c r="AG469">
        <f>E469-D469</f>
        <v>28</v>
      </c>
      <c r="AH469" s="6">
        <f t="shared" si="7"/>
        <v>58.16365852867105</v>
      </c>
    </row>
    <row r="470" spans="1:34">
      <c r="A470" t="s">
        <v>1053</v>
      </c>
      <c r="B470" t="s">
        <v>1054</v>
      </c>
      <c r="C470" s="1">
        <v>46017</v>
      </c>
      <c r="D470" s="1">
        <v>46020</v>
      </c>
      <c r="E470" s="1">
        <v>46035</v>
      </c>
      <c r="F470" t="s">
        <v>234</v>
      </c>
      <c r="G470" t="s">
        <v>111</v>
      </c>
      <c r="H470" t="s">
        <v>150</v>
      </c>
      <c r="I470" t="s">
        <v>57</v>
      </c>
      <c r="J470" t="s">
        <v>98</v>
      </c>
      <c r="K470" t="s">
        <v>99</v>
      </c>
      <c r="L470" t="s">
        <v>155</v>
      </c>
      <c r="M470" t="s">
        <v>108</v>
      </c>
      <c r="N470">
        <v>2</v>
      </c>
      <c r="O470" t="s">
        <v>105</v>
      </c>
      <c r="P470" s="48">
        <v>43602.55</v>
      </c>
      <c r="Q470" s="48">
        <v>11704.05</v>
      </c>
      <c r="R470" s="48">
        <v>2841.93</v>
      </c>
      <c r="S470" s="48">
        <v>1003.04</v>
      </c>
      <c r="T470" s="48">
        <v>436.03</v>
      </c>
      <c r="U470" s="48">
        <v>241.91</v>
      </c>
      <c r="V470" s="48">
        <v>2298.71</v>
      </c>
      <c r="W470" s="48">
        <v>25076.880000000001</v>
      </c>
      <c r="X470">
        <v>36</v>
      </c>
      <c r="Y470" t="s">
        <v>135</v>
      </c>
      <c r="Z470">
        <v>97.53</v>
      </c>
      <c r="AA470" t="s">
        <v>91</v>
      </c>
      <c r="AB470" t="s">
        <v>47</v>
      </c>
      <c r="AC470" t="s">
        <v>70</v>
      </c>
      <c r="AD470" t="s">
        <v>49</v>
      </c>
      <c r="AE470" t="s">
        <v>71</v>
      </c>
      <c r="AF470" s="5">
        <f>DATE(YEAR(C470),MONTH(C470),1)</f>
        <v>45992</v>
      </c>
      <c r="AG470">
        <f>E470-D470</f>
        <v>15</v>
      </c>
      <c r="AH470" s="6">
        <f t="shared" si="7"/>
        <v>57.512416131625329</v>
      </c>
    </row>
    <row r="471" spans="1:34">
      <c r="A471" t="s">
        <v>1055</v>
      </c>
      <c r="B471" t="s">
        <v>1056</v>
      </c>
      <c r="C471" s="1">
        <v>46000</v>
      </c>
      <c r="D471" s="1">
        <v>46002</v>
      </c>
      <c r="E471" s="1">
        <v>46014</v>
      </c>
      <c r="F471" t="s">
        <v>96</v>
      </c>
      <c r="G471" t="s">
        <v>97</v>
      </c>
      <c r="H471" t="s">
        <v>76</v>
      </c>
      <c r="I471" t="s">
        <v>115</v>
      </c>
      <c r="J471" t="s">
        <v>86</v>
      </c>
      <c r="K471" t="s">
        <v>41</v>
      </c>
      <c r="L471" t="s">
        <v>42</v>
      </c>
      <c r="M471" t="s">
        <v>68</v>
      </c>
      <c r="N471">
        <v>1</v>
      </c>
      <c r="O471" t="s">
        <v>89</v>
      </c>
      <c r="P471" s="48">
        <v>42360.94</v>
      </c>
      <c r="Q471" s="48">
        <v>11671.6</v>
      </c>
      <c r="R471" s="48">
        <v>2932.56</v>
      </c>
      <c r="S471" s="48">
        <v>530.21</v>
      </c>
      <c r="T471" s="48">
        <v>423.61</v>
      </c>
      <c r="U471" s="48">
        <v>567.03</v>
      </c>
      <c r="V471" s="48">
        <v>2108.06</v>
      </c>
      <c r="W471" s="48">
        <v>24127.87</v>
      </c>
      <c r="X471">
        <v>48</v>
      </c>
      <c r="Y471" t="s">
        <v>117</v>
      </c>
      <c r="Z471">
        <v>97.26</v>
      </c>
      <c r="AA471" t="s">
        <v>91</v>
      </c>
      <c r="AB471" t="s">
        <v>47</v>
      </c>
      <c r="AC471" t="s">
        <v>48</v>
      </c>
      <c r="AD471" t="s">
        <v>93</v>
      </c>
      <c r="AE471" t="s">
        <v>71</v>
      </c>
      <c r="AF471" s="5">
        <f>DATE(YEAR(C471),MONTH(C471),1)</f>
        <v>45992</v>
      </c>
      <c r="AG471">
        <f>E471-D471</f>
        <v>12</v>
      </c>
      <c r="AH471" s="6">
        <f t="shared" si="7"/>
        <v>56.957824826361261</v>
      </c>
    </row>
    <row r="472" spans="1:34">
      <c r="A472" t="s">
        <v>1057</v>
      </c>
      <c r="B472" t="s">
        <v>1058</v>
      </c>
      <c r="C472" s="1">
        <v>45932</v>
      </c>
      <c r="D472" s="1">
        <v>45933</v>
      </c>
      <c r="E472" s="1">
        <v>45943</v>
      </c>
      <c r="F472" t="s">
        <v>83</v>
      </c>
      <c r="G472" t="s">
        <v>84</v>
      </c>
      <c r="H472" t="s">
        <v>85</v>
      </c>
      <c r="I472" t="s">
        <v>57</v>
      </c>
      <c r="J472" t="s">
        <v>98</v>
      </c>
      <c r="K472" t="s">
        <v>99</v>
      </c>
      <c r="L472" t="s">
        <v>124</v>
      </c>
      <c r="M472" t="s">
        <v>79</v>
      </c>
      <c r="N472">
        <v>2</v>
      </c>
      <c r="O472" t="s">
        <v>111</v>
      </c>
      <c r="P472" s="48">
        <v>67808.710000000006</v>
      </c>
      <c r="Q472" s="48">
        <v>11637.45</v>
      </c>
      <c r="R472" s="48">
        <v>5234.76</v>
      </c>
      <c r="S472" s="48">
        <v>1341.75</v>
      </c>
      <c r="T472" s="48">
        <v>678.09</v>
      </c>
      <c r="U472" s="48">
        <v>897.53</v>
      </c>
      <c r="V472" s="48">
        <v>1737.85</v>
      </c>
      <c r="W472" s="48">
        <v>46281.279999999999</v>
      </c>
      <c r="X472">
        <v>0</v>
      </c>
      <c r="Y472" t="s">
        <v>45</v>
      </c>
      <c r="Z472">
        <v>96.98</v>
      </c>
      <c r="AA472" t="s">
        <v>46</v>
      </c>
      <c r="AB472" t="s">
        <v>47</v>
      </c>
      <c r="AC472" t="s">
        <v>48</v>
      </c>
      <c r="AD472" t="s">
        <v>130</v>
      </c>
      <c r="AE472" t="s">
        <v>62</v>
      </c>
      <c r="AF472" s="5">
        <f>DATE(YEAR(C472),MONTH(C472),1)</f>
        <v>45931</v>
      </c>
      <c r="AG472">
        <f>E472-D472</f>
        <v>10</v>
      </c>
      <c r="AH472" s="6">
        <f t="shared" si="7"/>
        <v>68.252706768791199</v>
      </c>
    </row>
    <row r="473" spans="1:34">
      <c r="A473" t="s">
        <v>1059</v>
      </c>
      <c r="B473" t="s">
        <v>1060</v>
      </c>
      <c r="C473" s="1">
        <v>45931</v>
      </c>
      <c r="D473" s="1">
        <v>45932</v>
      </c>
      <c r="E473" s="1">
        <v>45950</v>
      </c>
      <c r="F473" t="s">
        <v>138</v>
      </c>
      <c r="G473" t="s">
        <v>139</v>
      </c>
      <c r="H473" t="s">
        <v>76</v>
      </c>
      <c r="I473" t="s">
        <v>40</v>
      </c>
      <c r="J473" t="s">
        <v>122</v>
      </c>
      <c r="K473" t="s">
        <v>123</v>
      </c>
      <c r="L473" t="s">
        <v>127</v>
      </c>
      <c r="M473" t="s">
        <v>68</v>
      </c>
      <c r="N473">
        <v>1</v>
      </c>
      <c r="O473" t="s">
        <v>105</v>
      </c>
      <c r="P473" s="48">
        <v>43328.98</v>
      </c>
      <c r="Q473" s="48">
        <v>11605.73</v>
      </c>
      <c r="R473" s="48">
        <v>2288.2800000000002</v>
      </c>
      <c r="S473" s="48">
        <v>580.35</v>
      </c>
      <c r="T473" s="48">
        <v>433.29</v>
      </c>
      <c r="U473" s="48">
        <v>251.23</v>
      </c>
      <c r="V473" s="48">
        <v>669.87</v>
      </c>
      <c r="W473" s="48">
        <v>27500.23</v>
      </c>
      <c r="X473">
        <v>8</v>
      </c>
      <c r="Y473" t="s">
        <v>101</v>
      </c>
      <c r="Z473">
        <v>96.71</v>
      </c>
      <c r="AA473" t="s">
        <v>91</v>
      </c>
      <c r="AB473" t="s">
        <v>92</v>
      </c>
      <c r="AC473" t="s">
        <v>48</v>
      </c>
      <c r="AD473" t="s">
        <v>130</v>
      </c>
      <c r="AE473" t="s">
        <v>102</v>
      </c>
      <c r="AF473" s="5">
        <f>DATE(YEAR(C473),MONTH(C473),1)</f>
        <v>45931</v>
      </c>
      <c r="AG473">
        <f>E473-D473</f>
        <v>18</v>
      </c>
      <c r="AH473" s="6">
        <f t="shared" si="7"/>
        <v>63.468445368434701</v>
      </c>
    </row>
    <row r="474" spans="1:34">
      <c r="A474" t="s">
        <v>1061</v>
      </c>
      <c r="B474" t="s">
        <v>1062</v>
      </c>
      <c r="C474" s="1">
        <v>45855</v>
      </c>
      <c r="D474" s="1">
        <v>45858</v>
      </c>
      <c r="E474" s="1">
        <v>45878</v>
      </c>
      <c r="F474" t="s">
        <v>65</v>
      </c>
      <c r="G474" t="s">
        <v>66</v>
      </c>
      <c r="H474" t="s">
        <v>67</v>
      </c>
      <c r="I474" t="s">
        <v>77</v>
      </c>
      <c r="J474" t="s">
        <v>87</v>
      </c>
      <c r="K474" t="s">
        <v>41</v>
      </c>
      <c r="L474" t="s">
        <v>155</v>
      </c>
      <c r="M474" t="s">
        <v>108</v>
      </c>
      <c r="N474">
        <v>2</v>
      </c>
      <c r="O474" t="s">
        <v>105</v>
      </c>
      <c r="P474" s="48">
        <v>55577.26</v>
      </c>
      <c r="Q474" s="48">
        <v>11589.49</v>
      </c>
      <c r="R474" s="48">
        <v>3038.95</v>
      </c>
      <c r="S474" s="48">
        <v>1608.83</v>
      </c>
      <c r="T474" s="48">
        <v>555.77</v>
      </c>
      <c r="U474" s="48">
        <v>500.79</v>
      </c>
      <c r="V474" s="48">
        <v>1380.21</v>
      </c>
      <c r="W474" s="48">
        <v>36903.22</v>
      </c>
      <c r="X474">
        <v>0</v>
      </c>
      <c r="Y474" t="s">
        <v>45</v>
      </c>
      <c r="Z474">
        <v>96.58</v>
      </c>
      <c r="AA474" t="s">
        <v>46</v>
      </c>
      <c r="AB474" t="s">
        <v>92</v>
      </c>
      <c r="AC474" t="s">
        <v>60</v>
      </c>
      <c r="AD474" t="s">
        <v>144</v>
      </c>
      <c r="AE474" t="s">
        <v>71</v>
      </c>
      <c r="AF474" s="5">
        <f>DATE(YEAR(C474),MONTH(C474),1)</f>
        <v>45839</v>
      </c>
      <c r="AG474">
        <f>E474-D474</f>
        <v>20</v>
      </c>
      <c r="AH474" s="6">
        <f t="shared" si="7"/>
        <v>66.399854904685839</v>
      </c>
    </row>
    <row r="475" spans="1:34">
      <c r="A475" t="s">
        <v>1063</v>
      </c>
      <c r="B475" t="s">
        <v>1064</v>
      </c>
      <c r="C475" s="1">
        <v>45829</v>
      </c>
      <c r="D475" s="1">
        <v>45833</v>
      </c>
      <c r="E475" s="1">
        <v>45846</v>
      </c>
      <c r="F475" t="s">
        <v>65</v>
      </c>
      <c r="G475" t="s">
        <v>66</v>
      </c>
      <c r="H475" t="s">
        <v>67</v>
      </c>
      <c r="I475" t="s">
        <v>57</v>
      </c>
      <c r="J475" t="s">
        <v>98</v>
      </c>
      <c r="K475" t="s">
        <v>99</v>
      </c>
      <c r="L475" t="s">
        <v>124</v>
      </c>
      <c r="M475" t="s">
        <v>79</v>
      </c>
      <c r="N475">
        <v>2</v>
      </c>
      <c r="O475" t="s">
        <v>105</v>
      </c>
      <c r="P475" s="48">
        <v>52738.06</v>
      </c>
      <c r="Q475" s="48">
        <v>11582.28</v>
      </c>
      <c r="R475" s="48">
        <v>2634.78</v>
      </c>
      <c r="S475" s="48">
        <v>1029.77</v>
      </c>
      <c r="T475" s="48">
        <v>527.38</v>
      </c>
      <c r="U475" s="48">
        <v>763.51</v>
      </c>
      <c r="V475" s="48">
        <v>905.56</v>
      </c>
      <c r="W475" s="48">
        <v>35294.78</v>
      </c>
      <c r="X475">
        <v>48</v>
      </c>
      <c r="Y475" t="s">
        <v>90</v>
      </c>
      <c r="Z475">
        <v>96.52</v>
      </c>
      <c r="AA475" t="s">
        <v>91</v>
      </c>
      <c r="AB475" t="s">
        <v>92</v>
      </c>
      <c r="AC475" t="s">
        <v>48</v>
      </c>
      <c r="AD475" t="s">
        <v>144</v>
      </c>
      <c r="AE475" t="s">
        <v>71</v>
      </c>
      <c r="AF475" s="5">
        <f>DATE(YEAR(C475),MONTH(C475),1)</f>
        <v>45809</v>
      </c>
      <c r="AG475">
        <f>E475-D475</f>
        <v>13</v>
      </c>
      <c r="AH475" s="6">
        <f t="shared" si="7"/>
        <v>66.924683994822715</v>
      </c>
    </row>
    <row r="476" spans="1:34">
      <c r="A476" t="s">
        <v>1065</v>
      </c>
      <c r="B476" t="s">
        <v>1066</v>
      </c>
      <c r="C476" s="1">
        <v>45919</v>
      </c>
      <c r="D476" s="1">
        <v>45921</v>
      </c>
      <c r="E476" s="1">
        <v>45949</v>
      </c>
      <c r="F476" t="s">
        <v>180</v>
      </c>
      <c r="G476" t="s">
        <v>181</v>
      </c>
      <c r="H476" t="s">
        <v>38</v>
      </c>
      <c r="I476" t="s">
        <v>86</v>
      </c>
      <c r="J476" t="s">
        <v>87</v>
      </c>
      <c r="K476" t="s">
        <v>88</v>
      </c>
      <c r="L476" t="s">
        <v>124</v>
      </c>
      <c r="M476" t="s">
        <v>108</v>
      </c>
      <c r="N476">
        <v>4</v>
      </c>
      <c r="O476" t="s">
        <v>105</v>
      </c>
      <c r="P476" s="48">
        <v>54458.35</v>
      </c>
      <c r="Q476" s="48">
        <v>11571.29</v>
      </c>
      <c r="R476" s="48">
        <v>3388.19</v>
      </c>
      <c r="S476" s="48">
        <v>669.61</v>
      </c>
      <c r="T476" s="48">
        <v>544.58000000000004</v>
      </c>
      <c r="U476" s="48">
        <v>148.38</v>
      </c>
      <c r="V476" s="48">
        <v>320.42</v>
      </c>
      <c r="W476" s="48">
        <v>37815.879999999997</v>
      </c>
      <c r="X476">
        <v>36</v>
      </c>
      <c r="Y476" t="s">
        <v>101</v>
      </c>
      <c r="Z476">
        <v>96.43</v>
      </c>
      <c r="AA476" t="s">
        <v>91</v>
      </c>
      <c r="AB476" t="s">
        <v>92</v>
      </c>
      <c r="AC476" t="s">
        <v>70</v>
      </c>
      <c r="AD476" t="s">
        <v>93</v>
      </c>
      <c r="AE476" t="s">
        <v>50</v>
      </c>
      <c r="AF476" s="5">
        <f>DATE(YEAR(C476),MONTH(C476),1)</f>
        <v>45901</v>
      </c>
      <c r="AG476">
        <f>E476-D476</f>
        <v>28</v>
      </c>
      <c r="AH476" s="6">
        <f t="shared" si="7"/>
        <v>69.440003231827617</v>
      </c>
    </row>
    <row r="477" spans="1:34">
      <c r="A477" t="s">
        <v>1067</v>
      </c>
      <c r="B477" t="s">
        <v>1068</v>
      </c>
      <c r="C477" s="1">
        <v>45997</v>
      </c>
      <c r="D477" s="1">
        <v>45998</v>
      </c>
      <c r="E477" s="1">
        <v>46018</v>
      </c>
      <c r="F477" t="s">
        <v>53</v>
      </c>
      <c r="G477" t="s">
        <v>54</v>
      </c>
      <c r="H477" t="s">
        <v>55</v>
      </c>
      <c r="I477" t="s">
        <v>77</v>
      </c>
      <c r="J477" t="s">
        <v>40</v>
      </c>
      <c r="K477" t="s">
        <v>41</v>
      </c>
      <c r="L477" t="s">
        <v>78</v>
      </c>
      <c r="M477" t="s">
        <v>43</v>
      </c>
      <c r="N477">
        <v>1</v>
      </c>
      <c r="O477" t="s">
        <v>80</v>
      </c>
      <c r="P477" s="48">
        <v>39327.370000000003</v>
      </c>
      <c r="Q477" s="48">
        <v>11564.67</v>
      </c>
      <c r="R477" s="48">
        <v>2536.19</v>
      </c>
      <c r="S477" s="48">
        <v>513.08000000000004</v>
      </c>
      <c r="T477" s="48">
        <v>393.27</v>
      </c>
      <c r="U477" s="48">
        <v>700.7</v>
      </c>
      <c r="V477" s="48">
        <v>399.08</v>
      </c>
      <c r="W477" s="48">
        <v>23220.38</v>
      </c>
      <c r="X477">
        <v>0</v>
      </c>
      <c r="Y477" t="s">
        <v>45</v>
      </c>
      <c r="Z477">
        <v>96.37</v>
      </c>
      <c r="AA477" t="s">
        <v>46</v>
      </c>
      <c r="AB477" t="s">
        <v>47</v>
      </c>
      <c r="AC477" t="s">
        <v>70</v>
      </c>
      <c r="AD477" t="s">
        <v>130</v>
      </c>
      <c r="AE477" t="s">
        <v>102</v>
      </c>
      <c r="AF477" s="5">
        <f>DATE(YEAR(C477),MONTH(C477),1)</f>
        <v>45992</v>
      </c>
      <c r="AG477">
        <f>E477-D477</f>
        <v>20</v>
      </c>
      <c r="AH477" s="6">
        <f t="shared" si="7"/>
        <v>59.043816049738382</v>
      </c>
    </row>
    <row r="478" spans="1:34">
      <c r="A478" t="s">
        <v>1069</v>
      </c>
      <c r="B478" t="s">
        <v>1070</v>
      </c>
      <c r="C478" s="1">
        <v>45955</v>
      </c>
      <c r="D478" s="1">
        <v>45959</v>
      </c>
      <c r="E478" s="1">
        <v>45980</v>
      </c>
      <c r="F478" t="s">
        <v>65</v>
      </c>
      <c r="G478" t="s">
        <v>66</v>
      </c>
      <c r="H478" t="s">
        <v>67</v>
      </c>
      <c r="I478" t="s">
        <v>86</v>
      </c>
      <c r="J478" t="s">
        <v>77</v>
      </c>
      <c r="K478" t="s">
        <v>41</v>
      </c>
      <c r="L478" t="s">
        <v>124</v>
      </c>
      <c r="M478" t="s">
        <v>108</v>
      </c>
      <c r="N478">
        <v>2</v>
      </c>
      <c r="O478" t="s">
        <v>80</v>
      </c>
      <c r="P478" s="48">
        <v>62047.39</v>
      </c>
      <c r="Q478" s="48">
        <v>11547.61</v>
      </c>
      <c r="R478" s="48">
        <v>4383.95</v>
      </c>
      <c r="S478" s="48">
        <v>827.76</v>
      </c>
      <c r="T478" s="48">
        <v>620.47</v>
      </c>
      <c r="U478" s="48">
        <v>791.41</v>
      </c>
      <c r="V478" s="48">
        <v>1410.75</v>
      </c>
      <c r="W478" s="48">
        <v>42465.440000000002</v>
      </c>
      <c r="X478">
        <v>0</v>
      </c>
      <c r="Y478" t="s">
        <v>45</v>
      </c>
      <c r="Z478">
        <v>96.23</v>
      </c>
      <c r="AA478" t="s">
        <v>46</v>
      </c>
      <c r="AB478" t="s">
        <v>47</v>
      </c>
      <c r="AC478" t="s">
        <v>70</v>
      </c>
      <c r="AD478" t="s">
        <v>144</v>
      </c>
      <c r="AE478" t="s">
        <v>102</v>
      </c>
      <c r="AF478" s="5">
        <f>DATE(YEAR(C478),MONTH(C478),1)</f>
        <v>45931</v>
      </c>
      <c r="AG478">
        <f>E478-D478</f>
        <v>21</v>
      </c>
      <c r="AH478" s="6">
        <f t="shared" si="7"/>
        <v>68.44033246201009</v>
      </c>
    </row>
    <row r="479" spans="1:34">
      <c r="A479" t="s">
        <v>1071</v>
      </c>
      <c r="B479" t="s">
        <v>1072</v>
      </c>
      <c r="C479" s="1">
        <v>45782</v>
      </c>
      <c r="D479" s="1">
        <v>45783</v>
      </c>
      <c r="E479" s="1">
        <v>45798</v>
      </c>
      <c r="F479" t="s">
        <v>74</v>
      </c>
      <c r="G479" t="s">
        <v>75</v>
      </c>
      <c r="H479" t="s">
        <v>76</v>
      </c>
      <c r="I479" t="s">
        <v>39</v>
      </c>
      <c r="J479" t="s">
        <v>39</v>
      </c>
      <c r="K479" t="s">
        <v>41</v>
      </c>
      <c r="L479" t="s">
        <v>155</v>
      </c>
      <c r="M479" t="s">
        <v>43</v>
      </c>
      <c r="N479">
        <v>4</v>
      </c>
      <c r="O479" t="s">
        <v>80</v>
      </c>
      <c r="P479" s="48">
        <v>71115.47</v>
      </c>
      <c r="Q479" s="48">
        <v>11535.25</v>
      </c>
      <c r="R479" s="48">
        <v>3693.04</v>
      </c>
      <c r="S479" s="48">
        <v>784.81</v>
      </c>
      <c r="T479" s="48">
        <v>711.15</v>
      </c>
      <c r="U479" s="48">
        <v>301.54000000000002</v>
      </c>
      <c r="V479" s="48">
        <v>787.24</v>
      </c>
      <c r="W479" s="48">
        <v>53302.44</v>
      </c>
      <c r="X479">
        <v>0</v>
      </c>
      <c r="Y479" t="s">
        <v>45</v>
      </c>
      <c r="Z479">
        <v>96.13</v>
      </c>
      <c r="AA479" t="s">
        <v>46</v>
      </c>
      <c r="AB479" t="s">
        <v>47</v>
      </c>
      <c r="AC479" t="s">
        <v>60</v>
      </c>
      <c r="AD479" t="s">
        <v>49</v>
      </c>
      <c r="AE479" t="s">
        <v>50</v>
      </c>
      <c r="AF479" s="5">
        <f>DATE(YEAR(C479),MONTH(C479),1)</f>
        <v>45778</v>
      </c>
      <c r="AG479">
        <f>E479-D479</f>
        <v>15</v>
      </c>
      <c r="AH479" s="6">
        <f t="shared" si="7"/>
        <v>74.951961928958639</v>
      </c>
    </row>
    <row r="480" spans="1:34">
      <c r="A480" t="s">
        <v>1073</v>
      </c>
      <c r="B480" t="s">
        <v>1074</v>
      </c>
      <c r="C480" s="1">
        <v>45769</v>
      </c>
      <c r="D480" s="1">
        <v>45770</v>
      </c>
      <c r="E480" s="1">
        <v>45789</v>
      </c>
      <c r="F480" t="s">
        <v>153</v>
      </c>
      <c r="G480" t="s">
        <v>75</v>
      </c>
      <c r="H480" t="s">
        <v>154</v>
      </c>
      <c r="I480" t="s">
        <v>86</v>
      </c>
      <c r="J480" t="s">
        <v>87</v>
      </c>
      <c r="K480" t="s">
        <v>88</v>
      </c>
      <c r="L480" t="s">
        <v>42</v>
      </c>
      <c r="M480" t="s">
        <v>68</v>
      </c>
      <c r="N480">
        <v>2</v>
      </c>
      <c r="O480" t="s">
        <v>89</v>
      </c>
      <c r="P480" s="48">
        <v>45054.2</v>
      </c>
      <c r="Q480" s="48">
        <v>11491.95</v>
      </c>
      <c r="R480" s="48">
        <v>2202.0100000000002</v>
      </c>
      <c r="S480" s="48">
        <v>1332.17</v>
      </c>
      <c r="T480" s="48">
        <v>450.54</v>
      </c>
      <c r="U480" s="48">
        <v>130.47</v>
      </c>
      <c r="V480" s="48">
        <v>597.58000000000004</v>
      </c>
      <c r="W480" s="48">
        <v>28849.48</v>
      </c>
      <c r="X480">
        <v>12</v>
      </c>
      <c r="Y480" t="s">
        <v>90</v>
      </c>
      <c r="Z480">
        <v>95.77</v>
      </c>
      <c r="AA480" t="s">
        <v>91</v>
      </c>
      <c r="AB480" t="s">
        <v>47</v>
      </c>
      <c r="AC480" t="s">
        <v>60</v>
      </c>
      <c r="AD480" t="s">
        <v>144</v>
      </c>
      <c r="AE480" t="s">
        <v>50</v>
      </c>
      <c r="AF480" s="5">
        <f>DATE(YEAR(C480),MONTH(C480),1)</f>
        <v>45748</v>
      </c>
      <c r="AG480">
        <f>E480-D480</f>
        <v>19</v>
      </c>
      <c r="AH480" s="6">
        <f t="shared" si="7"/>
        <v>64.032831567312272</v>
      </c>
    </row>
    <row r="481" spans="1:34">
      <c r="A481" t="s">
        <v>1075</v>
      </c>
      <c r="B481" t="s">
        <v>1076</v>
      </c>
      <c r="C481" s="1">
        <v>45928</v>
      </c>
      <c r="D481" s="1">
        <v>45932</v>
      </c>
      <c r="E481" s="1">
        <v>45955</v>
      </c>
      <c r="F481" t="s">
        <v>180</v>
      </c>
      <c r="G481" t="s">
        <v>181</v>
      </c>
      <c r="H481" t="s">
        <v>38</v>
      </c>
      <c r="I481" t="s">
        <v>57</v>
      </c>
      <c r="J481" t="s">
        <v>98</v>
      </c>
      <c r="K481" t="s">
        <v>99</v>
      </c>
      <c r="L481" t="s">
        <v>59</v>
      </c>
      <c r="M481" t="s">
        <v>43</v>
      </c>
      <c r="N481">
        <v>2</v>
      </c>
      <c r="O481" t="s">
        <v>54</v>
      </c>
      <c r="P481" s="48">
        <v>63869.93</v>
      </c>
      <c r="Q481" s="48">
        <v>11464.23</v>
      </c>
      <c r="R481" s="48">
        <v>4441.04</v>
      </c>
      <c r="S481" s="48">
        <v>1597.83</v>
      </c>
      <c r="T481" s="48">
        <v>638.70000000000005</v>
      </c>
      <c r="U481" s="48">
        <v>850.17</v>
      </c>
      <c r="V481" s="48">
        <v>2032.6</v>
      </c>
      <c r="W481" s="48">
        <v>42845.36</v>
      </c>
      <c r="X481">
        <v>0</v>
      </c>
      <c r="Y481" t="s">
        <v>45</v>
      </c>
      <c r="Z481">
        <v>95.54</v>
      </c>
      <c r="AA481" t="s">
        <v>46</v>
      </c>
      <c r="AB481" t="s">
        <v>47</v>
      </c>
      <c r="AC481" t="s">
        <v>60</v>
      </c>
      <c r="AD481" t="s">
        <v>144</v>
      </c>
      <c r="AE481" t="s">
        <v>71</v>
      </c>
      <c r="AF481" s="5">
        <f>DATE(YEAR(C481),MONTH(C481),1)</f>
        <v>45901</v>
      </c>
      <c r="AG481">
        <f>E481-D481</f>
        <v>23</v>
      </c>
      <c r="AH481" s="6">
        <f t="shared" si="7"/>
        <v>67.082209108417686</v>
      </c>
    </row>
    <row r="482" spans="1:34">
      <c r="A482" t="s">
        <v>1077</v>
      </c>
      <c r="B482" t="s">
        <v>1078</v>
      </c>
      <c r="C482" s="1">
        <v>45808</v>
      </c>
      <c r="D482" s="1">
        <v>45811</v>
      </c>
      <c r="E482" s="1">
        <v>45830</v>
      </c>
      <c r="F482" t="s">
        <v>138</v>
      </c>
      <c r="G482" t="s">
        <v>139</v>
      </c>
      <c r="H482" t="s">
        <v>76</v>
      </c>
      <c r="I482" t="s">
        <v>40</v>
      </c>
      <c r="J482" t="s">
        <v>122</v>
      </c>
      <c r="K482" t="s">
        <v>123</v>
      </c>
      <c r="L482" t="s">
        <v>127</v>
      </c>
      <c r="M482" t="s">
        <v>43</v>
      </c>
      <c r="N482">
        <v>2</v>
      </c>
      <c r="O482" t="s">
        <v>44</v>
      </c>
      <c r="P482" s="48">
        <v>50510.01</v>
      </c>
      <c r="Q482" s="48">
        <v>11445.95</v>
      </c>
      <c r="R482" s="48">
        <v>3326.06</v>
      </c>
      <c r="S482" s="48">
        <v>728.92</v>
      </c>
      <c r="T482" s="48">
        <v>505.1</v>
      </c>
      <c r="U482" s="48">
        <v>275.08999999999997</v>
      </c>
      <c r="V482" s="48">
        <v>1286.93</v>
      </c>
      <c r="W482" s="48">
        <v>32941.96</v>
      </c>
      <c r="X482">
        <v>12</v>
      </c>
      <c r="Y482" t="s">
        <v>112</v>
      </c>
      <c r="Z482">
        <v>95.38</v>
      </c>
      <c r="AA482" t="s">
        <v>91</v>
      </c>
      <c r="AB482" t="s">
        <v>92</v>
      </c>
      <c r="AC482" t="s">
        <v>70</v>
      </c>
      <c r="AD482" t="s">
        <v>130</v>
      </c>
      <c r="AE482" t="s">
        <v>50</v>
      </c>
      <c r="AF482" s="5">
        <f>DATE(YEAR(C482),MONTH(C482),1)</f>
        <v>45778</v>
      </c>
      <c r="AG482">
        <f>E482-D482</f>
        <v>19</v>
      </c>
      <c r="AH482" s="6">
        <f t="shared" si="7"/>
        <v>65.218676456409327</v>
      </c>
    </row>
    <row r="483" spans="1:34">
      <c r="A483" t="s">
        <v>1079</v>
      </c>
      <c r="B483" t="s">
        <v>1080</v>
      </c>
      <c r="C483" s="1">
        <v>45965</v>
      </c>
      <c r="D483" s="1">
        <v>45968</v>
      </c>
      <c r="E483" s="1">
        <v>45993</v>
      </c>
      <c r="F483" t="s">
        <v>180</v>
      </c>
      <c r="G483" t="s">
        <v>181</v>
      </c>
      <c r="H483" t="s">
        <v>38</v>
      </c>
      <c r="I483" t="s">
        <v>40</v>
      </c>
      <c r="J483" t="s">
        <v>122</v>
      </c>
      <c r="K483" t="s">
        <v>123</v>
      </c>
      <c r="L483" t="s">
        <v>116</v>
      </c>
      <c r="M483" t="s">
        <v>68</v>
      </c>
      <c r="N483">
        <v>2</v>
      </c>
      <c r="O483" t="s">
        <v>69</v>
      </c>
      <c r="P483" s="48">
        <v>55236.51</v>
      </c>
      <c r="Q483" s="48">
        <v>11417.92</v>
      </c>
      <c r="R483" s="48">
        <v>2310.9699999999998</v>
      </c>
      <c r="S483" s="48">
        <v>755.43</v>
      </c>
      <c r="T483" s="48">
        <v>552.37</v>
      </c>
      <c r="U483" s="48">
        <v>191.18</v>
      </c>
      <c r="V483" s="48">
        <v>513.95000000000005</v>
      </c>
      <c r="W483" s="48">
        <v>39494.69</v>
      </c>
      <c r="X483">
        <v>48</v>
      </c>
      <c r="Y483" t="s">
        <v>112</v>
      </c>
      <c r="Z483">
        <v>95.15</v>
      </c>
      <c r="AA483" t="s">
        <v>91</v>
      </c>
      <c r="AB483" t="s">
        <v>92</v>
      </c>
      <c r="AC483" t="s">
        <v>70</v>
      </c>
      <c r="AD483" t="s">
        <v>61</v>
      </c>
      <c r="AE483" t="s">
        <v>102</v>
      </c>
      <c r="AF483" s="5">
        <f>DATE(YEAR(C483),MONTH(C483),1)</f>
        <v>45962</v>
      </c>
      <c r="AG483">
        <f>E483-D483</f>
        <v>25</v>
      </c>
      <c r="AH483" s="6">
        <f t="shared" si="7"/>
        <v>71.501059715756838</v>
      </c>
    </row>
    <row r="484" spans="1:34">
      <c r="A484" t="s">
        <v>1081</v>
      </c>
      <c r="B484" t="s">
        <v>1082</v>
      </c>
      <c r="C484" s="1">
        <v>45722</v>
      </c>
      <c r="D484" s="1">
        <v>45726</v>
      </c>
      <c r="E484" s="1">
        <v>45749</v>
      </c>
      <c r="F484" t="s">
        <v>36</v>
      </c>
      <c r="G484" t="s">
        <v>37</v>
      </c>
      <c r="H484" t="s">
        <v>38</v>
      </c>
      <c r="I484" t="s">
        <v>56</v>
      </c>
      <c r="J484" t="s">
        <v>57</v>
      </c>
      <c r="K484" t="s">
        <v>58</v>
      </c>
      <c r="L484" t="s">
        <v>100</v>
      </c>
      <c r="M484" t="s">
        <v>43</v>
      </c>
      <c r="N484">
        <v>1</v>
      </c>
      <c r="O484" t="s">
        <v>69</v>
      </c>
      <c r="P484" s="48">
        <v>44548.98</v>
      </c>
      <c r="Q484" s="48">
        <v>11365.05</v>
      </c>
      <c r="R484" s="48">
        <v>1996.1</v>
      </c>
      <c r="S484" s="48">
        <v>1199.28</v>
      </c>
      <c r="T484" s="48">
        <v>445.49</v>
      </c>
      <c r="U484" s="48">
        <v>358.31</v>
      </c>
      <c r="V484" s="48">
        <v>895.81</v>
      </c>
      <c r="W484" s="48">
        <v>28288.94</v>
      </c>
      <c r="X484">
        <v>0</v>
      </c>
      <c r="Y484" t="s">
        <v>45</v>
      </c>
      <c r="Z484">
        <v>94.71</v>
      </c>
      <c r="AA484" t="s">
        <v>46</v>
      </c>
      <c r="AB484" t="s">
        <v>92</v>
      </c>
      <c r="AC484" t="s">
        <v>60</v>
      </c>
      <c r="AD484" t="s">
        <v>130</v>
      </c>
      <c r="AE484" t="s">
        <v>102</v>
      </c>
      <c r="AF484" s="5">
        <f>DATE(YEAR(C484),MONTH(C484),1)</f>
        <v>45717</v>
      </c>
      <c r="AG484">
        <f>E484-D484</f>
        <v>23</v>
      </c>
      <c r="AH484" s="6">
        <f t="shared" si="7"/>
        <v>63.500758042047202</v>
      </c>
    </row>
    <row r="485" spans="1:34">
      <c r="A485" t="s">
        <v>1083</v>
      </c>
      <c r="B485" t="s">
        <v>1084</v>
      </c>
      <c r="C485" s="1">
        <v>45752</v>
      </c>
      <c r="D485" s="1">
        <v>45753</v>
      </c>
      <c r="E485" s="1">
        <v>45763</v>
      </c>
      <c r="F485" t="s">
        <v>138</v>
      </c>
      <c r="G485" t="s">
        <v>139</v>
      </c>
      <c r="H485" t="s">
        <v>76</v>
      </c>
      <c r="I485" t="s">
        <v>56</v>
      </c>
      <c r="J485" t="s">
        <v>57</v>
      </c>
      <c r="K485" t="s">
        <v>58</v>
      </c>
      <c r="L485" t="s">
        <v>59</v>
      </c>
      <c r="M485" t="s">
        <v>108</v>
      </c>
      <c r="N485">
        <v>2</v>
      </c>
      <c r="O485" t="s">
        <v>111</v>
      </c>
      <c r="P485" s="48">
        <v>67592.55</v>
      </c>
      <c r="Q485" s="48">
        <v>11316.43</v>
      </c>
      <c r="R485" s="48">
        <v>3667.16</v>
      </c>
      <c r="S485" s="48">
        <v>1959</v>
      </c>
      <c r="T485" s="48">
        <v>675.93</v>
      </c>
      <c r="U485" s="48">
        <v>548.80999999999995</v>
      </c>
      <c r="V485" s="48">
        <v>807.33</v>
      </c>
      <c r="W485" s="48">
        <v>48617.89</v>
      </c>
      <c r="X485">
        <v>8</v>
      </c>
      <c r="Y485" t="s">
        <v>90</v>
      </c>
      <c r="Z485">
        <v>94.3</v>
      </c>
      <c r="AA485" t="s">
        <v>91</v>
      </c>
      <c r="AB485" t="s">
        <v>92</v>
      </c>
      <c r="AC485" t="s">
        <v>70</v>
      </c>
      <c r="AD485" t="s">
        <v>49</v>
      </c>
      <c r="AE485" t="s">
        <v>62</v>
      </c>
      <c r="AF485" s="5">
        <f>DATE(YEAR(C485),MONTH(C485),1)</f>
        <v>45748</v>
      </c>
      <c r="AG485">
        <f>E485-D485</f>
        <v>10</v>
      </c>
      <c r="AH485" s="6">
        <f t="shared" si="7"/>
        <v>71.927882584693137</v>
      </c>
    </row>
    <row r="486" spans="1:34">
      <c r="A486" t="s">
        <v>1085</v>
      </c>
      <c r="B486" t="s">
        <v>1086</v>
      </c>
      <c r="C486" s="1">
        <v>45859</v>
      </c>
      <c r="D486" s="1">
        <v>45863</v>
      </c>
      <c r="E486" s="1">
        <v>45876</v>
      </c>
      <c r="F486" t="s">
        <v>120</v>
      </c>
      <c r="G486" t="s">
        <v>75</v>
      </c>
      <c r="H486" t="s">
        <v>121</v>
      </c>
      <c r="I486" t="s">
        <v>115</v>
      </c>
      <c r="J486" t="s">
        <v>98</v>
      </c>
      <c r="K486" t="s">
        <v>99</v>
      </c>
      <c r="L486" t="s">
        <v>42</v>
      </c>
      <c r="M486" t="s">
        <v>68</v>
      </c>
      <c r="N486">
        <v>2</v>
      </c>
      <c r="O486" t="s">
        <v>105</v>
      </c>
      <c r="P486" s="48">
        <v>45939.26</v>
      </c>
      <c r="Q486" s="48">
        <v>11297.44</v>
      </c>
      <c r="R486" s="48">
        <v>3116.2</v>
      </c>
      <c r="S486" s="48">
        <v>751.37</v>
      </c>
      <c r="T486" s="48">
        <v>459.39</v>
      </c>
      <c r="U486" s="48">
        <v>507.71</v>
      </c>
      <c r="V486" s="48">
        <v>2489.7399999999998</v>
      </c>
      <c r="W486" s="48">
        <v>27317.41</v>
      </c>
      <c r="X486">
        <v>12</v>
      </c>
      <c r="Y486" t="s">
        <v>101</v>
      </c>
      <c r="Z486">
        <v>94.15</v>
      </c>
      <c r="AA486" t="s">
        <v>91</v>
      </c>
      <c r="AB486" t="s">
        <v>92</v>
      </c>
      <c r="AC486" t="s">
        <v>60</v>
      </c>
      <c r="AD486" t="s">
        <v>61</v>
      </c>
      <c r="AE486" t="s">
        <v>50</v>
      </c>
      <c r="AF486" s="5">
        <f>DATE(YEAR(C486),MONTH(C486),1)</f>
        <v>45839</v>
      </c>
      <c r="AG486">
        <f>E486-D486</f>
        <v>13</v>
      </c>
      <c r="AH486" s="6">
        <f t="shared" si="7"/>
        <v>59.464192501141724</v>
      </c>
    </row>
    <row r="487" spans="1:34">
      <c r="A487" t="s">
        <v>1087</v>
      </c>
      <c r="B487" t="s">
        <v>1088</v>
      </c>
      <c r="C487" s="1">
        <v>45736</v>
      </c>
      <c r="D487" s="1">
        <v>45737</v>
      </c>
      <c r="E487" s="1">
        <v>45753</v>
      </c>
      <c r="F487" t="s">
        <v>138</v>
      </c>
      <c r="G487" t="s">
        <v>139</v>
      </c>
      <c r="H487" t="s">
        <v>76</v>
      </c>
      <c r="I487" t="s">
        <v>57</v>
      </c>
      <c r="J487" t="s">
        <v>98</v>
      </c>
      <c r="K487" t="s">
        <v>99</v>
      </c>
      <c r="L487" t="s">
        <v>42</v>
      </c>
      <c r="M487" t="s">
        <v>108</v>
      </c>
      <c r="N487">
        <v>2</v>
      </c>
      <c r="O487" t="s">
        <v>111</v>
      </c>
      <c r="P487" s="48">
        <v>45538.59</v>
      </c>
      <c r="Q487" s="48">
        <v>11285.48</v>
      </c>
      <c r="R487" s="48">
        <v>2127.5</v>
      </c>
      <c r="S487" s="48">
        <v>472.67</v>
      </c>
      <c r="T487" s="48">
        <v>455.39</v>
      </c>
      <c r="U487" s="48">
        <v>556.44000000000005</v>
      </c>
      <c r="V487" s="48">
        <v>1846.25</v>
      </c>
      <c r="W487" s="48">
        <v>28794.86</v>
      </c>
      <c r="X487">
        <v>0</v>
      </c>
      <c r="Y487" t="s">
        <v>45</v>
      </c>
      <c r="Z487">
        <v>94.05</v>
      </c>
      <c r="AA487" t="s">
        <v>46</v>
      </c>
      <c r="AB487" t="s">
        <v>92</v>
      </c>
      <c r="AC487" t="s">
        <v>48</v>
      </c>
      <c r="AD487" t="s">
        <v>144</v>
      </c>
      <c r="AE487" t="s">
        <v>102</v>
      </c>
      <c r="AF487" s="5">
        <f>DATE(YEAR(C487),MONTH(C487),1)</f>
        <v>45717</v>
      </c>
      <c r="AG487">
        <f>E487-D487</f>
        <v>16</v>
      </c>
      <c r="AH487" s="6">
        <f t="shared" si="7"/>
        <v>63.231777707654111</v>
      </c>
    </row>
    <row r="488" spans="1:34">
      <c r="A488" t="s">
        <v>1089</v>
      </c>
      <c r="B488" t="s">
        <v>1090</v>
      </c>
      <c r="C488" s="1">
        <v>45823</v>
      </c>
      <c r="D488" s="1">
        <v>45826</v>
      </c>
      <c r="E488" s="1">
        <v>45838</v>
      </c>
      <c r="F488" t="s">
        <v>53</v>
      </c>
      <c r="G488" t="s">
        <v>54</v>
      </c>
      <c r="H488" t="s">
        <v>55</v>
      </c>
      <c r="I488" t="s">
        <v>57</v>
      </c>
      <c r="J488" t="s">
        <v>98</v>
      </c>
      <c r="K488" t="s">
        <v>99</v>
      </c>
      <c r="L488" t="s">
        <v>127</v>
      </c>
      <c r="M488" t="s">
        <v>68</v>
      </c>
      <c r="N488">
        <v>2</v>
      </c>
      <c r="O488" t="s">
        <v>89</v>
      </c>
      <c r="P488" s="48">
        <v>40432.980000000003</v>
      </c>
      <c r="Q488" s="48">
        <v>11237.48</v>
      </c>
      <c r="R488" s="48">
        <v>2556.62</v>
      </c>
      <c r="S488" s="48">
        <v>443.34</v>
      </c>
      <c r="T488" s="48">
        <v>404.33</v>
      </c>
      <c r="U488" s="48">
        <v>214.59</v>
      </c>
      <c r="V488" s="48">
        <v>692.65</v>
      </c>
      <c r="W488" s="48">
        <v>24883.97</v>
      </c>
      <c r="X488">
        <v>0</v>
      </c>
      <c r="Y488" t="s">
        <v>45</v>
      </c>
      <c r="Z488">
        <v>93.65</v>
      </c>
      <c r="AA488" t="s">
        <v>46</v>
      </c>
      <c r="AB488" t="s">
        <v>47</v>
      </c>
      <c r="AC488" t="s">
        <v>70</v>
      </c>
      <c r="AD488" t="s">
        <v>93</v>
      </c>
      <c r="AE488" t="s">
        <v>102</v>
      </c>
      <c r="AF488" s="5">
        <f>DATE(YEAR(C488),MONTH(C488),1)</f>
        <v>45809</v>
      </c>
      <c r="AG488">
        <f>E488-D488</f>
        <v>12</v>
      </c>
      <c r="AH488" s="6">
        <f t="shared" si="7"/>
        <v>61.54374473511475</v>
      </c>
    </row>
    <row r="489" spans="1:34">
      <c r="A489" t="s">
        <v>1091</v>
      </c>
      <c r="B489" t="s">
        <v>1092</v>
      </c>
      <c r="C489" s="1">
        <v>45888</v>
      </c>
      <c r="D489" s="1">
        <v>45892</v>
      </c>
      <c r="E489" s="1">
        <v>45908</v>
      </c>
      <c r="F489" t="s">
        <v>53</v>
      </c>
      <c r="G489" t="s">
        <v>54</v>
      </c>
      <c r="H489" t="s">
        <v>55</v>
      </c>
      <c r="I489" t="s">
        <v>86</v>
      </c>
      <c r="J489" t="s">
        <v>87</v>
      </c>
      <c r="K489" t="s">
        <v>88</v>
      </c>
      <c r="L489" t="s">
        <v>59</v>
      </c>
      <c r="M489" t="s">
        <v>108</v>
      </c>
      <c r="N489">
        <v>4</v>
      </c>
      <c r="O489" t="s">
        <v>89</v>
      </c>
      <c r="P489" s="48">
        <v>55051.68</v>
      </c>
      <c r="Q489" s="48">
        <v>11226.43</v>
      </c>
      <c r="R489" s="48">
        <v>4005.81</v>
      </c>
      <c r="S489" s="48">
        <v>1025.92</v>
      </c>
      <c r="T489" s="48">
        <v>550.52</v>
      </c>
      <c r="U489" s="48">
        <v>726.33</v>
      </c>
      <c r="V489" s="48">
        <v>1122.8</v>
      </c>
      <c r="W489" s="48">
        <v>36393.870000000003</v>
      </c>
      <c r="X489">
        <v>36</v>
      </c>
      <c r="Y489" t="s">
        <v>101</v>
      </c>
      <c r="Z489">
        <v>93.55</v>
      </c>
      <c r="AA489" t="s">
        <v>91</v>
      </c>
      <c r="AB489" t="s">
        <v>92</v>
      </c>
      <c r="AC489" t="s">
        <v>60</v>
      </c>
      <c r="AD489" t="s">
        <v>61</v>
      </c>
      <c r="AE489" t="s">
        <v>102</v>
      </c>
      <c r="AF489" s="5">
        <f>DATE(YEAR(C489),MONTH(C489),1)</f>
        <v>45870</v>
      </c>
      <c r="AG489">
        <f>E489-D489</f>
        <v>16</v>
      </c>
      <c r="AH489" s="6">
        <f t="shared" si="7"/>
        <v>66.108554725305396</v>
      </c>
    </row>
    <row r="490" spans="1:34">
      <c r="A490" t="s">
        <v>1093</v>
      </c>
      <c r="B490" t="s">
        <v>1094</v>
      </c>
      <c r="C490" s="1">
        <v>45945</v>
      </c>
      <c r="D490" s="1">
        <v>45947</v>
      </c>
      <c r="E490" s="1">
        <v>45968</v>
      </c>
      <c r="F490" t="s">
        <v>120</v>
      </c>
      <c r="G490" t="s">
        <v>75</v>
      </c>
      <c r="H490" t="s">
        <v>121</v>
      </c>
      <c r="I490" t="s">
        <v>57</v>
      </c>
      <c r="J490" t="s">
        <v>98</v>
      </c>
      <c r="K490" t="s">
        <v>99</v>
      </c>
      <c r="L490" t="s">
        <v>155</v>
      </c>
      <c r="M490" t="s">
        <v>79</v>
      </c>
      <c r="N490">
        <v>1</v>
      </c>
      <c r="O490" t="s">
        <v>111</v>
      </c>
      <c r="P490" s="48">
        <v>43944.54</v>
      </c>
      <c r="Q490" s="48">
        <v>11171.26</v>
      </c>
      <c r="R490" s="48">
        <v>1885.96</v>
      </c>
      <c r="S490" s="48">
        <v>660.84</v>
      </c>
      <c r="T490" s="48">
        <v>439.45</v>
      </c>
      <c r="U490" s="48">
        <v>623.84</v>
      </c>
      <c r="V490" s="48">
        <v>2386.7600000000002</v>
      </c>
      <c r="W490" s="48">
        <v>26776.43</v>
      </c>
      <c r="X490">
        <v>0</v>
      </c>
      <c r="Y490" t="s">
        <v>45</v>
      </c>
      <c r="Z490">
        <v>93.09</v>
      </c>
      <c r="AA490" t="s">
        <v>46</v>
      </c>
      <c r="AB490" t="s">
        <v>47</v>
      </c>
      <c r="AC490" t="s">
        <v>70</v>
      </c>
      <c r="AD490" t="s">
        <v>93</v>
      </c>
      <c r="AE490" t="s">
        <v>71</v>
      </c>
      <c r="AF490" s="5">
        <f>DATE(YEAR(C490),MONTH(C490),1)</f>
        <v>45931</v>
      </c>
      <c r="AG490">
        <f>E490-D490</f>
        <v>21</v>
      </c>
      <c r="AH490" s="6">
        <f t="shared" si="7"/>
        <v>60.932325153477542</v>
      </c>
    </row>
    <row r="491" spans="1:34">
      <c r="A491" t="s">
        <v>1095</v>
      </c>
      <c r="B491" t="s">
        <v>1096</v>
      </c>
      <c r="C491" s="1">
        <v>45751</v>
      </c>
      <c r="D491" s="1">
        <v>45752</v>
      </c>
      <c r="E491" s="1">
        <v>45777</v>
      </c>
      <c r="F491" t="s">
        <v>74</v>
      </c>
      <c r="G491" t="s">
        <v>75</v>
      </c>
      <c r="H491" t="s">
        <v>76</v>
      </c>
      <c r="I491" t="s">
        <v>56</v>
      </c>
      <c r="J491" t="s">
        <v>57</v>
      </c>
      <c r="K491" t="s">
        <v>58</v>
      </c>
      <c r="L491" t="s">
        <v>42</v>
      </c>
      <c r="M491" t="s">
        <v>108</v>
      </c>
      <c r="N491">
        <v>2</v>
      </c>
      <c r="O491" t="s">
        <v>89</v>
      </c>
      <c r="P491" s="48">
        <v>47908.94</v>
      </c>
      <c r="Q491" s="48">
        <v>11108.21</v>
      </c>
      <c r="R491" s="48">
        <v>2735.31</v>
      </c>
      <c r="S491" s="48">
        <v>568.41</v>
      </c>
      <c r="T491" s="48">
        <v>479.09</v>
      </c>
      <c r="U491" s="48">
        <v>666.42</v>
      </c>
      <c r="V491" s="48">
        <v>652.02</v>
      </c>
      <c r="W491" s="48">
        <v>31699.48</v>
      </c>
      <c r="X491">
        <v>0</v>
      </c>
      <c r="Y491" t="s">
        <v>45</v>
      </c>
      <c r="Z491">
        <v>92.57</v>
      </c>
      <c r="AA491" t="s">
        <v>46</v>
      </c>
      <c r="AB491" t="s">
        <v>47</v>
      </c>
      <c r="AC491" t="s">
        <v>70</v>
      </c>
      <c r="AD491" t="s">
        <v>144</v>
      </c>
      <c r="AE491" t="s">
        <v>50</v>
      </c>
      <c r="AF491" s="5">
        <f>DATE(YEAR(C491),MONTH(C491),1)</f>
        <v>45748</v>
      </c>
      <c r="AG491">
        <f>E491-D491</f>
        <v>25</v>
      </c>
      <c r="AH491" s="6">
        <f t="shared" si="7"/>
        <v>66.166105950162944</v>
      </c>
    </row>
    <row r="492" spans="1:34">
      <c r="A492" t="s">
        <v>1097</v>
      </c>
      <c r="B492" t="s">
        <v>1098</v>
      </c>
      <c r="C492" s="1">
        <v>45918</v>
      </c>
      <c r="D492" s="1">
        <v>45920</v>
      </c>
      <c r="E492" s="1">
        <v>45949</v>
      </c>
      <c r="F492" t="s">
        <v>65</v>
      </c>
      <c r="G492" t="s">
        <v>66</v>
      </c>
      <c r="H492" t="s">
        <v>67</v>
      </c>
      <c r="I492" t="s">
        <v>86</v>
      </c>
      <c r="J492" t="s">
        <v>87</v>
      </c>
      <c r="K492" t="s">
        <v>88</v>
      </c>
      <c r="L492" t="s">
        <v>155</v>
      </c>
      <c r="M492" t="s">
        <v>79</v>
      </c>
      <c r="N492">
        <v>2</v>
      </c>
      <c r="O492" t="s">
        <v>111</v>
      </c>
      <c r="P492" s="48">
        <v>45765.65</v>
      </c>
      <c r="Q492" s="48">
        <v>11091</v>
      </c>
      <c r="R492" s="48">
        <v>2215.16</v>
      </c>
      <c r="S492" s="48">
        <v>663.37</v>
      </c>
      <c r="T492" s="48">
        <v>457.66</v>
      </c>
      <c r="U492" s="48">
        <v>486.84</v>
      </c>
      <c r="V492" s="48">
        <v>1067.7</v>
      </c>
      <c r="W492" s="48">
        <v>29783.919999999998</v>
      </c>
      <c r="X492">
        <v>36</v>
      </c>
      <c r="Y492" t="s">
        <v>135</v>
      </c>
      <c r="Z492">
        <v>92.42</v>
      </c>
      <c r="AA492" t="s">
        <v>91</v>
      </c>
      <c r="AB492" t="s">
        <v>47</v>
      </c>
      <c r="AC492" t="s">
        <v>48</v>
      </c>
      <c r="AD492" t="s">
        <v>130</v>
      </c>
      <c r="AE492" t="s">
        <v>71</v>
      </c>
      <c r="AF492" s="5">
        <f>DATE(YEAR(C492),MONTH(C492),1)</f>
        <v>45901</v>
      </c>
      <c r="AG492">
        <f>E492-D492</f>
        <v>29</v>
      </c>
      <c r="AH492" s="6">
        <f t="shared" si="7"/>
        <v>65.07920241491162</v>
      </c>
    </row>
    <row r="493" spans="1:34">
      <c r="A493" t="s">
        <v>1099</v>
      </c>
      <c r="B493" t="s">
        <v>1100</v>
      </c>
      <c r="C493" s="1">
        <v>45999</v>
      </c>
      <c r="D493" s="1">
        <v>46002</v>
      </c>
      <c r="E493" s="1">
        <v>46024</v>
      </c>
      <c r="F493" t="s">
        <v>149</v>
      </c>
      <c r="G493" t="s">
        <v>111</v>
      </c>
      <c r="H493" t="s">
        <v>150</v>
      </c>
      <c r="I493" t="s">
        <v>86</v>
      </c>
      <c r="J493" t="s">
        <v>87</v>
      </c>
      <c r="K493" t="s">
        <v>88</v>
      </c>
      <c r="L493" t="s">
        <v>100</v>
      </c>
      <c r="M493" t="s">
        <v>79</v>
      </c>
      <c r="N493">
        <v>2</v>
      </c>
      <c r="O493" t="s">
        <v>69</v>
      </c>
      <c r="P493" s="48">
        <v>39997.64</v>
      </c>
      <c r="Q493" s="48">
        <v>11083.92</v>
      </c>
      <c r="R493" s="48">
        <v>2392.39</v>
      </c>
      <c r="S493" s="48">
        <v>682.76</v>
      </c>
      <c r="T493" s="48">
        <v>399.98</v>
      </c>
      <c r="U493" s="48">
        <v>119.24</v>
      </c>
      <c r="V493" s="48">
        <v>2496.9899999999998</v>
      </c>
      <c r="W493" s="48">
        <v>22822.36</v>
      </c>
      <c r="X493">
        <v>0</v>
      </c>
      <c r="Y493" t="s">
        <v>45</v>
      </c>
      <c r="Z493">
        <v>92.37</v>
      </c>
      <c r="AA493" t="s">
        <v>46</v>
      </c>
      <c r="AB493" t="s">
        <v>47</v>
      </c>
      <c r="AC493" t="s">
        <v>60</v>
      </c>
      <c r="AD493" t="s">
        <v>61</v>
      </c>
      <c r="AE493" t="s">
        <v>62</v>
      </c>
      <c r="AF493" s="5">
        <f>DATE(YEAR(C493),MONTH(C493),1)</f>
        <v>45992</v>
      </c>
      <c r="AG493">
        <f>E493-D493</f>
        <v>22</v>
      </c>
      <c r="AH493" s="6">
        <f t="shared" si="7"/>
        <v>57.059266496723303</v>
      </c>
    </row>
    <row r="494" spans="1:34">
      <c r="A494" t="s">
        <v>1101</v>
      </c>
      <c r="B494" t="s">
        <v>1102</v>
      </c>
      <c r="C494" s="1">
        <v>45968</v>
      </c>
      <c r="D494" s="1">
        <v>45970</v>
      </c>
      <c r="E494" s="1">
        <v>45981</v>
      </c>
      <c r="F494" t="s">
        <v>96</v>
      </c>
      <c r="G494" t="s">
        <v>97</v>
      </c>
      <c r="H494" t="s">
        <v>76</v>
      </c>
      <c r="I494" t="s">
        <v>115</v>
      </c>
      <c r="J494" t="s">
        <v>86</v>
      </c>
      <c r="K494" t="s">
        <v>41</v>
      </c>
      <c r="L494" t="s">
        <v>127</v>
      </c>
      <c r="M494" t="s">
        <v>79</v>
      </c>
      <c r="N494">
        <v>2</v>
      </c>
      <c r="O494" t="s">
        <v>80</v>
      </c>
      <c r="P494" s="48">
        <v>48964.33</v>
      </c>
      <c r="Q494" s="48">
        <v>11073.08</v>
      </c>
      <c r="R494" s="48">
        <v>3817.21</v>
      </c>
      <c r="S494" s="48">
        <v>1449.04</v>
      </c>
      <c r="T494" s="48">
        <v>489.64</v>
      </c>
      <c r="U494" s="48">
        <v>828.01</v>
      </c>
      <c r="V494" s="48">
        <v>1229.96</v>
      </c>
      <c r="W494" s="48">
        <v>30077.39</v>
      </c>
      <c r="X494">
        <v>0</v>
      </c>
      <c r="Y494" t="s">
        <v>45</v>
      </c>
      <c r="Z494">
        <v>92.28</v>
      </c>
      <c r="AA494" t="s">
        <v>46</v>
      </c>
      <c r="AB494" t="s">
        <v>92</v>
      </c>
      <c r="AC494" t="s">
        <v>70</v>
      </c>
      <c r="AD494" t="s">
        <v>49</v>
      </c>
      <c r="AE494" t="s">
        <v>62</v>
      </c>
      <c r="AF494" s="5">
        <f>DATE(YEAR(C494),MONTH(C494),1)</f>
        <v>45962</v>
      </c>
      <c r="AG494">
        <f>E494-D494</f>
        <v>11</v>
      </c>
      <c r="AH494" s="6">
        <f t="shared" si="7"/>
        <v>61.427145025776916</v>
      </c>
    </row>
    <row r="495" spans="1:34">
      <c r="A495" t="s">
        <v>1103</v>
      </c>
      <c r="B495" t="s">
        <v>1104</v>
      </c>
      <c r="C495" s="1">
        <v>45940</v>
      </c>
      <c r="D495" s="1">
        <v>45941</v>
      </c>
      <c r="E495" s="1">
        <v>45962</v>
      </c>
      <c r="F495" t="s">
        <v>53</v>
      </c>
      <c r="G495" t="s">
        <v>54</v>
      </c>
      <c r="H495" t="s">
        <v>55</v>
      </c>
      <c r="I495" t="s">
        <v>40</v>
      </c>
      <c r="J495" t="s">
        <v>122</v>
      </c>
      <c r="K495" t="s">
        <v>123</v>
      </c>
      <c r="L495" t="s">
        <v>100</v>
      </c>
      <c r="M495" t="s">
        <v>108</v>
      </c>
      <c r="N495">
        <v>2</v>
      </c>
      <c r="O495" t="s">
        <v>69</v>
      </c>
      <c r="P495" s="48">
        <v>41669.71</v>
      </c>
      <c r="Q495" s="48">
        <v>11042.03</v>
      </c>
      <c r="R495" s="48">
        <v>2934.94</v>
      </c>
      <c r="S495" s="48">
        <v>490.67</v>
      </c>
      <c r="T495" s="48">
        <v>416.7</v>
      </c>
      <c r="U495" s="48">
        <v>326.02999999999997</v>
      </c>
      <c r="V495" s="48">
        <v>1363.75</v>
      </c>
      <c r="W495" s="48">
        <v>25095.59</v>
      </c>
      <c r="X495">
        <v>12</v>
      </c>
      <c r="Y495" t="s">
        <v>90</v>
      </c>
      <c r="Z495">
        <v>92.02</v>
      </c>
      <c r="AA495" t="s">
        <v>91</v>
      </c>
      <c r="AB495" t="s">
        <v>92</v>
      </c>
      <c r="AC495" t="s">
        <v>48</v>
      </c>
      <c r="AD495" t="s">
        <v>61</v>
      </c>
      <c r="AE495" t="s">
        <v>62</v>
      </c>
      <c r="AF495" s="5">
        <f>DATE(YEAR(C495),MONTH(C495),1)</f>
        <v>45931</v>
      </c>
      <c r="AG495">
        <f>E495-D495</f>
        <v>21</v>
      </c>
      <c r="AH495" s="6">
        <f t="shared" si="7"/>
        <v>60.225017164746284</v>
      </c>
    </row>
    <row r="496" spans="1:34">
      <c r="A496" t="s">
        <v>1105</v>
      </c>
      <c r="B496" t="s">
        <v>1106</v>
      </c>
      <c r="C496" s="1">
        <v>45878</v>
      </c>
      <c r="D496" s="1">
        <v>45881</v>
      </c>
      <c r="E496" s="1">
        <v>45908</v>
      </c>
      <c r="F496" t="s">
        <v>138</v>
      </c>
      <c r="G496" t="s">
        <v>139</v>
      </c>
      <c r="H496" t="s">
        <v>76</v>
      </c>
      <c r="I496" t="s">
        <v>56</v>
      </c>
      <c r="J496" t="s">
        <v>57</v>
      </c>
      <c r="K496" t="s">
        <v>58</v>
      </c>
      <c r="L496" t="s">
        <v>155</v>
      </c>
      <c r="M496" t="s">
        <v>43</v>
      </c>
      <c r="N496">
        <v>2</v>
      </c>
      <c r="O496" t="s">
        <v>111</v>
      </c>
      <c r="P496" s="48">
        <v>42039.17</v>
      </c>
      <c r="Q496" s="48">
        <v>11024.39</v>
      </c>
      <c r="R496" s="48">
        <v>2642.36</v>
      </c>
      <c r="S496" s="48">
        <v>1139.6199999999999</v>
      </c>
      <c r="T496" s="48">
        <v>420.39</v>
      </c>
      <c r="U496" s="48">
        <v>373.16</v>
      </c>
      <c r="V496" s="48">
        <v>334.88</v>
      </c>
      <c r="W496" s="48">
        <v>26104.37</v>
      </c>
      <c r="X496">
        <v>48</v>
      </c>
      <c r="Y496" t="s">
        <v>101</v>
      </c>
      <c r="Z496">
        <v>91.87</v>
      </c>
      <c r="AA496" t="s">
        <v>91</v>
      </c>
      <c r="AB496" t="s">
        <v>47</v>
      </c>
      <c r="AC496" t="s">
        <v>60</v>
      </c>
      <c r="AD496" t="s">
        <v>61</v>
      </c>
      <c r="AE496" t="s">
        <v>102</v>
      </c>
      <c r="AF496" s="5">
        <f>DATE(YEAR(C496),MONTH(C496),1)</f>
        <v>45870</v>
      </c>
      <c r="AG496">
        <f>E496-D496</f>
        <v>27</v>
      </c>
      <c r="AH496" s="6">
        <f t="shared" si="7"/>
        <v>62.095350598025604</v>
      </c>
    </row>
    <row r="497" spans="1:34">
      <c r="A497" t="s">
        <v>1107</v>
      </c>
      <c r="B497" t="s">
        <v>1108</v>
      </c>
      <c r="C497" s="1">
        <v>45753</v>
      </c>
      <c r="D497" s="1">
        <v>45755</v>
      </c>
      <c r="E497" s="1">
        <v>45776</v>
      </c>
      <c r="F497" t="s">
        <v>83</v>
      </c>
      <c r="G497" t="s">
        <v>84</v>
      </c>
      <c r="H497" t="s">
        <v>85</v>
      </c>
      <c r="I497" t="s">
        <v>56</v>
      </c>
      <c r="J497" t="s">
        <v>57</v>
      </c>
      <c r="K497" t="s">
        <v>58</v>
      </c>
      <c r="L497" t="s">
        <v>127</v>
      </c>
      <c r="M497" t="s">
        <v>79</v>
      </c>
      <c r="N497">
        <v>2</v>
      </c>
      <c r="O497" t="s">
        <v>111</v>
      </c>
      <c r="P497" s="48">
        <v>57738.559999999998</v>
      </c>
      <c r="Q497" s="48">
        <v>11015.92</v>
      </c>
      <c r="R497" s="48">
        <v>3818.47</v>
      </c>
      <c r="S497" s="48">
        <v>1617.83</v>
      </c>
      <c r="T497" s="48">
        <v>577.39</v>
      </c>
      <c r="U497" s="48">
        <v>372.29</v>
      </c>
      <c r="V497" s="48">
        <v>1254.1300000000001</v>
      </c>
      <c r="W497" s="48">
        <v>39082.53</v>
      </c>
      <c r="X497">
        <v>0</v>
      </c>
      <c r="Y497" t="s">
        <v>45</v>
      </c>
      <c r="Z497">
        <v>91.8</v>
      </c>
      <c r="AA497" t="s">
        <v>46</v>
      </c>
      <c r="AB497" t="s">
        <v>92</v>
      </c>
      <c r="AC497" t="s">
        <v>48</v>
      </c>
      <c r="AD497" t="s">
        <v>144</v>
      </c>
      <c r="AE497" t="s">
        <v>102</v>
      </c>
      <c r="AF497" s="5">
        <f>DATE(YEAR(C497),MONTH(C497),1)</f>
        <v>45748</v>
      </c>
      <c r="AG497">
        <f>E497-D497</f>
        <v>21</v>
      </c>
      <c r="AH497" s="6">
        <f t="shared" si="7"/>
        <v>67.688785449446613</v>
      </c>
    </row>
    <row r="498" spans="1:34">
      <c r="A498" t="s">
        <v>1109</v>
      </c>
      <c r="B498" t="s">
        <v>1110</v>
      </c>
      <c r="C498" s="1">
        <v>45778</v>
      </c>
      <c r="D498" s="1">
        <v>45779</v>
      </c>
      <c r="E498" s="1">
        <v>45796</v>
      </c>
      <c r="F498" t="s">
        <v>53</v>
      </c>
      <c r="G498" t="s">
        <v>54</v>
      </c>
      <c r="H498" t="s">
        <v>55</v>
      </c>
      <c r="I498" t="s">
        <v>56</v>
      </c>
      <c r="J498" t="s">
        <v>87</v>
      </c>
      <c r="K498" t="s">
        <v>41</v>
      </c>
      <c r="L498" t="s">
        <v>42</v>
      </c>
      <c r="M498" t="s">
        <v>68</v>
      </c>
      <c r="N498">
        <v>2</v>
      </c>
      <c r="O498" t="s">
        <v>111</v>
      </c>
      <c r="P498" s="48">
        <v>46694.34</v>
      </c>
      <c r="Q498" s="48">
        <v>11013.22</v>
      </c>
      <c r="R498" s="48">
        <v>2563.89</v>
      </c>
      <c r="S498" s="48">
        <v>845.04</v>
      </c>
      <c r="T498" s="48">
        <v>466.94</v>
      </c>
      <c r="U498" s="48">
        <v>132.11000000000001</v>
      </c>
      <c r="V498" s="48">
        <v>2477.48</v>
      </c>
      <c r="W498" s="48">
        <v>29195.66</v>
      </c>
      <c r="X498">
        <v>0</v>
      </c>
      <c r="Y498" t="s">
        <v>45</v>
      </c>
      <c r="Z498">
        <v>91.78</v>
      </c>
      <c r="AA498" t="s">
        <v>46</v>
      </c>
      <c r="AB498" t="s">
        <v>92</v>
      </c>
      <c r="AC498" t="s">
        <v>70</v>
      </c>
      <c r="AD498" t="s">
        <v>61</v>
      </c>
      <c r="AE498" t="s">
        <v>62</v>
      </c>
      <c r="AF498" s="5">
        <f>DATE(YEAR(C498),MONTH(C498),1)</f>
        <v>45778</v>
      </c>
      <c r="AG498">
        <f>E498-D498</f>
        <v>17</v>
      </c>
      <c r="AH498" s="6">
        <f t="shared" si="7"/>
        <v>62.525051216057456</v>
      </c>
    </row>
    <row r="499" spans="1:34">
      <c r="A499" t="s">
        <v>1111</v>
      </c>
      <c r="B499" t="s">
        <v>1112</v>
      </c>
      <c r="C499" s="1">
        <v>45838</v>
      </c>
      <c r="D499" s="1">
        <v>45840</v>
      </c>
      <c r="E499" s="1">
        <v>45867</v>
      </c>
      <c r="F499" t="s">
        <v>153</v>
      </c>
      <c r="G499" t="s">
        <v>75</v>
      </c>
      <c r="H499" t="s">
        <v>154</v>
      </c>
      <c r="I499" t="s">
        <v>56</v>
      </c>
      <c r="J499" t="s">
        <v>57</v>
      </c>
      <c r="K499" t="s">
        <v>58</v>
      </c>
      <c r="L499" t="s">
        <v>100</v>
      </c>
      <c r="M499" t="s">
        <v>43</v>
      </c>
      <c r="N499">
        <v>2</v>
      </c>
      <c r="O499" t="s">
        <v>80</v>
      </c>
      <c r="P499" s="48">
        <v>64900.01</v>
      </c>
      <c r="Q499" s="48">
        <v>10961.6</v>
      </c>
      <c r="R499" s="48">
        <v>4262.8500000000004</v>
      </c>
      <c r="S499" s="48">
        <v>1737.77</v>
      </c>
      <c r="T499" s="48">
        <v>649</v>
      </c>
      <c r="U499" s="48">
        <v>744.37</v>
      </c>
      <c r="V499" s="48">
        <v>1615.71</v>
      </c>
      <c r="W499" s="48">
        <v>44928.71</v>
      </c>
      <c r="X499">
        <v>24</v>
      </c>
      <c r="Y499" t="s">
        <v>135</v>
      </c>
      <c r="Z499">
        <v>91.35</v>
      </c>
      <c r="AA499" t="s">
        <v>91</v>
      </c>
      <c r="AB499" t="s">
        <v>47</v>
      </c>
      <c r="AC499" t="s">
        <v>70</v>
      </c>
      <c r="AD499" t="s">
        <v>49</v>
      </c>
      <c r="AE499" t="s">
        <v>50</v>
      </c>
      <c r="AF499" s="5">
        <f>DATE(YEAR(C499),MONTH(C499),1)</f>
        <v>45809</v>
      </c>
      <c r="AG499">
        <f>E499-D499</f>
        <v>27</v>
      </c>
      <c r="AH499" s="6">
        <f t="shared" si="7"/>
        <v>69.227585635194814</v>
      </c>
    </row>
    <row r="500" spans="1:34">
      <c r="A500" t="s">
        <v>1113</v>
      </c>
      <c r="B500" t="s">
        <v>1114</v>
      </c>
      <c r="C500" s="1">
        <v>45969</v>
      </c>
      <c r="D500" s="1">
        <v>45970</v>
      </c>
      <c r="E500" s="1">
        <v>45991</v>
      </c>
      <c r="F500" t="s">
        <v>83</v>
      </c>
      <c r="G500" t="s">
        <v>84</v>
      </c>
      <c r="H500" t="s">
        <v>85</v>
      </c>
      <c r="I500" t="s">
        <v>57</v>
      </c>
      <c r="J500" t="s">
        <v>39</v>
      </c>
      <c r="K500" t="s">
        <v>41</v>
      </c>
      <c r="L500" t="s">
        <v>42</v>
      </c>
      <c r="M500" t="s">
        <v>79</v>
      </c>
      <c r="N500">
        <v>4</v>
      </c>
      <c r="O500" t="s">
        <v>105</v>
      </c>
      <c r="P500" s="48">
        <v>47920.38</v>
      </c>
      <c r="Q500" s="48">
        <v>10956.62</v>
      </c>
      <c r="R500" s="48">
        <v>2346.84</v>
      </c>
      <c r="S500" s="48">
        <v>1284.07</v>
      </c>
      <c r="T500" s="48">
        <v>479.2</v>
      </c>
      <c r="U500" s="48">
        <v>571.88</v>
      </c>
      <c r="V500" s="48">
        <v>518.42999999999995</v>
      </c>
      <c r="W500" s="48">
        <v>31763.34</v>
      </c>
      <c r="X500">
        <v>0</v>
      </c>
      <c r="Y500" t="s">
        <v>45</v>
      </c>
      <c r="Z500">
        <v>91.31</v>
      </c>
      <c r="AA500" t="s">
        <v>46</v>
      </c>
      <c r="AB500" t="s">
        <v>47</v>
      </c>
      <c r="AC500" t="s">
        <v>70</v>
      </c>
      <c r="AD500" t="s">
        <v>130</v>
      </c>
      <c r="AE500" t="s">
        <v>62</v>
      </c>
      <c r="AF500" s="5">
        <f>DATE(YEAR(C500),MONTH(C500),1)</f>
        <v>45962</v>
      </c>
      <c r="AG500">
        <f>E500-D500</f>
        <v>21</v>
      </c>
      <c r="AH500" s="6">
        <f t="shared" si="7"/>
        <v>66.283572876508913</v>
      </c>
    </row>
    <row r="501" spans="1:34">
      <c r="A501" t="s">
        <v>1115</v>
      </c>
      <c r="B501" t="s">
        <v>1116</v>
      </c>
      <c r="C501" s="1">
        <v>45670</v>
      </c>
      <c r="D501" s="1">
        <v>45674</v>
      </c>
      <c r="E501" s="1">
        <v>45700</v>
      </c>
      <c r="F501" t="s">
        <v>234</v>
      </c>
      <c r="G501" t="s">
        <v>111</v>
      </c>
      <c r="H501" t="s">
        <v>150</v>
      </c>
      <c r="I501" t="s">
        <v>115</v>
      </c>
      <c r="J501" t="s">
        <v>98</v>
      </c>
      <c r="K501" t="s">
        <v>99</v>
      </c>
      <c r="L501" t="s">
        <v>124</v>
      </c>
      <c r="M501" t="s">
        <v>43</v>
      </c>
      <c r="N501">
        <v>2</v>
      </c>
      <c r="O501" t="s">
        <v>80</v>
      </c>
      <c r="P501" s="48">
        <v>48667.23</v>
      </c>
      <c r="Q501" s="48">
        <v>10950.02</v>
      </c>
      <c r="R501" s="48">
        <v>2530.1</v>
      </c>
      <c r="S501" s="48">
        <v>1007.61</v>
      </c>
      <c r="T501" s="48">
        <v>486.67</v>
      </c>
      <c r="U501" s="48">
        <v>525.85</v>
      </c>
      <c r="V501" s="48">
        <v>535.35</v>
      </c>
      <c r="W501" s="48">
        <v>32631.63</v>
      </c>
      <c r="X501">
        <v>36</v>
      </c>
      <c r="Y501" t="s">
        <v>112</v>
      </c>
      <c r="Z501">
        <v>91.25</v>
      </c>
      <c r="AA501" t="s">
        <v>91</v>
      </c>
      <c r="AB501" t="s">
        <v>47</v>
      </c>
      <c r="AC501" t="s">
        <v>48</v>
      </c>
      <c r="AD501" t="s">
        <v>144</v>
      </c>
      <c r="AE501" t="s">
        <v>50</v>
      </c>
      <c r="AF501" s="5">
        <f>DATE(YEAR(C501),MONTH(C501),1)</f>
        <v>45658</v>
      </c>
      <c r="AG501">
        <f>E501-D501</f>
        <v>26</v>
      </c>
      <c r="AH501" s="6">
        <f t="shared" si="7"/>
        <v>67.050518387835098</v>
      </c>
    </row>
    <row r="502" spans="1:34">
      <c r="A502" t="s">
        <v>1117</v>
      </c>
      <c r="B502" t="s">
        <v>1118</v>
      </c>
      <c r="C502" s="1">
        <v>45825</v>
      </c>
      <c r="D502" s="1">
        <v>45828</v>
      </c>
      <c r="E502" s="1">
        <v>45841</v>
      </c>
      <c r="F502" t="s">
        <v>138</v>
      </c>
      <c r="G502" t="s">
        <v>139</v>
      </c>
      <c r="H502" t="s">
        <v>76</v>
      </c>
      <c r="I502" t="s">
        <v>56</v>
      </c>
      <c r="J502" t="s">
        <v>57</v>
      </c>
      <c r="K502" t="s">
        <v>58</v>
      </c>
      <c r="L502" t="s">
        <v>78</v>
      </c>
      <c r="M502" t="s">
        <v>68</v>
      </c>
      <c r="N502">
        <v>2</v>
      </c>
      <c r="O502" t="s">
        <v>54</v>
      </c>
      <c r="P502" s="48">
        <v>48991.85</v>
      </c>
      <c r="Q502" s="48">
        <v>10933.9</v>
      </c>
      <c r="R502" s="48">
        <v>2125.0500000000002</v>
      </c>
      <c r="S502" s="48">
        <v>843.5</v>
      </c>
      <c r="T502" s="48">
        <v>489.92</v>
      </c>
      <c r="U502" s="48">
        <v>524.41</v>
      </c>
      <c r="V502" s="48">
        <v>2098.44</v>
      </c>
      <c r="W502" s="48">
        <v>31976.63</v>
      </c>
      <c r="X502">
        <v>48</v>
      </c>
      <c r="Y502" t="s">
        <v>117</v>
      </c>
      <c r="Z502">
        <v>91.12</v>
      </c>
      <c r="AA502" t="s">
        <v>91</v>
      </c>
      <c r="AB502" t="s">
        <v>47</v>
      </c>
      <c r="AC502" t="s">
        <v>70</v>
      </c>
      <c r="AD502" t="s">
        <v>93</v>
      </c>
      <c r="AE502" t="s">
        <v>50</v>
      </c>
      <c r="AF502" s="5">
        <f>DATE(YEAR(C502),MONTH(C502),1)</f>
        <v>45809</v>
      </c>
      <c r="AG502">
        <f>E502-D502</f>
        <v>13</v>
      </c>
      <c r="AH502" s="6">
        <f t="shared" si="7"/>
        <v>65.269284585089167</v>
      </c>
    </row>
    <row r="503" spans="1:34">
      <c r="A503" t="s">
        <v>1119</v>
      </c>
      <c r="B503" t="s">
        <v>1120</v>
      </c>
      <c r="C503" s="1">
        <v>45839</v>
      </c>
      <c r="D503" s="1">
        <v>45842</v>
      </c>
      <c r="E503" s="1">
        <v>45857</v>
      </c>
      <c r="F503" t="s">
        <v>74</v>
      </c>
      <c r="G503" t="s">
        <v>75</v>
      </c>
      <c r="H503" t="s">
        <v>76</v>
      </c>
      <c r="I503" t="s">
        <v>115</v>
      </c>
      <c r="J503" t="s">
        <v>98</v>
      </c>
      <c r="K503" t="s">
        <v>99</v>
      </c>
      <c r="L503" t="s">
        <v>127</v>
      </c>
      <c r="M503" t="s">
        <v>43</v>
      </c>
      <c r="N503">
        <v>2</v>
      </c>
      <c r="O503" t="s">
        <v>89</v>
      </c>
      <c r="P503" s="48">
        <v>51104.160000000003</v>
      </c>
      <c r="Q503" s="48">
        <v>10813.11</v>
      </c>
      <c r="R503" s="48">
        <v>3185.85</v>
      </c>
      <c r="S503" s="48">
        <v>1076.74</v>
      </c>
      <c r="T503" s="48">
        <v>511.04</v>
      </c>
      <c r="U503" s="48">
        <v>204.59</v>
      </c>
      <c r="V503" s="48">
        <v>1735.92</v>
      </c>
      <c r="W503" s="48">
        <v>33576.910000000003</v>
      </c>
      <c r="X503">
        <v>0</v>
      </c>
      <c r="Y503" t="s">
        <v>45</v>
      </c>
      <c r="Z503">
        <v>90.11</v>
      </c>
      <c r="AA503" t="s">
        <v>46</v>
      </c>
      <c r="AB503" t="s">
        <v>47</v>
      </c>
      <c r="AC503" t="s">
        <v>48</v>
      </c>
      <c r="AD503" t="s">
        <v>93</v>
      </c>
      <c r="AE503" t="s">
        <v>50</v>
      </c>
      <c r="AF503" s="5">
        <f>DATE(YEAR(C503),MONTH(C503),1)</f>
        <v>45839</v>
      </c>
      <c r="AG503">
        <f>E503-D503</f>
        <v>15</v>
      </c>
      <c r="AH503" s="6">
        <f t="shared" si="7"/>
        <v>65.702889940858043</v>
      </c>
    </row>
    <row r="504" spans="1:34">
      <c r="A504" t="s">
        <v>1121</v>
      </c>
      <c r="B504" t="s">
        <v>1122</v>
      </c>
      <c r="C504" s="1">
        <v>45808</v>
      </c>
      <c r="D504" s="1">
        <v>45810</v>
      </c>
      <c r="E504" s="1">
        <v>45837</v>
      </c>
      <c r="F504" t="s">
        <v>53</v>
      </c>
      <c r="G504" t="s">
        <v>54</v>
      </c>
      <c r="H504" t="s">
        <v>55</v>
      </c>
      <c r="I504" t="s">
        <v>115</v>
      </c>
      <c r="J504" t="s">
        <v>98</v>
      </c>
      <c r="K504" t="s">
        <v>99</v>
      </c>
      <c r="L504" t="s">
        <v>116</v>
      </c>
      <c r="M504" t="s">
        <v>43</v>
      </c>
      <c r="N504">
        <v>2</v>
      </c>
      <c r="O504" t="s">
        <v>69</v>
      </c>
      <c r="P504" s="48">
        <v>46279.09</v>
      </c>
      <c r="Q504" s="48">
        <v>10794.68</v>
      </c>
      <c r="R504" s="48">
        <v>3061.13</v>
      </c>
      <c r="S504" s="48">
        <v>970.93</v>
      </c>
      <c r="T504" s="48">
        <v>462.79</v>
      </c>
      <c r="U504" s="48">
        <v>353.18</v>
      </c>
      <c r="V504" s="48">
        <v>1593.99</v>
      </c>
      <c r="W504" s="48">
        <v>29042.39</v>
      </c>
      <c r="X504">
        <v>12</v>
      </c>
      <c r="Y504" t="s">
        <v>101</v>
      </c>
      <c r="Z504">
        <v>89.96</v>
      </c>
      <c r="AA504" t="s">
        <v>91</v>
      </c>
      <c r="AB504" t="s">
        <v>92</v>
      </c>
      <c r="AC504" t="s">
        <v>60</v>
      </c>
      <c r="AD504" t="s">
        <v>144</v>
      </c>
      <c r="AE504" t="s">
        <v>62</v>
      </c>
      <c r="AF504" s="5">
        <f>DATE(YEAR(C504),MONTH(C504),1)</f>
        <v>45778</v>
      </c>
      <c r="AG504">
        <f>E504-D504</f>
        <v>27</v>
      </c>
      <c r="AH504" s="6">
        <f t="shared" si="7"/>
        <v>62.754885629773625</v>
      </c>
    </row>
    <row r="505" spans="1:34">
      <c r="A505" t="s">
        <v>1123</v>
      </c>
      <c r="B505" t="s">
        <v>1124</v>
      </c>
      <c r="C505" s="1">
        <v>45951</v>
      </c>
      <c r="D505" s="1">
        <v>45952</v>
      </c>
      <c r="E505" s="1">
        <v>45978</v>
      </c>
      <c r="F505" t="s">
        <v>138</v>
      </c>
      <c r="G505" t="s">
        <v>139</v>
      </c>
      <c r="H505" t="s">
        <v>76</v>
      </c>
      <c r="I505" t="s">
        <v>57</v>
      </c>
      <c r="J505" t="s">
        <v>98</v>
      </c>
      <c r="K505" t="s">
        <v>99</v>
      </c>
      <c r="L505" t="s">
        <v>155</v>
      </c>
      <c r="M505" t="s">
        <v>79</v>
      </c>
      <c r="N505">
        <v>1</v>
      </c>
      <c r="O505" t="s">
        <v>80</v>
      </c>
      <c r="P505" s="48">
        <v>44184.58</v>
      </c>
      <c r="Q505" s="48">
        <v>10790.02</v>
      </c>
      <c r="R505" s="48">
        <v>2798.77</v>
      </c>
      <c r="S505" s="48">
        <v>496.29</v>
      </c>
      <c r="T505" s="48">
        <v>441.85</v>
      </c>
      <c r="U505" s="48">
        <v>581.80999999999995</v>
      </c>
      <c r="V505" s="48">
        <v>490.83</v>
      </c>
      <c r="W505" s="48">
        <v>28585.01</v>
      </c>
      <c r="X505">
        <v>0</v>
      </c>
      <c r="Y505" t="s">
        <v>45</v>
      </c>
      <c r="Z505">
        <v>89.92</v>
      </c>
      <c r="AA505" t="s">
        <v>46</v>
      </c>
      <c r="AB505" t="s">
        <v>47</v>
      </c>
      <c r="AC505" t="s">
        <v>70</v>
      </c>
      <c r="AD505" t="s">
        <v>49</v>
      </c>
      <c r="AE505" t="s">
        <v>102</v>
      </c>
      <c r="AF505" s="5">
        <f>DATE(YEAR(C505),MONTH(C505),1)</f>
        <v>45931</v>
      </c>
      <c r="AG505">
        <f>E505-D505</f>
        <v>26</v>
      </c>
      <c r="AH505" s="6">
        <f t="shared" si="7"/>
        <v>64.694538230305682</v>
      </c>
    </row>
    <row r="506" spans="1:34">
      <c r="A506" t="s">
        <v>1125</v>
      </c>
      <c r="B506" t="s">
        <v>1126</v>
      </c>
      <c r="C506" s="1">
        <v>45791</v>
      </c>
      <c r="D506" s="1">
        <v>45793</v>
      </c>
      <c r="E506" s="1">
        <v>45818</v>
      </c>
      <c r="F506" t="s">
        <v>149</v>
      </c>
      <c r="G506" t="s">
        <v>111</v>
      </c>
      <c r="H506" t="s">
        <v>150</v>
      </c>
      <c r="I506" t="s">
        <v>115</v>
      </c>
      <c r="J506" t="s">
        <v>98</v>
      </c>
      <c r="K506" t="s">
        <v>99</v>
      </c>
      <c r="L506" t="s">
        <v>124</v>
      </c>
      <c r="M506" t="s">
        <v>108</v>
      </c>
      <c r="N506">
        <v>1</v>
      </c>
      <c r="O506" t="s">
        <v>105</v>
      </c>
      <c r="P506" s="48">
        <v>37162.82</v>
      </c>
      <c r="Q506" s="48">
        <v>10778.18</v>
      </c>
      <c r="R506" s="48">
        <v>1491.94</v>
      </c>
      <c r="S506" s="48">
        <v>591.44000000000005</v>
      </c>
      <c r="T506" s="48">
        <v>371.63</v>
      </c>
      <c r="U506" s="48">
        <v>851.61</v>
      </c>
      <c r="V506" s="48">
        <v>2290.19</v>
      </c>
      <c r="W506" s="48">
        <v>20787.830000000002</v>
      </c>
      <c r="X506">
        <v>36</v>
      </c>
      <c r="Y506" t="s">
        <v>117</v>
      </c>
      <c r="Z506">
        <v>89.82</v>
      </c>
      <c r="AA506" t="s">
        <v>91</v>
      </c>
      <c r="AB506" t="s">
        <v>92</v>
      </c>
      <c r="AC506" t="s">
        <v>70</v>
      </c>
      <c r="AD506" t="s">
        <v>61</v>
      </c>
      <c r="AE506" t="s">
        <v>71</v>
      </c>
      <c r="AF506" s="5">
        <f>DATE(YEAR(C506),MONTH(C506),1)</f>
        <v>45778</v>
      </c>
      <c r="AG506">
        <f>E506-D506</f>
        <v>25</v>
      </c>
      <c r="AH506" s="6">
        <f t="shared" si="7"/>
        <v>55.937170537650275</v>
      </c>
    </row>
    <row r="507" spans="1:34">
      <c r="A507" t="s">
        <v>1127</v>
      </c>
      <c r="B507" t="s">
        <v>1128</v>
      </c>
      <c r="C507" s="1">
        <v>45968</v>
      </c>
      <c r="D507" s="1">
        <v>45971</v>
      </c>
      <c r="E507" s="1">
        <v>45986</v>
      </c>
      <c r="F507" t="s">
        <v>120</v>
      </c>
      <c r="G507" t="s">
        <v>75</v>
      </c>
      <c r="H507" t="s">
        <v>121</v>
      </c>
      <c r="I507" t="s">
        <v>77</v>
      </c>
      <c r="J507" t="s">
        <v>39</v>
      </c>
      <c r="K507" t="s">
        <v>41</v>
      </c>
      <c r="L507" t="s">
        <v>42</v>
      </c>
      <c r="M507" t="s">
        <v>68</v>
      </c>
      <c r="N507">
        <v>1</v>
      </c>
      <c r="O507" t="s">
        <v>105</v>
      </c>
      <c r="P507" s="48">
        <v>40268.01</v>
      </c>
      <c r="Q507" s="48">
        <v>10690.03</v>
      </c>
      <c r="R507" s="48">
        <v>2213.94</v>
      </c>
      <c r="S507" s="48">
        <v>475.16</v>
      </c>
      <c r="T507" s="48">
        <v>402.68</v>
      </c>
      <c r="U507" s="48">
        <v>252.2</v>
      </c>
      <c r="V507" s="48">
        <v>680.67</v>
      </c>
      <c r="W507" s="48">
        <v>25553.33</v>
      </c>
      <c r="X507">
        <v>0</v>
      </c>
      <c r="Y507" t="s">
        <v>45</v>
      </c>
      <c r="Z507">
        <v>89.08</v>
      </c>
      <c r="AA507" t="s">
        <v>46</v>
      </c>
      <c r="AB507" t="s">
        <v>92</v>
      </c>
      <c r="AC507" t="s">
        <v>60</v>
      </c>
      <c r="AD507" t="s">
        <v>49</v>
      </c>
      <c r="AE507" t="s">
        <v>62</v>
      </c>
      <c r="AF507" s="5">
        <f>DATE(YEAR(C507),MONTH(C507),1)</f>
        <v>45962</v>
      </c>
      <c r="AG507">
        <f>E507-D507</f>
        <v>15</v>
      </c>
      <c r="AH507" s="6">
        <f t="shared" si="7"/>
        <v>63.458139600144136</v>
      </c>
    </row>
    <row r="508" spans="1:34">
      <c r="A508" t="s">
        <v>1129</v>
      </c>
      <c r="B508" t="s">
        <v>1130</v>
      </c>
      <c r="C508" s="1">
        <v>45779</v>
      </c>
      <c r="D508" s="1">
        <v>45783</v>
      </c>
      <c r="E508" s="1">
        <v>45798</v>
      </c>
      <c r="F508" t="s">
        <v>74</v>
      </c>
      <c r="G508" t="s">
        <v>75</v>
      </c>
      <c r="H508" t="s">
        <v>76</v>
      </c>
      <c r="I508" t="s">
        <v>86</v>
      </c>
      <c r="J508" t="s">
        <v>87</v>
      </c>
      <c r="K508" t="s">
        <v>88</v>
      </c>
      <c r="L508" t="s">
        <v>100</v>
      </c>
      <c r="M508" t="s">
        <v>43</v>
      </c>
      <c r="N508">
        <v>2</v>
      </c>
      <c r="O508" t="s">
        <v>80</v>
      </c>
      <c r="P508" s="48">
        <v>48610.400000000001</v>
      </c>
      <c r="Q508" s="48">
        <v>10678.78</v>
      </c>
      <c r="R508" s="48">
        <v>3510.62</v>
      </c>
      <c r="S508" s="48">
        <v>827.29</v>
      </c>
      <c r="T508" s="48">
        <v>486.1</v>
      </c>
      <c r="U508" s="48">
        <v>504.07</v>
      </c>
      <c r="V508" s="48">
        <v>2037.81</v>
      </c>
      <c r="W508" s="48">
        <v>30565.73</v>
      </c>
      <c r="X508">
        <v>4</v>
      </c>
      <c r="Y508" t="s">
        <v>112</v>
      </c>
      <c r="Z508">
        <v>88.99</v>
      </c>
      <c r="AA508" t="s">
        <v>91</v>
      </c>
      <c r="AB508" t="s">
        <v>47</v>
      </c>
      <c r="AC508" t="s">
        <v>70</v>
      </c>
      <c r="AD508" t="s">
        <v>49</v>
      </c>
      <c r="AE508" t="s">
        <v>71</v>
      </c>
      <c r="AF508" s="5">
        <f>DATE(YEAR(C508),MONTH(C508),1)</f>
        <v>45778</v>
      </c>
      <c r="AG508">
        <f>E508-D508</f>
        <v>15</v>
      </c>
      <c r="AH508" s="6">
        <f t="shared" si="7"/>
        <v>62.878992972697198</v>
      </c>
    </row>
    <row r="509" spans="1:34">
      <c r="A509" t="s">
        <v>1131</v>
      </c>
      <c r="B509" t="s">
        <v>1132</v>
      </c>
      <c r="C509" s="1">
        <v>45779</v>
      </c>
      <c r="D509" s="1">
        <v>45783</v>
      </c>
      <c r="E509" s="1">
        <v>45811</v>
      </c>
      <c r="F509" t="s">
        <v>149</v>
      </c>
      <c r="G509" t="s">
        <v>111</v>
      </c>
      <c r="H509" t="s">
        <v>150</v>
      </c>
      <c r="I509" t="s">
        <v>57</v>
      </c>
      <c r="J509" t="s">
        <v>98</v>
      </c>
      <c r="K509" t="s">
        <v>99</v>
      </c>
      <c r="L509" t="s">
        <v>155</v>
      </c>
      <c r="M509" t="s">
        <v>108</v>
      </c>
      <c r="N509">
        <v>2</v>
      </c>
      <c r="O509" t="s">
        <v>44</v>
      </c>
      <c r="P509" s="48">
        <v>41362.46</v>
      </c>
      <c r="Q509" s="48">
        <v>10677.81</v>
      </c>
      <c r="R509" s="48">
        <v>2541.34</v>
      </c>
      <c r="S509" s="48">
        <v>1016.81</v>
      </c>
      <c r="T509" s="48">
        <v>413.62</v>
      </c>
      <c r="U509" s="48">
        <v>140.6</v>
      </c>
      <c r="V509" s="48">
        <v>546.69000000000005</v>
      </c>
      <c r="W509" s="48">
        <v>26025.59</v>
      </c>
      <c r="X509">
        <v>4</v>
      </c>
      <c r="Y509" t="s">
        <v>101</v>
      </c>
      <c r="Z509">
        <v>88.98</v>
      </c>
      <c r="AA509" t="s">
        <v>91</v>
      </c>
      <c r="AB509" t="s">
        <v>47</v>
      </c>
      <c r="AC509" t="s">
        <v>60</v>
      </c>
      <c r="AD509" t="s">
        <v>130</v>
      </c>
      <c r="AE509" t="s">
        <v>102</v>
      </c>
      <c r="AF509" s="5">
        <f>DATE(YEAR(C509),MONTH(C509),1)</f>
        <v>45778</v>
      </c>
      <c r="AG509">
        <f>E509-D509</f>
        <v>28</v>
      </c>
      <c r="AH509" s="6">
        <f t="shared" si="7"/>
        <v>62.920798231052984</v>
      </c>
    </row>
    <row r="510" spans="1:34">
      <c r="A510" t="s">
        <v>1133</v>
      </c>
      <c r="B510" t="s">
        <v>1134</v>
      </c>
      <c r="C510" s="1">
        <v>45735</v>
      </c>
      <c r="D510" s="1">
        <v>45737</v>
      </c>
      <c r="E510" s="1">
        <v>45750</v>
      </c>
      <c r="F510" t="s">
        <v>180</v>
      </c>
      <c r="G510" t="s">
        <v>181</v>
      </c>
      <c r="H510" t="s">
        <v>38</v>
      </c>
      <c r="I510" t="s">
        <v>98</v>
      </c>
      <c r="J510" t="s">
        <v>86</v>
      </c>
      <c r="K510" t="s">
        <v>41</v>
      </c>
      <c r="L510" t="s">
        <v>78</v>
      </c>
      <c r="M510" t="s">
        <v>43</v>
      </c>
      <c r="N510">
        <v>4</v>
      </c>
      <c r="O510" t="s">
        <v>105</v>
      </c>
      <c r="P510" s="48">
        <v>43498.57</v>
      </c>
      <c r="Q510" s="48">
        <v>10654.71</v>
      </c>
      <c r="R510" s="48">
        <v>2328.46</v>
      </c>
      <c r="S510" s="48">
        <v>859.74</v>
      </c>
      <c r="T510" s="48">
        <v>434.99</v>
      </c>
      <c r="U510" s="48">
        <v>526.84</v>
      </c>
      <c r="V510" s="48">
        <v>944.08</v>
      </c>
      <c r="W510" s="48">
        <v>27749.75</v>
      </c>
      <c r="X510">
        <v>8</v>
      </c>
      <c r="Y510" t="s">
        <v>117</v>
      </c>
      <c r="Z510">
        <v>88.79</v>
      </c>
      <c r="AA510" t="s">
        <v>91</v>
      </c>
      <c r="AB510" t="s">
        <v>47</v>
      </c>
      <c r="AC510" t="s">
        <v>60</v>
      </c>
      <c r="AD510" t="s">
        <v>144</v>
      </c>
      <c r="AE510" t="s">
        <v>62</v>
      </c>
      <c r="AF510" s="5">
        <f>DATE(YEAR(C510),MONTH(C510),1)</f>
        <v>45717</v>
      </c>
      <c r="AG510">
        <f>E510-D510</f>
        <v>13</v>
      </c>
      <c r="AH510" s="6">
        <f t="shared" si="7"/>
        <v>63.79462589229945</v>
      </c>
    </row>
    <row r="511" spans="1:34">
      <c r="A511" t="s">
        <v>1135</v>
      </c>
      <c r="B511" t="s">
        <v>1136</v>
      </c>
      <c r="C511" s="1">
        <v>45724</v>
      </c>
      <c r="D511" s="1">
        <v>45728</v>
      </c>
      <c r="E511" s="1">
        <v>45751</v>
      </c>
      <c r="F511" t="s">
        <v>149</v>
      </c>
      <c r="G511" t="s">
        <v>111</v>
      </c>
      <c r="H511" t="s">
        <v>150</v>
      </c>
      <c r="I511" t="s">
        <v>40</v>
      </c>
      <c r="J511" t="s">
        <v>122</v>
      </c>
      <c r="K511" t="s">
        <v>123</v>
      </c>
      <c r="L511" t="s">
        <v>100</v>
      </c>
      <c r="M511" t="s">
        <v>108</v>
      </c>
      <c r="N511">
        <v>2</v>
      </c>
      <c r="O511" t="s">
        <v>69</v>
      </c>
      <c r="P511" s="48">
        <v>51861.74</v>
      </c>
      <c r="Q511" s="48">
        <v>10586.83</v>
      </c>
      <c r="R511" s="48">
        <v>4080.01</v>
      </c>
      <c r="S511" s="48">
        <v>597.48</v>
      </c>
      <c r="T511" s="48">
        <v>518.62</v>
      </c>
      <c r="U511" s="48">
        <v>662.43</v>
      </c>
      <c r="V511" s="48">
        <v>2361.8200000000002</v>
      </c>
      <c r="W511" s="48">
        <v>33054.550000000003</v>
      </c>
      <c r="X511">
        <v>0</v>
      </c>
      <c r="Y511" t="s">
        <v>45</v>
      </c>
      <c r="Z511">
        <v>88.22</v>
      </c>
      <c r="AA511" t="s">
        <v>46</v>
      </c>
      <c r="AB511" t="s">
        <v>92</v>
      </c>
      <c r="AC511" t="s">
        <v>70</v>
      </c>
      <c r="AD511" t="s">
        <v>61</v>
      </c>
      <c r="AE511" t="s">
        <v>102</v>
      </c>
      <c r="AF511" s="5">
        <f>DATE(YEAR(C511),MONTH(C511),1)</f>
        <v>45717</v>
      </c>
      <c r="AG511">
        <f>E511-D511</f>
        <v>23</v>
      </c>
      <c r="AH511" s="6">
        <f t="shared" si="7"/>
        <v>63.735906276958708</v>
      </c>
    </row>
    <row r="512" spans="1:34">
      <c r="A512" t="s">
        <v>1137</v>
      </c>
      <c r="B512" t="s">
        <v>1138</v>
      </c>
      <c r="C512" s="1">
        <v>45762</v>
      </c>
      <c r="D512" s="1">
        <v>45764</v>
      </c>
      <c r="E512" s="1">
        <v>45789</v>
      </c>
      <c r="F512" t="s">
        <v>53</v>
      </c>
      <c r="G512" t="s">
        <v>54</v>
      </c>
      <c r="H512" t="s">
        <v>55</v>
      </c>
      <c r="I512" t="s">
        <v>122</v>
      </c>
      <c r="J512" t="s">
        <v>122</v>
      </c>
      <c r="K512" t="s">
        <v>41</v>
      </c>
      <c r="L512" t="s">
        <v>155</v>
      </c>
      <c r="M512" t="s">
        <v>43</v>
      </c>
      <c r="N512">
        <v>2</v>
      </c>
      <c r="O512" t="s">
        <v>54</v>
      </c>
      <c r="P512" s="48">
        <v>63738.31</v>
      </c>
      <c r="Q512" s="48">
        <v>10540.81</v>
      </c>
      <c r="R512" s="48">
        <v>3728.6</v>
      </c>
      <c r="S512" s="48">
        <v>826.85</v>
      </c>
      <c r="T512" s="48">
        <v>637.38</v>
      </c>
      <c r="U512" s="48">
        <v>259.57</v>
      </c>
      <c r="V512" s="48">
        <v>771.81</v>
      </c>
      <c r="W512" s="48">
        <v>46973.29</v>
      </c>
      <c r="X512">
        <v>4</v>
      </c>
      <c r="Y512" t="s">
        <v>90</v>
      </c>
      <c r="Z512">
        <v>87.84</v>
      </c>
      <c r="AA512" t="s">
        <v>91</v>
      </c>
      <c r="AB512" t="s">
        <v>92</v>
      </c>
      <c r="AC512" t="s">
        <v>70</v>
      </c>
      <c r="AD512" t="s">
        <v>93</v>
      </c>
      <c r="AE512" t="s">
        <v>62</v>
      </c>
      <c r="AF512" s="5">
        <f>DATE(YEAR(C512),MONTH(C512),1)</f>
        <v>45748</v>
      </c>
      <c r="AG512">
        <f>E512-D512</f>
        <v>25</v>
      </c>
      <c r="AH512" s="6">
        <f t="shared" si="7"/>
        <v>73.697106183078915</v>
      </c>
    </row>
    <row r="513" spans="1:34">
      <c r="A513" t="s">
        <v>1139</v>
      </c>
      <c r="B513" t="s">
        <v>1140</v>
      </c>
      <c r="C513" s="1">
        <v>45987</v>
      </c>
      <c r="D513" s="1">
        <v>45989</v>
      </c>
      <c r="E513" s="1">
        <v>46006</v>
      </c>
      <c r="F513" t="s">
        <v>180</v>
      </c>
      <c r="G513" t="s">
        <v>181</v>
      </c>
      <c r="H513" t="s">
        <v>38</v>
      </c>
      <c r="I513" t="s">
        <v>57</v>
      </c>
      <c r="J513" t="s">
        <v>98</v>
      </c>
      <c r="K513" t="s">
        <v>99</v>
      </c>
      <c r="L513" t="s">
        <v>116</v>
      </c>
      <c r="M513" t="s">
        <v>68</v>
      </c>
      <c r="N513">
        <v>2</v>
      </c>
      <c r="O513" t="s">
        <v>44</v>
      </c>
      <c r="P513" s="48">
        <v>37158.22</v>
      </c>
      <c r="Q513" s="48">
        <v>10525.31</v>
      </c>
      <c r="R513" s="48">
        <v>2371.08</v>
      </c>
      <c r="S513" s="48">
        <v>468.36</v>
      </c>
      <c r="T513" s="48">
        <v>371.58</v>
      </c>
      <c r="U513" s="48">
        <v>156.77000000000001</v>
      </c>
      <c r="V513" s="48">
        <v>1358.48</v>
      </c>
      <c r="W513" s="48">
        <v>21906.639999999999</v>
      </c>
      <c r="X513">
        <v>0</v>
      </c>
      <c r="Y513" t="s">
        <v>45</v>
      </c>
      <c r="Z513">
        <v>87.71</v>
      </c>
      <c r="AA513" t="s">
        <v>46</v>
      </c>
      <c r="AB513" t="s">
        <v>92</v>
      </c>
      <c r="AC513" t="s">
        <v>70</v>
      </c>
      <c r="AD513" t="s">
        <v>49</v>
      </c>
      <c r="AE513" t="s">
        <v>71</v>
      </c>
      <c r="AF513" s="5">
        <f>DATE(YEAR(C513),MONTH(C513),1)</f>
        <v>45962</v>
      </c>
      <c r="AG513">
        <f>E513-D513</f>
        <v>17</v>
      </c>
      <c r="AH513" s="6">
        <f t="shared" si="7"/>
        <v>58.955030676926931</v>
      </c>
    </row>
    <row r="514" spans="1:34">
      <c r="A514" t="s">
        <v>1141</v>
      </c>
      <c r="B514" t="s">
        <v>1142</v>
      </c>
      <c r="C514" s="1">
        <v>45904</v>
      </c>
      <c r="D514" s="1">
        <v>45907</v>
      </c>
      <c r="E514" s="1">
        <v>45934</v>
      </c>
      <c r="F514" t="s">
        <v>138</v>
      </c>
      <c r="G514" t="s">
        <v>139</v>
      </c>
      <c r="H514" t="s">
        <v>76</v>
      </c>
      <c r="I514" t="s">
        <v>57</v>
      </c>
      <c r="J514" t="s">
        <v>98</v>
      </c>
      <c r="K514" t="s">
        <v>99</v>
      </c>
      <c r="L514" t="s">
        <v>124</v>
      </c>
      <c r="M514" t="s">
        <v>68</v>
      </c>
      <c r="N514">
        <v>2</v>
      </c>
      <c r="O514" t="s">
        <v>80</v>
      </c>
      <c r="P514" s="48">
        <v>39687.519999999997</v>
      </c>
      <c r="Q514" s="48">
        <v>10502.55</v>
      </c>
      <c r="R514" s="48">
        <v>2823.15</v>
      </c>
      <c r="S514" s="48">
        <v>696.59</v>
      </c>
      <c r="T514" s="48">
        <v>396.88</v>
      </c>
      <c r="U514" s="48">
        <v>410.42</v>
      </c>
      <c r="V514" s="48">
        <v>1816.04</v>
      </c>
      <c r="W514" s="48">
        <v>23041.89</v>
      </c>
      <c r="X514">
        <v>24</v>
      </c>
      <c r="Y514" t="s">
        <v>101</v>
      </c>
      <c r="Z514">
        <v>87.52</v>
      </c>
      <c r="AA514" t="s">
        <v>91</v>
      </c>
      <c r="AB514" t="s">
        <v>92</v>
      </c>
      <c r="AC514" t="s">
        <v>48</v>
      </c>
      <c r="AD514" t="s">
        <v>93</v>
      </c>
      <c r="AE514" t="s">
        <v>62</v>
      </c>
      <c r="AF514" s="5">
        <f>DATE(YEAR(C514),MONTH(C514),1)</f>
        <v>45901</v>
      </c>
      <c r="AG514">
        <f>E514-D514</f>
        <v>27</v>
      </c>
      <c r="AH514" s="6">
        <f t="shared" si="7"/>
        <v>58.058276254097009</v>
      </c>
    </row>
    <row r="515" spans="1:34">
      <c r="A515" t="s">
        <v>1143</v>
      </c>
      <c r="B515" t="s">
        <v>1144</v>
      </c>
      <c r="C515" s="1">
        <v>45992</v>
      </c>
      <c r="D515" s="1">
        <v>45994</v>
      </c>
      <c r="E515" s="1">
        <v>46004</v>
      </c>
      <c r="F515" t="s">
        <v>138</v>
      </c>
      <c r="G515" t="s">
        <v>139</v>
      </c>
      <c r="H515" t="s">
        <v>76</v>
      </c>
      <c r="I515" t="s">
        <v>57</v>
      </c>
      <c r="J515" t="s">
        <v>98</v>
      </c>
      <c r="K515" t="s">
        <v>99</v>
      </c>
      <c r="L515" t="s">
        <v>100</v>
      </c>
      <c r="M515" t="s">
        <v>68</v>
      </c>
      <c r="N515">
        <v>2</v>
      </c>
      <c r="O515" t="s">
        <v>54</v>
      </c>
      <c r="P515" s="48">
        <v>36222.75</v>
      </c>
      <c r="Q515" s="48">
        <v>10499.28</v>
      </c>
      <c r="R515" s="48">
        <v>2572.52</v>
      </c>
      <c r="S515" s="48">
        <v>808.26</v>
      </c>
      <c r="T515" s="48">
        <v>362.23</v>
      </c>
      <c r="U515" s="48">
        <v>125.19</v>
      </c>
      <c r="V515" s="48">
        <v>1288.26</v>
      </c>
      <c r="W515" s="48">
        <v>20567.009999999998</v>
      </c>
      <c r="X515">
        <v>0</v>
      </c>
      <c r="Y515" t="s">
        <v>45</v>
      </c>
      <c r="Z515">
        <v>87.49</v>
      </c>
      <c r="AA515" t="s">
        <v>46</v>
      </c>
      <c r="AB515" t="s">
        <v>92</v>
      </c>
      <c r="AC515" t="s">
        <v>60</v>
      </c>
      <c r="AD515" t="s">
        <v>130</v>
      </c>
      <c r="AE515" t="s">
        <v>71</v>
      </c>
      <c r="AF515" s="5">
        <f>DATE(YEAR(C515),MONTH(C515),1)</f>
        <v>45992</v>
      </c>
      <c r="AG515">
        <f>E515-D515</f>
        <v>10</v>
      </c>
      <c r="AH515" s="6">
        <f t="shared" ref="AH515:AH578" si="8">W515/P515*100</f>
        <v>56.779261651862434</v>
      </c>
    </row>
    <row r="516" spans="1:34">
      <c r="A516" t="s">
        <v>1145</v>
      </c>
      <c r="B516" t="s">
        <v>1146</v>
      </c>
      <c r="C516" s="1">
        <v>45922</v>
      </c>
      <c r="D516" s="1">
        <v>45926</v>
      </c>
      <c r="E516" s="1">
        <v>45939</v>
      </c>
      <c r="F516" t="s">
        <v>36</v>
      </c>
      <c r="G516" t="s">
        <v>37</v>
      </c>
      <c r="H516" t="s">
        <v>38</v>
      </c>
      <c r="I516" t="s">
        <v>122</v>
      </c>
      <c r="J516" t="s">
        <v>40</v>
      </c>
      <c r="K516" t="s">
        <v>41</v>
      </c>
      <c r="L516" t="s">
        <v>124</v>
      </c>
      <c r="M516" t="s">
        <v>79</v>
      </c>
      <c r="N516">
        <v>2</v>
      </c>
      <c r="O516" t="s">
        <v>89</v>
      </c>
      <c r="P516" s="48">
        <v>55353.75</v>
      </c>
      <c r="Q516" s="48">
        <v>10466.91</v>
      </c>
      <c r="R516" s="48">
        <v>3195.93</v>
      </c>
      <c r="S516" s="48">
        <v>600</v>
      </c>
      <c r="T516" s="48">
        <v>553.54</v>
      </c>
      <c r="U516" s="48">
        <v>620.36</v>
      </c>
      <c r="V516" s="48">
        <v>2420.37</v>
      </c>
      <c r="W516" s="48">
        <v>37496.639999999999</v>
      </c>
      <c r="X516">
        <v>36</v>
      </c>
      <c r="Y516" t="s">
        <v>90</v>
      </c>
      <c r="Z516">
        <v>87.22</v>
      </c>
      <c r="AA516" t="s">
        <v>91</v>
      </c>
      <c r="AB516" t="s">
        <v>92</v>
      </c>
      <c r="AC516" t="s">
        <v>60</v>
      </c>
      <c r="AD516" t="s">
        <v>130</v>
      </c>
      <c r="AE516" t="s">
        <v>71</v>
      </c>
      <c r="AF516" s="5">
        <f>DATE(YEAR(C516),MONTH(C516),1)</f>
        <v>45901</v>
      </c>
      <c r="AG516">
        <f>E516-D516</f>
        <v>13</v>
      </c>
      <c r="AH516" s="6">
        <f t="shared" si="8"/>
        <v>67.740017613982801</v>
      </c>
    </row>
    <row r="517" spans="1:34">
      <c r="A517" t="s">
        <v>1147</v>
      </c>
      <c r="B517" t="s">
        <v>1148</v>
      </c>
      <c r="C517" s="1">
        <v>45760</v>
      </c>
      <c r="D517" s="1">
        <v>45763</v>
      </c>
      <c r="E517" s="1">
        <v>45773</v>
      </c>
      <c r="F517" t="s">
        <v>96</v>
      </c>
      <c r="G517" t="s">
        <v>97</v>
      </c>
      <c r="H517" t="s">
        <v>76</v>
      </c>
      <c r="I517" t="s">
        <v>40</v>
      </c>
      <c r="J517" t="s">
        <v>122</v>
      </c>
      <c r="K517" t="s">
        <v>123</v>
      </c>
      <c r="L517" t="s">
        <v>116</v>
      </c>
      <c r="M517" t="s">
        <v>108</v>
      </c>
      <c r="N517">
        <v>1</v>
      </c>
      <c r="O517" t="s">
        <v>89</v>
      </c>
      <c r="P517" s="48">
        <v>35747.870000000003</v>
      </c>
      <c r="Q517" s="48">
        <v>10456.56</v>
      </c>
      <c r="R517" s="48">
        <v>1857.68</v>
      </c>
      <c r="S517" s="48">
        <v>1034.53</v>
      </c>
      <c r="T517" s="48">
        <v>357.48</v>
      </c>
      <c r="U517" s="48">
        <v>577.96</v>
      </c>
      <c r="V517" s="48">
        <v>1791.44</v>
      </c>
      <c r="W517" s="48">
        <v>19672.22</v>
      </c>
      <c r="X517">
        <v>0</v>
      </c>
      <c r="Y517" t="s">
        <v>45</v>
      </c>
      <c r="Z517">
        <v>87.14</v>
      </c>
      <c r="AA517" t="s">
        <v>46</v>
      </c>
      <c r="AB517" t="s">
        <v>92</v>
      </c>
      <c r="AC517" t="s">
        <v>60</v>
      </c>
      <c r="AD517" t="s">
        <v>144</v>
      </c>
      <c r="AE517" t="s">
        <v>102</v>
      </c>
      <c r="AF517" s="5">
        <f>DATE(YEAR(C517),MONTH(C517),1)</f>
        <v>45748</v>
      </c>
      <c r="AG517">
        <f>E517-D517</f>
        <v>10</v>
      </c>
      <c r="AH517" s="6">
        <f t="shared" si="8"/>
        <v>55.030467549535125</v>
      </c>
    </row>
    <row r="518" spans="1:34">
      <c r="A518" t="s">
        <v>1149</v>
      </c>
      <c r="B518" t="s">
        <v>1150</v>
      </c>
      <c r="C518" s="1">
        <v>45792</v>
      </c>
      <c r="D518" s="1">
        <v>45795</v>
      </c>
      <c r="E518" s="1">
        <v>45823</v>
      </c>
      <c r="F518" t="s">
        <v>149</v>
      </c>
      <c r="G518" t="s">
        <v>111</v>
      </c>
      <c r="H518" t="s">
        <v>150</v>
      </c>
      <c r="I518" t="s">
        <v>87</v>
      </c>
      <c r="J518" t="s">
        <v>77</v>
      </c>
      <c r="K518" t="s">
        <v>41</v>
      </c>
      <c r="L518" t="s">
        <v>42</v>
      </c>
      <c r="M518" t="s">
        <v>43</v>
      </c>
      <c r="N518">
        <v>1</v>
      </c>
      <c r="O518" t="s">
        <v>111</v>
      </c>
      <c r="P518" s="48">
        <v>42684.55</v>
      </c>
      <c r="Q518" s="48">
        <v>10456.42</v>
      </c>
      <c r="R518" s="48">
        <v>2219.52</v>
      </c>
      <c r="S518" s="48">
        <v>649.39</v>
      </c>
      <c r="T518" s="48">
        <v>426.85</v>
      </c>
      <c r="U518" s="48">
        <v>339.66</v>
      </c>
      <c r="V518" s="48">
        <v>2342.79</v>
      </c>
      <c r="W518" s="48">
        <v>26249.919999999998</v>
      </c>
      <c r="X518">
        <v>24</v>
      </c>
      <c r="Y518" t="s">
        <v>112</v>
      </c>
      <c r="Z518">
        <v>87.14</v>
      </c>
      <c r="AA518" t="s">
        <v>91</v>
      </c>
      <c r="AB518" t="s">
        <v>92</v>
      </c>
      <c r="AC518" t="s">
        <v>60</v>
      </c>
      <c r="AD518" t="s">
        <v>49</v>
      </c>
      <c r="AE518" t="s">
        <v>50</v>
      </c>
      <c r="AF518" s="5">
        <f>DATE(YEAR(C518),MONTH(C518),1)</f>
        <v>45778</v>
      </c>
      <c r="AG518">
        <f>E518-D518</f>
        <v>28</v>
      </c>
      <c r="AH518" s="6">
        <f t="shared" si="8"/>
        <v>61.497473910349285</v>
      </c>
    </row>
    <row r="519" spans="1:34">
      <c r="A519" t="s">
        <v>1151</v>
      </c>
      <c r="B519" t="s">
        <v>1152</v>
      </c>
      <c r="C519" s="1">
        <v>45899</v>
      </c>
      <c r="D519" s="1">
        <v>45902</v>
      </c>
      <c r="E519" s="1">
        <v>45925</v>
      </c>
      <c r="F519" t="s">
        <v>234</v>
      </c>
      <c r="G519" t="s">
        <v>111</v>
      </c>
      <c r="H519" t="s">
        <v>150</v>
      </c>
      <c r="I519" t="s">
        <v>57</v>
      </c>
      <c r="J519" t="s">
        <v>98</v>
      </c>
      <c r="K519" t="s">
        <v>41</v>
      </c>
      <c r="L519" t="s">
        <v>59</v>
      </c>
      <c r="M519" t="s">
        <v>79</v>
      </c>
      <c r="N519">
        <v>1</v>
      </c>
      <c r="O519" t="s">
        <v>111</v>
      </c>
      <c r="P519" s="48">
        <v>42806.37</v>
      </c>
      <c r="Q519" s="48">
        <v>10445.69</v>
      </c>
      <c r="R519" s="48">
        <v>2367.67</v>
      </c>
      <c r="S519" s="48">
        <v>448.38</v>
      </c>
      <c r="T519" s="48">
        <v>428.06</v>
      </c>
      <c r="U519" s="48">
        <v>708.38</v>
      </c>
      <c r="V519" s="48">
        <v>651.59</v>
      </c>
      <c r="W519" s="48">
        <v>27756.6</v>
      </c>
      <c r="X519">
        <v>0</v>
      </c>
      <c r="Y519" t="s">
        <v>45</v>
      </c>
      <c r="Z519">
        <v>87.05</v>
      </c>
      <c r="AA519" t="s">
        <v>46</v>
      </c>
      <c r="AB519" t="s">
        <v>92</v>
      </c>
      <c r="AC519" t="s">
        <v>60</v>
      </c>
      <c r="AD519" t="s">
        <v>144</v>
      </c>
      <c r="AE519" t="s">
        <v>62</v>
      </c>
      <c r="AF519" s="5">
        <f>DATE(YEAR(C519),MONTH(C519),1)</f>
        <v>45870</v>
      </c>
      <c r="AG519">
        <f>E519-D519</f>
        <v>23</v>
      </c>
      <c r="AH519" s="6">
        <f t="shared" si="8"/>
        <v>64.842218576347392</v>
      </c>
    </row>
    <row r="520" spans="1:34">
      <c r="A520" t="s">
        <v>1153</v>
      </c>
      <c r="B520" t="s">
        <v>1154</v>
      </c>
      <c r="C520" s="1">
        <v>45858</v>
      </c>
      <c r="D520" s="1">
        <v>45859</v>
      </c>
      <c r="E520" s="1">
        <v>45884</v>
      </c>
      <c r="F520" t="s">
        <v>234</v>
      </c>
      <c r="G520" t="s">
        <v>111</v>
      </c>
      <c r="H520" t="s">
        <v>150</v>
      </c>
      <c r="I520" t="s">
        <v>86</v>
      </c>
      <c r="J520" t="s">
        <v>87</v>
      </c>
      <c r="K520" t="s">
        <v>88</v>
      </c>
      <c r="L520" t="s">
        <v>127</v>
      </c>
      <c r="M520" t="s">
        <v>43</v>
      </c>
      <c r="N520">
        <v>1</v>
      </c>
      <c r="O520" t="s">
        <v>105</v>
      </c>
      <c r="P520" s="48">
        <v>36735.24</v>
      </c>
      <c r="Q520" s="48">
        <v>10429.61</v>
      </c>
      <c r="R520" s="48">
        <v>1843.99</v>
      </c>
      <c r="S520" s="48">
        <v>402.86</v>
      </c>
      <c r="T520" s="48">
        <v>367.35</v>
      </c>
      <c r="U520" s="48">
        <v>789.01</v>
      </c>
      <c r="V520" s="48">
        <v>2388.31</v>
      </c>
      <c r="W520" s="48">
        <v>20514.11</v>
      </c>
      <c r="X520">
        <v>8</v>
      </c>
      <c r="Y520" t="s">
        <v>90</v>
      </c>
      <c r="Z520">
        <v>86.91</v>
      </c>
      <c r="AA520" t="s">
        <v>91</v>
      </c>
      <c r="AB520" t="s">
        <v>47</v>
      </c>
      <c r="AC520" t="s">
        <v>60</v>
      </c>
      <c r="AD520" t="s">
        <v>144</v>
      </c>
      <c r="AE520" t="s">
        <v>71</v>
      </c>
      <c r="AF520" s="5">
        <f>DATE(YEAR(C520),MONTH(C520),1)</f>
        <v>45839</v>
      </c>
      <c r="AG520">
        <f>E520-D520</f>
        <v>25</v>
      </c>
      <c r="AH520" s="6">
        <f t="shared" si="8"/>
        <v>55.843135909823928</v>
      </c>
    </row>
    <row r="521" spans="1:34">
      <c r="A521" t="s">
        <v>1155</v>
      </c>
      <c r="B521" t="s">
        <v>1156</v>
      </c>
      <c r="C521" s="1">
        <v>46009</v>
      </c>
      <c r="D521" s="1">
        <v>46010</v>
      </c>
      <c r="E521" s="1">
        <v>46029</v>
      </c>
      <c r="F521" t="s">
        <v>120</v>
      </c>
      <c r="G521" t="s">
        <v>75</v>
      </c>
      <c r="H521" t="s">
        <v>121</v>
      </c>
      <c r="I521" t="s">
        <v>115</v>
      </c>
      <c r="J521" t="s">
        <v>40</v>
      </c>
      <c r="K521" t="s">
        <v>41</v>
      </c>
      <c r="L521" t="s">
        <v>78</v>
      </c>
      <c r="M521" t="s">
        <v>79</v>
      </c>
      <c r="N521">
        <v>2</v>
      </c>
      <c r="O521" t="s">
        <v>111</v>
      </c>
      <c r="P521" s="48">
        <v>38556.089999999997</v>
      </c>
      <c r="Q521" s="48">
        <v>10427.370000000001</v>
      </c>
      <c r="R521" s="48">
        <v>1697.85</v>
      </c>
      <c r="S521" s="48">
        <v>686</v>
      </c>
      <c r="T521" s="48">
        <v>385.56</v>
      </c>
      <c r="U521" s="48">
        <v>739.49</v>
      </c>
      <c r="V521" s="48">
        <v>415.34</v>
      </c>
      <c r="W521" s="48">
        <v>24204.48</v>
      </c>
      <c r="X521">
        <v>36</v>
      </c>
      <c r="Y521" t="s">
        <v>90</v>
      </c>
      <c r="Z521">
        <v>86.89</v>
      </c>
      <c r="AA521" t="s">
        <v>91</v>
      </c>
      <c r="AB521" t="s">
        <v>92</v>
      </c>
      <c r="AC521" t="s">
        <v>60</v>
      </c>
      <c r="AD521" t="s">
        <v>93</v>
      </c>
      <c r="AE521" t="s">
        <v>102</v>
      </c>
      <c r="AF521" s="5">
        <f>DATE(YEAR(C521),MONTH(C521),1)</f>
        <v>45992</v>
      </c>
      <c r="AG521">
        <f>E521-D521</f>
        <v>19</v>
      </c>
      <c r="AH521" s="6">
        <f t="shared" si="8"/>
        <v>62.77732000314348</v>
      </c>
    </row>
    <row r="522" spans="1:34">
      <c r="A522" t="s">
        <v>1157</v>
      </c>
      <c r="B522" t="s">
        <v>1158</v>
      </c>
      <c r="C522" s="1">
        <v>45846</v>
      </c>
      <c r="D522" s="1">
        <v>45850</v>
      </c>
      <c r="E522" s="1">
        <v>45869</v>
      </c>
      <c r="F522" t="s">
        <v>153</v>
      </c>
      <c r="G522" t="s">
        <v>75</v>
      </c>
      <c r="H522" t="s">
        <v>154</v>
      </c>
      <c r="I522" t="s">
        <v>98</v>
      </c>
      <c r="J522" t="s">
        <v>87</v>
      </c>
      <c r="K522" t="s">
        <v>41</v>
      </c>
      <c r="L522" t="s">
        <v>116</v>
      </c>
      <c r="M522" t="s">
        <v>108</v>
      </c>
      <c r="N522">
        <v>1</v>
      </c>
      <c r="O522" t="s">
        <v>44</v>
      </c>
      <c r="P522" s="48">
        <v>44165.9</v>
      </c>
      <c r="Q522" s="48">
        <v>10425.61</v>
      </c>
      <c r="R522" s="48">
        <v>2050.2600000000002</v>
      </c>
      <c r="S522" s="48">
        <v>1082.78</v>
      </c>
      <c r="T522" s="48">
        <v>441.66</v>
      </c>
      <c r="U522" s="48">
        <v>216.88</v>
      </c>
      <c r="V522" s="48">
        <v>880.26</v>
      </c>
      <c r="W522" s="48">
        <v>29068.45</v>
      </c>
      <c r="X522">
        <v>4</v>
      </c>
      <c r="Y522" t="s">
        <v>135</v>
      </c>
      <c r="Z522">
        <v>86.88</v>
      </c>
      <c r="AA522" t="s">
        <v>91</v>
      </c>
      <c r="AB522" t="s">
        <v>47</v>
      </c>
      <c r="AC522" t="s">
        <v>60</v>
      </c>
      <c r="AD522" t="s">
        <v>49</v>
      </c>
      <c r="AE522" t="s">
        <v>50</v>
      </c>
      <c r="AF522" s="5">
        <f>DATE(YEAR(C522),MONTH(C522),1)</f>
        <v>45839</v>
      </c>
      <c r="AG522">
        <f>E522-D522</f>
        <v>19</v>
      </c>
      <c r="AH522" s="6">
        <f t="shared" si="8"/>
        <v>65.816500965677136</v>
      </c>
    </row>
    <row r="523" spans="1:34">
      <c r="A523" t="s">
        <v>1159</v>
      </c>
      <c r="B523" t="s">
        <v>1160</v>
      </c>
      <c r="C523" s="1">
        <v>45736</v>
      </c>
      <c r="D523" s="1">
        <v>45739</v>
      </c>
      <c r="E523" s="1">
        <v>45753</v>
      </c>
      <c r="F523" t="s">
        <v>83</v>
      </c>
      <c r="G523" t="s">
        <v>84</v>
      </c>
      <c r="H523" t="s">
        <v>85</v>
      </c>
      <c r="I523" t="s">
        <v>115</v>
      </c>
      <c r="J523" t="s">
        <v>98</v>
      </c>
      <c r="K523" t="s">
        <v>99</v>
      </c>
      <c r="L523" t="s">
        <v>127</v>
      </c>
      <c r="M523" t="s">
        <v>79</v>
      </c>
      <c r="N523">
        <v>2</v>
      </c>
      <c r="O523" t="s">
        <v>105</v>
      </c>
      <c r="P523" s="48">
        <v>42136.23</v>
      </c>
      <c r="Q523" s="48">
        <v>10412.64</v>
      </c>
      <c r="R523" s="48">
        <v>2866.23</v>
      </c>
      <c r="S523" s="48">
        <v>504.03</v>
      </c>
      <c r="T523" s="48">
        <v>421.36</v>
      </c>
      <c r="U523" s="48">
        <v>874.29</v>
      </c>
      <c r="V523" s="48">
        <v>2352.4</v>
      </c>
      <c r="W523" s="48">
        <v>24705.279999999999</v>
      </c>
      <c r="X523">
        <v>24</v>
      </c>
      <c r="Y523" t="s">
        <v>117</v>
      </c>
      <c r="Z523">
        <v>86.77</v>
      </c>
      <c r="AA523" t="s">
        <v>91</v>
      </c>
      <c r="AB523" t="s">
        <v>92</v>
      </c>
      <c r="AC523" t="s">
        <v>60</v>
      </c>
      <c r="AD523" t="s">
        <v>61</v>
      </c>
      <c r="AE523" t="s">
        <v>50</v>
      </c>
      <c r="AF523" s="5">
        <f>DATE(YEAR(C523),MONTH(C523),1)</f>
        <v>45717</v>
      </c>
      <c r="AG523">
        <f>E523-D523</f>
        <v>14</v>
      </c>
      <c r="AH523" s="6">
        <f t="shared" si="8"/>
        <v>58.631918422697041</v>
      </c>
    </row>
    <row r="524" spans="1:34">
      <c r="A524" t="s">
        <v>1161</v>
      </c>
      <c r="B524" t="s">
        <v>1162</v>
      </c>
      <c r="C524" s="1">
        <v>45676</v>
      </c>
      <c r="D524" s="1">
        <v>45680</v>
      </c>
      <c r="E524" s="1">
        <v>45708</v>
      </c>
      <c r="F524" t="s">
        <v>149</v>
      </c>
      <c r="G524" t="s">
        <v>111</v>
      </c>
      <c r="H524" t="s">
        <v>150</v>
      </c>
      <c r="I524" t="s">
        <v>77</v>
      </c>
      <c r="J524" t="s">
        <v>87</v>
      </c>
      <c r="K524" t="s">
        <v>41</v>
      </c>
      <c r="L524" t="s">
        <v>78</v>
      </c>
      <c r="M524" t="s">
        <v>108</v>
      </c>
      <c r="N524">
        <v>2</v>
      </c>
      <c r="O524" t="s">
        <v>69</v>
      </c>
      <c r="P524" s="48">
        <v>62208.67</v>
      </c>
      <c r="Q524" s="48">
        <v>10409.51</v>
      </c>
      <c r="R524" s="48">
        <v>4469.1899999999996</v>
      </c>
      <c r="S524" s="48">
        <v>938.45</v>
      </c>
      <c r="T524" s="48">
        <v>622.09</v>
      </c>
      <c r="U524" s="48">
        <v>764.5</v>
      </c>
      <c r="V524" s="48">
        <v>400.99</v>
      </c>
      <c r="W524" s="48">
        <v>44603.94</v>
      </c>
      <c r="X524">
        <v>36</v>
      </c>
      <c r="Y524" t="s">
        <v>135</v>
      </c>
      <c r="Z524">
        <v>86.75</v>
      </c>
      <c r="AA524" t="s">
        <v>91</v>
      </c>
      <c r="AB524" t="s">
        <v>47</v>
      </c>
      <c r="AC524" t="s">
        <v>70</v>
      </c>
      <c r="AD524" t="s">
        <v>93</v>
      </c>
      <c r="AE524" t="s">
        <v>71</v>
      </c>
      <c r="AF524" s="5">
        <f>DATE(YEAR(C524),MONTH(C524),1)</f>
        <v>45658</v>
      </c>
      <c r="AG524">
        <f>E524-D524</f>
        <v>28</v>
      </c>
      <c r="AH524" s="6">
        <f t="shared" si="8"/>
        <v>71.700520200801606</v>
      </c>
    </row>
    <row r="525" spans="1:34">
      <c r="A525" t="s">
        <v>1163</v>
      </c>
      <c r="B525" t="s">
        <v>1164</v>
      </c>
      <c r="C525" s="1">
        <v>45909</v>
      </c>
      <c r="D525" s="1">
        <v>45913</v>
      </c>
      <c r="E525" s="1">
        <v>45926</v>
      </c>
      <c r="F525" t="s">
        <v>53</v>
      </c>
      <c r="G525" t="s">
        <v>54</v>
      </c>
      <c r="H525" t="s">
        <v>55</v>
      </c>
      <c r="I525" t="s">
        <v>122</v>
      </c>
      <c r="J525" t="s">
        <v>56</v>
      </c>
      <c r="K525" t="s">
        <v>41</v>
      </c>
      <c r="L525" t="s">
        <v>155</v>
      </c>
      <c r="M525" t="s">
        <v>79</v>
      </c>
      <c r="N525">
        <v>2</v>
      </c>
      <c r="O525" t="s">
        <v>89</v>
      </c>
      <c r="P525" s="48">
        <v>53264.44</v>
      </c>
      <c r="Q525" s="48">
        <v>10353.98</v>
      </c>
      <c r="R525" s="48">
        <v>2543.73</v>
      </c>
      <c r="S525" s="48">
        <v>547.32000000000005</v>
      </c>
      <c r="T525" s="48">
        <v>532.64</v>
      </c>
      <c r="U525" s="48">
        <v>545.14</v>
      </c>
      <c r="V525" s="48">
        <v>408.29</v>
      </c>
      <c r="W525" s="48">
        <v>38333.339999999997</v>
      </c>
      <c r="X525">
        <v>4</v>
      </c>
      <c r="Y525" t="s">
        <v>112</v>
      </c>
      <c r="Z525">
        <v>86.28</v>
      </c>
      <c r="AA525" t="s">
        <v>91</v>
      </c>
      <c r="AB525" t="s">
        <v>92</v>
      </c>
      <c r="AC525" t="s">
        <v>48</v>
      </c>
      <c r="AD525" t="s">
        <v>49</v>
      </c>
      <c r="AE525" t="s">
        <v>71</v>
      </c>
      <c r="AF525" s="5">
        <f>DATE(YEAR(C525),MONTH(C525),1)</f>
        <v>45901</v>
      </c>
      <c r="AG525">
        <f>E525-D525</f>
        <v>13</v>
      </c>
      <c r="AH525" s="6">
        <f t="shared" si="8"/>
        <v>71.967977134463439</v>
      </c>
    </row>
    <row r="526" spans="1:34">
      <c r="A526" t="s">
        <v>1165</v>
      </c>
      <c r="B526" t="s">
        <v>1166</v>
      </c>
      <c r="C526" s="1">
        <v>45697</v>
      </c>
      <c r="D526" s="1">
        <v>45701</v>
      </c>
      <c r="E526" s="1">
        <v>45725</v>
      </c>
      <c r="F526" t="s">
        <v>65</v>
      </c>
      <c r="G526" t="s">
        <v>66</v>
      </c>
      <c r="H526" t="s">
        <v>67</v>
      </c>
      <c r="I526" t="s">
        <v>115</v>
      </c>
      <c r="J526" t="s">
        <v>115</v>
      </c>
      <c r="K526" t="s">
        <v>41</v>
      </c>
      <c r="L526" t="s">
        <v>127</v>
      </c>
      <c r="M526" t="s">
        <v>43</v>
      </c>
      <c r="N526">
        <v>1</v>
      </c>
      <c r="O526" t="s">
        <v>44</v>
      </c>
      <c r="P526" s="48">
        <v>41907.74</v>
      </c>
      <c r="Q526" s="48">
        <v>10323.35</v>
      </c>
      <c r="R526" s="48">
        <v>2886.49</v>
      </c>
      <c r="S526" s="48">
        <v>1077</v>
      </c>
      <c r="T526" s="48">
        <v>419.08</v>
      </c>
      <c r="U526" s="48">
        <v>336.51</v>
      </c>
      <c r="V526" s="48">
        <v>658.42</v>
      </c>
      <c r="W526" s="48">
        <v>26206.89</v>
      </c>
      <c r="X526">
        <v>36</v>
      </c>
      <c r="Y526" t="s">
        <v>90</v>
      </c>
      <c r="Z526">
        <v>86.03</v>
      </c>
      <c r="AA526" t="s">
        <v>91</v>
      </c>
      <c r="AB526" t="s">
        <v>47</v>
      </c>
      <c r="AC526" t="s">
        <v>48</v>
      </c>
      <c r="AD526" t="s">
        <v>130</v>
      </c>
      <c r="AE526" t="s">
        <v>62</v>
      </c>
      <c r="AF526" s="5">
        <f>DATE(YEAR(C526),MONTH(C526),1)</f>
        <v>45689</v>
      </c>
      <c r="AG526">
        <f>E526-D526</f>
        <v>24</v>
      </c>
      <c r="AH526" s="6">
        <f t="shared" si="8"/>
        <v>62.534725088969246</v>
      </c>
    </row>
    <row r="527" spans="1:34">
      <c r="A527" t="s">
        <v>1167</v>
      </c>
      <c r="B527" t="s">
        <v>1168</v>
      </c>
      <c r="C527" s="1">
        <v>46021</v>
      </c>
      <c r="D527" s="1">
        <v>46022</v>
      </c>
      <c r="E527" s="1">
        <v>46038</v>
      </c>
      <c r="F527" t="s">
        <v>96</v>
      </c>
      <c r="G527" t="s">
        <v>97</v>
      </c>
      <c r="H527" t="s">
        <v>76</v>
      </c>
      <c r="I527" t="s">
        <v>115</v>
      </c>
      <c r="J527" t="s">
        <v>98</v>
      </c>
      <c r="K527" t="s">
        <v>99</v>
      </c>
      <c r="L527" t="s">
        <v>42</v>
      </c>
      <c r="M527" t="s">
        <v>68</v>
      </c>
      <c r="N527">
        <v>1</v>
      </c>
      <c r="O527" t="s">
        <v>44</v>
      </c>
      <c r="P527" s="48">
        <v>38286.71</v>
      </c>
      <c r="Q527" s="48">
        <v>10317.9</v>
      </c>
      <c r="R527" s="48">
        <v>1999.17</v>
      </c>
      <c r="S527" s="48">
        <v>708.84</v>
      </c>
      <c r="T527" s="48">
        <v>382.87</v>
      </c>
      <c r="U527" s="48">
        <v>650.59</v>
      </c>
      <c r="V527" s="48">
        <v>1428</v>
      </c>
      <c r="W527" s="48">
        <v>22799.34</v>
      </c>
      <c r="X527">
        <v>12</v>
      </c>
      <c r="Y527" t="s">
        <v>135</v>
      </c>
      <c r="Z527">
        <v>85.98</v>
      </c>
      <c r="AA527" t="s">
        <v>91</v>
      </c>
      <c r="AB527" t="s">
        <v>47</v>
      </c>
      <c r="AC527" t="s">
        <v>70</v>
      </c>
      <c r="AD527" t="s">
        <v>61</v>
      </c>
      <c r="AE527" t="s">
        <v>71</v>
      </c>
      <c r="AF527" s="5">
        <f>DATE(YEAR(C527),MONTH(C527),1)</f>
        <v>45992</v>
      </c>
      <c r="AG527">
        <f>E527-D527</f>
        <v>16</v>
      </c>
      <c r="AH527" s="6">
        <f t="shared" si="8"/>
        <v>59.548966207856459</v>
      </c>
    </row>
    <row r="528" spans="1:34">
      <c r="A528" t="s">
        <v>1169</v>
      </c>
      <c r="B528" t="s">
        <v>1170</v>
      </c>
      <c r="C528" s="1">
        <v>46021</v>
      </c>
      <c r="D528" s="1">
        <v>46025</v>
      </c>
      <c r="E528" s="1">
        <v>46044</v>
      </c>
      <c r="F528" t="s">
        <v>153</v>
      </c>
      <c r="G528" t="s">
        <v>75</v>
      </c>
      <c r="H528" t="s">
        <v>154</v>
      </c>
      <c r="I528" t="s">
        <v>40</v>
      </c>
      <c r="J528" t="s">
        <v>77</v>
      </c>
      <c r="K528" t="s">
        <v>41</v>
      </c>
      <c r="L528" t="s">
        <v>78</v>
      </c>
      <c r="M528" t="s">
        <v>68</v>
      </c>
      <c r="N528">
        <v>2</v>
      </c>
      <c r="O528" t="s">
        <v>89</v>
      </c>
      <c r="P528" s="48">
        <v>38560.75</v>
      </c>
      <c r="Q528" s="48">
        <v>10284.32</v>
      </c>
      <c r="R528" s="48">
        <v>2732.31</v>
      </c>
      <c r="S528" s="48">
        <v>631.94000000000005</v>
      </c>
      <c r="T528" s="48">
        <v>385.61</v>
      </c>
      <c r="U528" s="48">
        <v>625.36</v>
      </c>
      <c r="V528" s="48">
        <v>1977.88</v>
      </c>
      <c r="W528" s="48">
        <v>21923.33</v>
      </c>
      <c r="X528">
        <v>12</v>
      </c>
      <c r="Y528" t="s">
        <v>90</v>
      </c>
      <c r="Z528">
        <v>85.7</v>
      </c>
      <c r="AA528" t="s">
        <v>91</v>
      </c>
      <c r="AB528" t="s">
        <v>92</v>
      </c>
      <c r="AC528" t="s">
        <v>60</v>
      </c>
      <c r="AD528" t="s">
        <v>93</v>
      </c>
      <c r="AE528" t="s">
        <v>62</v>
      </c>
      <c r="AF528" s="5">
        <f>DATE(YEAR(C528),MONTH(C528),1)</f>
        <v>45992</v>
      </c>
      <c r="AG528">
        <f>E528-D528</f>
        <v>19</v>
      </c>
      <c r="AH528" s="6">
        <f t="shared" si="8"/>
        <v>56.854003099006121</v>
      </c>
    </row>
    <row r="529" spans="1:34">
      <c r="A529" t="s">
        <v>1171</v>
      </c>
      <c r="B529" t="s">
        <v>1172</v>
      </c>
      <c r="C529" s="1">
        <v>45775</v>
      </c>
      <c r="D529" s="1">
        <v>45776</v>
      </c>
      <c r="E529" s="1">
        <v>45792</v>
      </c>
      <c r="F529" t="s">
        <v>149</v>
      </c>
      <c r="G529" t="s">
        <v>111</v>
      </c>
      <c r="H529" t="s">
        <v>150</v>
      </c>
      <c r="I529" t="s">
        <v>56</v>
      </c>
      <c r="J529" t="s">
        <v>57</v>
      </c>
      <c r="K529" t="s">
        <v>58</v>
      </c>
      <c r="L529" t="s">
        <v>155</v>
      </c>
      <c r="M529" t="s">
        <v>43</v>
      </c>
      <c r="N529">
        <v>2</v>
      </c>
      <c r="O529" t="s">
        <v>89</v>
      </c>
      <c r="P529" s="48">
        <v>51714.69</v>
      </c>
      <c r="Q529" s="48">
        <v>10269.33</v>
      </c>
      <c r="R529" s="48">
        <v>4029.92</v>
      </c>
      <c r="S529" s="48">
        <v>1197.3399999999999</v>
      </c>
      <c r="T529" s="48">
        <v>517.15</v>
      </c>
      <c r="U529" s="48">
        <v>546.70000000000005</v>
      </c>
      <c r="V529" s="48">
        <v>1310.19</v>
      </c>
      <c r="W529" s="48">
        <v>33844.06</v>
      </c>
      <c r="X529">
        <v>12</v>
      </c>
      <c r="Y529" t="s">
        <v>101</v>
      </c>
      <c r="Z529">
        <v>85.58</v>
      </c>
      <c r="AA529" t="s">
        <v>91</v>
      </c>
      <c r="AB529" t="s">
        <v>47</v>
      </c>
      <c r="AC529" t="s">
        <v>60</v>
      </c>
      <c r="AD529" t="s">
        <v>49</v>
      </c>
      <c r="AE529" t="s">
        <v>71</v>
      </c>
      <c r="AF529" s="5">
        <f>DATE(YEAR(C529),MONTH(C529),1)</f>
        <v>45748</v>
      </c>
      <c r="AG529">
        <f>E529-D529</f>
        <v>16</v>
      </c>
      <c r="AH529" s="6">
        <f t="shared" si="8"/>
        <v>65.443803298443811</v>
      </c>
    </row>
    <row r="530" spans="1:34">
      <c r="A530" t="s">
        <v>1173</v>
      </c>
      <c r="B530" t="s">
        <v>1174</v>
      </c>
      <c r="C530" s="1">
        <v>45721</v>
      </c>
      <c r="D530" s="1">
        <v>45725</v>
      </c>
      <c r="E530" s="1">
        <v>45744</v>
      </c>
      <c r="F530" t="s">
        <v>74</v>
      </c>
      <c r="G530" t="s">
        <v>75</v>
      </c>
      <c r="H530" t="s">
        <v>76</v>
      </c>
      <c r="I530" t="s">
        <v>57</v>
      </c>
      <c r="J530" t="s">
        <v>98</v>
      </c>
      <c r="K530" t="s">
        <v>99</v>
      </c>
      <c r="L530" t="s">
        <v>155</v>
      </c>
      <c r="M530" t="s">
        <v>68</v>
      </c>
      <c r="N530">
        <v>1</v>
      </c>
      <c r="O530" t="s">
        <v>44</v>
      </c>
      <c r="P530" s="48">
        <v>41976.7</v>
      </c>
      <c r="Q530" s="48">
        <v>10265.49</v>
      </c>
      <c r="R530" s="48">
        <v>3013.95</v>
      </c>
      <c r="S530" s="48">
        <v>955.66</v>
      </c>
      <c r="T530" s="48">
        <v>419.77</v>
      </c>
      <c r="U530" s="48">
        <v>579.9</v>
      </c>
      <c r="V530" s="48">
        <v>1075.33</v>
      </c>
      <c r="W530" s="48">
        <v>25666.6</v>
      </c>
      <c r="X530">
        <v>0</v>
      </c>
      <c r="Y530" t="s">
        <v>45</v>
      </c>
      <c r="Z530">
        <v>85.55</v>
      </c>
      <c r="AA530" t="s">
        <v>46</v>
      </c>
      <c r="AB530" t="s">
        <v>92</v>
      </c>
      <c r="AC530" t="s">
        <v>60</v>
      </c>
      <c r="AD530" t="s">
        <v>144</v>
      </c>
      <c r="AE530" t="s">
        <v>62</v>
      </c>
      <c r="AF530" s="5">
        <f>DATE(YEAR(C530),MONTH(C530),1)</f>
        <v>45717</v>
      </c>
      <c r="AG530">
        <f>E530-D530</f>
        <v>19</v>
      </c>
      <c r="AH530" s="6">
        <f t="shared" si="8"/>
        <v>61.144873227290375</v>
      </c>
    </row>
    <row r="531" spans="1:34">
      <c r="A531" t="s">
        <v>1175</v>
      </c>
      <c r="B531" t="s">
        <v>1176</v>
      </c>
      <c r="C531" s="1">
        <v>45940</v>
      </c>
      <c r="D531" s="1">
        <v>45943</v>
      </c>
      <c r="E531" s="1">
        <v>45956</v>
      </c>
      <c r="F531" t="s">
        <v>36</v>
      </c>
      <c r="G531" t="s">
        <v>37</v>
      </c>
      <c r="H531" t="s">
        <v>38</v>
      </c>
      <c r="I531" t="s">
        <v>86</v>
      </c>
      <c r="J531" t="s">
        <v>87</v>
      </c>
      <c r="K531" t="s">
        <v>88</v>
      </c>
      <c r="L531" t="s">
        <v>78</v>
      </c>
      <c r="M531" t="s">
        <v>108</v>
      </c>
      <c r="N531">
        <v>2</v>
      </c>
      <c r="O531" t="s">
        <v>69</v>
      </c>
      <c r="P531" s="48">
        <v>50438.73</v>
      </c>
      <c r="Q531" s="48">
        <v>10261.24</v>
      </c>
      <c r="R531" s="48">
        <v>2245.92</v>
      </c>
      <c r="S531" s="48">
        <v>879.98</v>
      </c>
      <c r="T531" s="48">
        <v>504.39</v>
      </c>
      <c r="U531" s="48">
        <v>383</v>
      </c>
      <c r="V531" s="48">
        <v>1173.6600000000001</v>
      </c>
      <c r="W531" s="48">
        <v>34990.54</v>
      </c>
      <c r="X531">
        <v>36</v>
      </c>
      <c r="Y531" t="s">
        <v>117</v>
      </c>
      <c r="Z531">
        <v>85.51</v>
      </c>
      <c r="AA531" t="s">
        <v>91</v>
      </c>
      <c r="AB531" t="s">
        <v>92</v>
      </c>
      <c r="AC531" t="s">
        <v>70</v>
      </c>
      <c r="AD531" t="s">
        <v>130</v>
      </c>
      <c r="AE531" t="s">
        <v>71</v>
      </c>
      <c r="AF531" s="5">
        <f>DATE(YEAR(C531),MONTH(C531),1)</f>
        <v>45931</v>
      </c>
      <c r="AG531">
        <f>E531-D531</f>
        <v>13</v>
      </c>
      <c r="AH531" s="6">
        <f t="shared" si="8"/>
        <v>69.372365243930602</v>
      </c>
    </row>
    <row r="532" spans="1:34">
      <c r="A532" t="s">
        <v>1177</v>
      </c>
      <c r="B532" t="s">
        <v>1178</v>
      </c>
      <c r="C532" s="1">
        <v>45894</v>
      </c>
      <c r="D532" s="1">
        <v>45895</v>
      </c>
      <c r="E532" s="1">
        <v>45914</v>
      </c>
      <c r="F532" t="s">
        <v>53</v>
      </c>
      <c r="G532" t="s">
        <v>54</v>
      </c>
      <c r="H532" t="s">
        <v>55</v>
      </c>
      <c r="I532" t="s">
        <v>57</v>
      </c>
      <c r="J532" t="s">
        <v>98</v>
      </c>
      <c r="K532" t="s">
        <v>99</v>
      </c>
      <c r="L532" t="s">
        <v>116</v>
      </c>
      <c r="M532" t="s">
        <v>108</v>
      </c>
      <c r="N532">
        <v>4</v>
      </c>
      <c r="O532" t="s">
        <v>80</v>
      </c>
      <c r="P532" s="48">
        <v>44761.39</v>
      </c>
      <c r="Q532" s="48">
        <v>10245.23</v>
      </c>
      <c r="R532" s="48">
        <v>3056.85</v>
      </c>
      <c r="S532" s="48">
        <v>673.93</v>
      </c>
      <c r="T532" s="48">
        <v>447.61</v>
      </c>
      <c r="U532" s="48">
        <v>722.02</v>
      </c>
      <c r="V532" s="48">
        <v>1183.29</v>
      </c>
      <c r="W532" s="48">
        <v>28432.46</v>
      </c>
      <c r="X532">
        <v>0</v>
      </c>
      <c r="Y532" t="s">
        <v>45</v>
      </c>
      <c r="Z532">
        <v>85.38</v>
      </c>
      <c r="AA532" t="s">
        <v>46</v>
      </c>
      <c r="AB532" t="s">
        <v>47</v>
      </c>
      <c r="AC532" t="s">
        <v>60</v>
      </c>
      <c r="AD532" t="s">
        <v>49</v>
      </c>
      <c r="AE532" t="s">
        <v>102</v>
      </c>
      <c r="AF532" s="5">
        <f>DATE(YEAR(C532),MONTH(C532),1)</f>
        <v>45870</v>
      </c>
      <c r="AG532">
        <f>E532-D532</f>
        <v>19</v>
      </c>
      <c r="AH532" s="6">
        <f t="shared" si="8"/>
        <v>63.520056012559031</v>
      </c>
    </row>
    <row r="533" spans="1:34">
      <c r="A533" t="s">
        <v>1179</v>
      </c>
      <c r="B533" t="s">
        <v>1180</v>
      </c>
      <c r="C533" s="1">
        <v>45956</v>
      </c>
      <c r="D533" s="1">
        <v>45959</v>
      </c>
      <c r="E533" s="1">
        <v>45987</v>
      </c>
      <c r="F533" t="s">
        <v>120</v>
      </c>
      <c r="G533" t="s">
        <v>75</v>
      </c>
      <c r="H533" t="s">
        <v>121</v>
      </c>
      <c r="I533" t="s">
        <v>56</v>
      </c>
      <c r="J533" t="s">
        <v>122</v>
      </c>
      <c r="K533" t="s">
        <v>41</v>
      </c>
      <c r="L533" t="s">
        <v>42</v>
      </c>
      <c r="M533" t="s">
        <v>108</v>
      </c>
      <c r="N533">
        <v>2</v>
      </c>
      <c r="O533" t="s">
        <v>89</v>
      </c>
      <c r="P533" s="48">
        <v>45830.91</v>
      </c>
      <c r="Q533" s="48">
        <v>10205.9</v>
      </c>
      <c r="R533" s="48">
        <v>3174.46</v>
      </c>
      <c r="S533" s="48">
        <v>1063.44</v>
      </c>
      <c r="T533" s="48">
        <v>458.31</v>
      </c>
      <c r="U533" s="48">
        <v>768.6</v>
      </c>
      <c r="V533" s="48">
        <v>2156.4699999999998</v>
      </c>
      <c r="W533" s="48">
        <v>28003.73</v>
      </c>
      <c r="X533">
        <v>0</v>
      </c>
      <c r="Y533" t="s">
        <v>45</v>
      </c>
      <c r="Z533">
        <v>85.05</v>
      </c>
      <c r="AA533" t="s">
        <v>46</v>
      </c>
      <c r="AB533" t="s">
        <v>47</v>
      </c>
      <c r="AC533" t="s">
        <v>70</v>
      </c>
      <c r="AD533" t="s">
        <v>93</v>
      </c>
      <c r="AE533" t="s">
        <v>71</v>
      </c>
      <c r="AF533" s="5">
        <f>DATE(YEAR(C533),MONTH(C533),1)</f>
        <v>45931</v>
      </c>
      <c r="AG533">
        <f>E533-D533</f>
        <v>28</v>
      </c>
      <c r="AH533" s="6">
        <f t="shared" si="8"/>
        <v>61.102277916803303</v>
      </c>
    </row>
    <row r="534" spans="1:34">
      <c r="A534" t="s">
        <v>1181</v>
      </c>
      <c r="B534" t="s">
        <v>1182</v>
      </c>
      <c r="C534" s="1">
        <v>45771</v>
      </c>
      <c r="D534" s="1">
        <v>45775</v>
      </c>
      <c r="E534" s="1">
        <v>45803</v>
      </c>
      <c r="F534" t="s">
        <v>36</v>
      </c>
      <c r="G534" t="s">
        <v>37</v>
      </c>
      <c r="H534" t="s">
        <v>38</v>
      </c>
      <c r="I534" t="s">
        <v>40</v>
      </c>
      <c r="J534" t="s">
        <v>122</v>
      </c>
      <c r="K534" t="s">
        <v>123</v>
      </c>
      <c r="L534" t="s">
        <v>124</v>
      </c>
      <c r="M534" t="s">
        <v>79</v>
      </c>
      <c r="N534">
        <v>2</v>
      </c>
      <c r="O534" t="s">
        <v>80</v>
      </c>
      <c r="P534" s="48">
        <v>43683.24</v>
      </c>
      <c r="Q534" s="48">
        <v>10194.33</v>
      </c>
      <c r="R534" s="48">
        <v>3076.2</v>
      </c>
      <c r="S534" s="48">
        <v>783.6</v>
      </c>
      <c r="T534" s="48">
        <v>436.83</v>
      </c>
      <c r="U534" s="48">
        <v>314.94</v>
      </c>
      <c r="V534" s="48">
        <v>1522.62</v>
      </c>
      <c r="W534" s="48">
        <v>27354.720000000001</v>
      </c>
      <c r="X534">
        <v>48</v>
      </c>
      <c r="Y534" t="s">
        <v>135</v>
      </c>
      <c r="Z534">
        <v>84.95</v>
      </c>
      <c r="AA534" t="s">
        <v>91</v>
      </c>
      <c r="AB534" t="s">
        <v>47</v>
      </c>
      <c r="AC534" t="s">
        <v>60</v>
      </c>
      <c r="AD534" t="s">
        <v>130</v>
      </c>
      <c r="AE534" t="s">
        <v>50</v>
      </c>
      <c r="AF534" s="5">
        <f>DATE(YEAR(C534),MONTH(C534),1)</f>
        <v>45748</v>
      </c>
      <c r="AG534">
        <f>E534-D534</f>
        <v>28</v>
      </c>
      <c r="AH534" s="6">
        <f t="shared" si="8"/>
        <v>62.620629788449769</v>
      </c>
    </row>
    <row r="535" spans="1:34">
      <c r="A535" t="s">
        <v>1183</v>
      </c>
      <c r="B535" t="s">
        <v>1184</v>
      </c>
      <c r="C535" s="1">
        <v>45698</v>
      </c>
      <c r="D535" s="1">
        <v>45699</v>
      </c>
      <c r="E535" s="1">
        <v>45723</v>
      </c>
      <c r="F535" t="s">
        <v>149</v>
      </c>
      <c r="G535" t="s">
        <v>111</v>
      </c>
      <c r="H535" t="s">
        <v>150</v>
      </c>
      <c r="I535" t="s">
        <v>115</v>
      </c>
      <c r="J535" t="s">
        <v>98</v>
      </c>
      <c r="K535" t="s">
        <v>99</v>
      </c>
      <c r="L535" t="s">
        <v>155</v>
      </c>
      <c r="M535" t="s">
        <v>79</v>
      </c>
      <c r="N535">
        <v>2</v>
      </c>
      <c r="O535" t="s">
        <v>44</v>
      </c>
      <c r="P535" s="48">
        <v>40616.410000000003</v>
      </c>
      <c r="Q535" s="48">
        <v>10161.209999999999</v>
      </c>
      <c r="R535" s="48">
        <v>1707.32</v>
      </c>
      <c r="S535" s="48">
        <v>931.68</v>
      </c>
      <c r="T535" s="48">
        <v>406.16</v>
      </c>
      <c r="U535" s="48">
        <v>538.83000000000004</v>
      </c>
      <c r="V535" s="48">
        <v>2290.4</v>
      </c>
      <c r="W535" s="48">
        <v>24580.81</v>
      </c>
      <c r="X535">
        <v>4</v>
      </c>
      <c r="Y535" t="s">
        <v>117</v>
      </c>
      <c r="Z535">
        <v>84.68</v>
      </c>
      <c r="AA535" t="s">
        <v>91</v>
      </c>
      <c r="AB535" t="s">
        <v>47</v>
      </c>
      <c r="AC535" t="s">
        <v>48</v>
      </c>
      <c r="AD535" t="s">
        <v>93</v>
      </c>
      <c r="AE535" t="s">
        <v>71</v>
      </c>
      <c r="AF535" s="5">
        <f>DATE(YEAR(C535),MONTH(C535),1)</f>
        <v>45689</v>
      </c>
      <c r="AG535">
        <f>E535-D535</f>
        <v>24</v>
      </c>
      <c r="AH535" s="6">
        <f t="shared" si="8"/>
        <v>60.51940582636427</v>
      </c>
    </row>
    <row r="536" spans="1:34">
      <c r="A536" t="s">
        <v>1185</v>
      </c>
      <c r="B536" t="s">
        <v>1186</v>
      </c>
      <c r="C536" s="1">
        <v>45990</v>
      </c>
      <c r="D536" s="1">
        <v>45993</v>
      </c>
      <c r="E536" s="1">
        <v>46022</v>
      </c>
      <c r="F536" t="s">
        <v>65</v>
      </c>
      <c r="G536" t="s">
        <v>66</v>
      </c>
      <c r="H536" t="s">
        <v>67</v>
      </c>
      <c r="I536" t="s">
        <v>57</v>
      </c>
      <c r="J536" t="s">
        <v>98</v>
      </c>
      <c r="K536" t="s">
        <v>99</v>
      </c>
      <c r="L536" t="s">
        <v>116</v>
      </c>
      <c r="M536" t="s">
        <v>68</v>
      </c>
      <c r="N536">
        <v>2</v>
      </c>
      <c r="O536" t="s">
        <v>105</v>
      </c>
      <c r="P536" s="48">
        <v>55391.27</v>
      </c>
      <c r="Q536" s="48">
        <v>10145.209999999999</v>
      </c>
      <c r="R536" s="48">
        <v>3439.04</v>
      </c>
      <c r="S536" s="48">
        <v>715.5</v>
      </c>
      <c r="T536" s="48">
        <v>553.91</v>
      </c>
      <c r="U536" s="48">
        <v>711.46</v>
      </c>
      <c r="V536" s="48">
        <v>928.56</v>
      </c>
      <c r="W536" s="48">
        <v>38897.589999999997</v>
      </c>
      <c r="X536">
        <v>36</v>
      </c>
      <c r="Y536" t="s">
        <v>135</v>
      </c>
      <c r="Z536">
        <v>84.54</v>
      </c>
      <c r="AA536" t="s">
        <v>91</v>
      </c>
      <c r="AB536" t="s">
        <v>92</v>
      </c>
      <c r="AC536" t="s">
        <v>60</v>
      </c>
      <c r="AD536" t="s">
        <v>49</v>
      </c>
      <c r="AE536" t="s">
        <v>102</v>
      </c>
      <c r="AF536" s="5">
        <f>DATE(YEAR(C536),MONTH(C536),1)</f>
        <v>45962</v>
      </c>
      <c r="AG536">
        <f>E536-D536</f>
        <v>29</v>
      </c>
      <c r="AH536" s="6">
        <f t="shared" si="8"/>
        <v>70.223322194995703</v>
      </c>
    </row>
    <row r="537" spans="1:34">
      <c r="A537" t="s">
        <v>1187</v>
      </c>
      <c r="B537" t="s">
        <v>1188</v>
      </c>
      <c r="C537" s="1">
        <v>45740</v>
      </c>
      <c r="D537" s="1">
        <v>45743</v>
      </c>
      <c r="E537" s="1">
        <v>45759</v>
      </c>
      <c r="F537" t="s">
        <v>180</v>
      </c>
      <c r="G537" t="s">
        <v>181</v>
      </c>
      <c r="H537" t="s">
        <v>38</v>
      </c>
      <c r="I537" t="s">
        <v>86</v>
      </c>
      <c r="J537" t="s">
        <v>87</v>
      </c>
      <c r="K537" t="s">
        <v>88</v>
      </c>
      <c r="L537" t="s">
        <v>59</v>
      </c>
      <c r="M537" t="s">
        <v>108</v>
      </c>
      <c r="N537">
        <v>2</v>
      </c>
      <c r="O537" t="s">
        <v>69</v>
      </c>
      <c r="P537" s="48">
        <v>41234.65</v>
      </c>
      <c r="Q537" s="48">
        <v>10123.540000000001</v>
      </c>
      <c r="R537" s="48">
        <v>3143.04</v>
      </c>
      <c r="S537" s="48">
        <v>1089.8699999999999</v>
      </c>
      <c r="T537" s="48">
        <v>412.35</v>
      </c>
      <c r="U537" s="48">
        <v>690.82</v>
      </c>
      <c r="V537" s="48">
        <v>1883.04</v>
      </c>
      <c r="W537" s="48">
        <v>23891.99</v>
      </c>
      <c r="X537">
        <v>0</v>
      </c>
      <c r="Y537" t="s">
        <v>45</v>
      </c>
      <c r="Z537">
        <v>84.36</v>
      </c>
      <c r="AA537" t="s">
        <v>46</v>
      </c>
      <c r="AB537" t="s">
        <v>92</v>
      </c>
      <c r="AC537" t="s">
        <v>70</v>
      </c>
      <c r="AD537" t="s">
        <v>61</v>
      </c>
      <c r="AE537" t="s">
        <v>71</v>
      </c>
      <c r="AF537" s="5">
        <f>DATE(YEAR(C537),MONTH(C537),1)</f>
        <v>45717</v>
      </c>
      <c r="AG537">
        <f>E537-D537</f>
        <v>16</v>
      </c>
      <c r="AH537" s="6">
        <f t="shared" si="8"/>
        <v>57.941537032568476</v>
      </c>
    </row>
    <row r="538" spans="1:34">
      <c r="A538" t="s">
        <v>1189</v>
      </c>
      <c r="B538" t="s">
        <v>1190</v>
      </c>
      <c r="C538" s="1">
        <v>45920</v>
      </c>
      <c r="D538" s="1">
        <v>45923</v>
      </c>
      <c r="E538" s="1">
        <v>45950</v>
      </c>
      <c r="F538" t="s">
        <v>53</v>
      </c>
      <c r="G538" t="s">
        <v>54</v>
      </c>
      <c r="H538" t="s">
        <v>55</v>
      </c>
      <c r="I538" t="s">
        <v>39</v>
      </c>
      <c r="J538" t="s">
        <v>86</v>
      </c>
      <c r="K538" t="s">
        <v>41</v>
      </c>
      <c r="L538" t="s">
        <v>78</v>
      </c>
      <c r="M538" t="s">
        <v>43</v>
      </c>
      <c r="N538">
        <v>2</v>
      </c>
      <c r="O538" t="s">
        <v>89</v>
      </c>
      <c r="P538" s="48">
        <v>47640.77</v>
      </c>
      <c r="Q538" s="48">
        <v>10117.61</v>
      </c>
      <c r="R538" s="48">
        <v>3736.63</v>
      </c>
      <c r="S538" s="48">
        <v>1230.58</v>
      </c>
      <c r="T538" s="48">
        <v>476.41</v>
      </c>
      <c r="U538" s="48">
        <v>553.82000000000005</v>
      </c>
      <c r="V538" s="48">
        <v>1410.88</v>
      </c>
      <c r="W538" s="48">
        <v>30114.84</v>
      </c>
      <c r="X538">
        <v>12</v>
      </c>
      <c r="Y538" t="s">
        <v>101</v>
      </c>
      <c r="Z538">
        <v>84.31</v>
      </c>
      <c r="AA538" t="s">
        <v>91</v>
      </c>
      <c r="AB538" t="s">
        <v>47</v>
      </c>
      <c r="AC538" t="s">
        <v>48</v>
      </c>
      <c r="AD538" t="s">
        <v>61</v>
      </c>
      <c r="AE538" t="s">
        <v>50</v>
      </c>
      <c r="AF538" s="5">
        <f>DATE(YEAR(C538),MONTH(C538),1)</f>
        <v>45901</v>
      </c>
      <c r="AG538">
        <f>E538-D538</f>
        <v>27</v>
      </c>
      <c r="AH538" s="6">
        <f t="shared" si="8"/>
        <v>63.212328432139117</v>
      </c>
    </row>
    <row r="539" spans="1:34">
      <c r="A539" t="s">
        <v>1191</v>
      </c>
      <c r="B539" t="s">
        <v>1192</v>
      </c>
      <c r="C539" s="1">
        <v>45833</v>
      </c>
      <c r="D539" s="1">
        <v>45836</v>
      </c>
      <c r="E539" s="1">
        <v>45864</v>
      </c>
      <c r="F539" t="s">
        <v>96</v>
      </c>
      <c r="G539" t="s">
        <v>97</v>
      </c>
      <c r="H539" t="s">
        <v>76</v>
      </c>
      <c r="I539" t="s">
        <v>115</v>
      </c>
      <c r="J539" t="s">
        <v>98</v>
      </c>
      <c r="K539" t="s">
        <v>99</v>
      </c>
      <c r="L539" t="s">
        <v>155</v>
      </c>
      <c r="M539" t="s">
        <v>79</v>
      </c>
      <c r="N539">
        <v>2</v>
      </c>
      <c r="O539" t="s">
        <v>80</v>
      </c>
      <c r="P539" s="48">
        <v>41520.68</v>
      </c>
      <c r="Q539" s="48">
        <v>10068.89</v>
      </c>
      <c r="R539" s="48">
        <v>2968.28</v>
      </c>
      <c r="S539" s="48">
        <v>1000.78</v>
      </c>
      <c r="T539" s="48">
        <v>415.21</v>
      </c>
      <c r="U539" s="48">
        <v>680</v>
      </c>
      <c r="V539" s="48">
        <v>2438.0300000000002</v>
      </c>
      <c r="W539" s="48">
        <v>23949.49</v>
      </c>
      <c r="X539">
        <v>12</v>
      </c>
      <c r="Y539" t="s">
        <v>90</v>
      </c>
      <c r="Z539">
        <v>83.91</v>
      </c>
      <c r="AA539" t="s">
        <v>91</v>
      </c>
      <c r="AB539" t="s">
        <v>47</v>
      </c>
      <c r="AC539" t="s">
        <v>70</v>
      </c>
      <c r="AD539" t="s">
        <v>61</v>
      </c>
      <c r="AE539" t="s">
        <v>71</v>
      </c>
      <c r="AF539" s="5">
        <f>DATE(YEAR(C539),MONTH(C539),1)</f>
        <v>45809</v>
      </c>
      <c r="AG539">
        <f>E539-D539</f>
        <v>28</v>
      </c>
      <c r="AH539" s="6">
        <f t="shared" si="8"/>
        <v>57.680871315209679</v>
      </c>
    </row>
    <row r="540" spans="1:34">
      <c r="A540" t="s">
        <v>1193</v>
      </c>
      <c r="B540" t="s">
        <v>1194</v>
      </c>
      <c r="C540" s="1">
        <v>45734</v>
      </c>
      <c r="D540" s="1">
        <v>45737</v>
      </c>
      <c r="E540" s="1">
        <v>45753</v>
      </c>
      <c r="F540" t="s">
        <v>96</v>
      </c>
      <c r="G540" t="s">
        <v>97</v>
      </c>
      <c r="H540" t="s">
        <v>76</v>
      </c>
      <c r="I540" t="s">
        <v>40</v>
      </c>
      <c r="J540" t="s">
        <v>122</v>
      </c>
      <c r="K540" t="s">
        <v>123</v>
      </c>
      <c r="L540" t="s">
        <v>59</v>
      </c>
      <c r="M540" t="s">
        <v>68</v>
      </c>
      <c r="N540">
        <v>2</v>
      </c>
      <c r="O540" t="s">
        <v>89</v>
      </c>
      <c r="P540" s="48">
        <v>37949.19</v>
      </c>
      <c r="Q540" s="48">
        <v>10068.73</v>
      </c>
      <c r="R540" s="48">
        <v>2988.9</v>
      </c>
      <c r="S540" s="48">
        <v>1095.05</v>
      </c>
      <c r="T540" s="48">
        <v>379.49</v>
      </c>
      <c r="U540" s="48">
        <v>705.77</v>
      </c>
      <c r="V540" s="48">
        <v>2336.91</v>
      </c>
      <c r="W540" s="48">
        <v>20374.34</v>
      </c>
      <c r="X540">
        <v>36</v>
      </c>
      <c r="Y540" t="s">
        <v>117</v>
      </c>
      <c r="Z540">
        <v>83.91</v>
      </c>
      <c r="AA540" t="s">
        <v>91</v>
      </c>
      <c r="AB540" t="s">
        <v>92</v>
      </c>
      <c r="AC540" t="s">
        <v>60</v>
      </c>
      <c r="AD540" t="s">
        <v>130</v>
      </c>
      <c r="AE540" t="s">
        <v>102</v>
      </c>
      <c r="AF540" s="5">
        <f>DATE(YEAR(C540),MONTH(C540),1)</f>
        <v>45717</v>
      </c>
      <c r="AG540">
        <f>E540-D540</f>
        <v>16</v>
      </c>
      <c r="AH540" s="6">
        <f t="shared" si="8"/>
        <v>53.688471348136815</v>
      </c>
    </row>
    <row r="541" spans="1:34">
      <c r="A541" t="s">
        <v>1195</v>
      </c>
      <c r="B541" t="s">
        <v>1196</v>
      </c>
      <c r="C541" s="1">
        <v>45661</v>
      </c>
      <c r="D541" s="1">
        <v>45662</v>
      </c>
      <c r="E541" s="1">
        <v>45684</v>
      </c>
      <c r="F541" t="s">
        <v>120</v>
      </c>
      <c r="G541" t="s">
        <v>75</v>
      </c>
      <c r="H541" t="s">
        <v>121</v>
      </c>
      <c r="I541" t="s">
        <v>77</v>
      </c>
      <c r="J541" t="s">
        <v>77</v>
      </c>
      <c r="K541" t="s">
        <v>41</v>
      </c>
      <c r="L541" t="s">
        <v>59</v>
      </c>
      <c r="M541" t="s">
        <v>108</v>
      </c>
      <c r="N541">
        <v>1</v>
      </c>
      <c r="O541" t="s">
        <v>54</v>
      </c>
      <c r="P541" s="48">
        <v>37882.400000000001</v>
      </c>
      <c r="Q541" s="48">
        <v>10048.51</v>
      </c>
      <c r="R541" s="48">
        <v>1683.86</v>
      </c>
      <c r="S541" s="48">
        <v>795.22</v>
      </c>
      <c r="T541" s="48">
        <v>378.82</v>
      </c>
      <c r="U541" s="48">
        <v>831.34</v>
      </c>
      <c r="V541" s="48">
        <v>1885.43</v>
      </c>
      <c r="W541" s="48">
        <v>22259.22</v>
      </c>
      <c r="X541">
        <v>8</v>
      </c>
      <c r="Y541" t="s">
        <v>117</v>
      </c>
      <c r="Z541">
        <v>83.74</v>
      </c>
      <c r="AA541" t="s">
        <v>91</v>
      </c>
      <c r="AB541" t="s">
        <v>92</v>
      </c>
      <c r="AC541" t="s">
        <v>60</v>
      </c>
      <c r="AD541" t="s">
        <v>61</v>
      </c>
      <c r="AE541" t="s">
        <v>71</v>
      </c>
      <c r="AF541" s="5">
        <f>DATE(YEAR(C541),MONTH(C541),1)</f>
        <v>45658</v>
      </c>
      <c r="AG541">
        <f>E541-D541</f>
        <v>22</v>
      </c>
      <c r="AH541" s="6">
        <f t="shared" si="8"/>
        <v>58.758737566785634</v>
      </c>
    </row>
    <row r="542" spans="1:34">
      <c r="A542" t="s">
        <v>1197</v>
      </c>
      <c r="B542" t="s">
        <v>1198</v>
      </c>
      <c r="C542" s="1">
        <v>45731</v>
      </c>
      <c r="D542" s="1">
        <v>45733</v>
      </c>
      <c r="E542" s="1">
        <v>45744</v>
      </c>
      <c r="F542" t="s">
        <v>53</v>
      </c>
      <c r="G542" t="s">
        <v>54</v>
      </c>
      <c r="H542" t="s">
        <v>55</v>
      </c>
      <c r="I542" t="s">
        <v>40</v>
      </c>
      <c r="J542" t="s">
        <v>122</v>
      </c>
      <c r="K542" t="s">
        <v>123</v>
      </c>
      <c r="L542" t="s">
        <v>42</v>
      </c>
      <c r="M542" t="s">
        <v>108</v>
      </c>
      <c r="N542">
        <v>2</v>
      </c>
      <c r="O542" t="s">
        <v>80</v>
      </c>
      <c r="P542" s="48">
        <v>58667.03</v>
      </c>
      <c r="Q542" s="48">
        <v>10044.99</v>
      </c>
      <c r="R542" s="48">
        <v>4514.6000000000004</v>
      </c>
      <c r="S542" s="48">
        <v>689.58</v>
      </c>
      <c r="T542" s="48">
        <v>586.66999999999996</v>
      </c>
      <c r="U542" s="48">
        <v>311.43</v>
      </c>
      <c r="V542" s="48">
        <v>1833.42</v>
      </c>
      <c r="W542" s="48">
        <v>40686.339999999997</v>
      </c>
      <c r="X542">
        <v>12</v>
      </c>
      <c r="Y542" t="s">
        <v>90</v>
      </c>
      <c r="Z542">
        <v>83.71</v>
      </c>
      <c r="AA542" t="s">
        <v>91</v>
      </c>
      <c r="AB542" t="s">
        <v>92</v>
      </c>
      <c r="AC542" t="s">
        <v>60</v>
      </c>
      <c r="AD542" t="s">
        <v>49</v>
      </c>
      <c r="AE542" t="s">
        <v>50</v>
      </c>
      <c r="AF542" s="5">
        <f>DATE(YEAR(C542),MONTH(C542),1)</f>
        <v>45717</v>
      </c>
      <c r="AG542">
        <f>E542-D542</f>
        <v>11</v>
      </c>
      <c r="AH542" s="6">
        <f t="shared" si="8"/>
        <v>69.351286403964878</v>
      </c>
    </row>
    <row r="543" spans="1:34">
      <c r="A543" t="s">
        <v>1199</v>
      </c>
      <c r="B543" t="s">
        <v>1200</v>
      </c>
      <c r="C543" s="1">
        <v>45858</v>
      </c>
      <c r="D543" s="1">
        <v>45861</v>
      </c>
      <c r="E543" s="1">
        <v>45887</v>
      </c>
      <c r="F543" t="s">
        <v>149</v>
      </c>
      <c r="G543" t="s">
        <v>111</v>
      </c>
      <c r="H543" t="s">
        <v>150</v>
      </c>
      <c r="I543" t="s">
        <v>39</v>
      </c>
      <c r="J543" t="s">
        <v>57</v>
      </c>
      <c r="K543" t="s">
        <v>41</v>
      </c>
      <c r="L543" t="s">
        <v>78</v>
      </c>
      <c r="M543" t="s">
        <v>108</v>
      </c>
      <c r="N543">
        <v>2</v>
      </c>
      <c r="O543" t="s">
        <v>44</v>
      </c>
      <c r="P543" s="48">
        <v>36657.379999999997</v>
      </c>
      <c r="Q543" s="48">
        <v>10030.06</v>
      </c>
      <c r="R543" s="48">
        <v>2580.09</v>
      </c>
      <c r="S543" s="48">
        <v>580.1</v>
      </c>
      <c r="T543" s="48">
        <v>366.57</v>
      </c>
      <c r="U543" s="48">
        <v>447.43</v>
      </c>
      <c r="V543" s="48">
        <v>638.54999999999995</v>
      </c>
      <c r="W543" s="48">
        <v>22014.58</v>
      </c>
      <c r="X543">
        <v>24</v>
      </c>
      <c r="Y543" t="s">
        <v>101</v>
      </c>
      <c r="Z543">
        <v>83.58</v>
      </c>
      <c r="AA543" t="s">
        <v>91</v>
      </c>
      <c r="AB543" t="s">
        <v>47</v>
      </c>
      <c r="AC543" t="s">
        <v>60</v>
      </c>
      <c r="AD543" t="s">
        <v>130</v>
      </c>
      <c r="AE543" t="s">
        <v>50</v>
      </c>
      <c r="AF543" s="5">
        <f>DATE(YEAR(C543),MONTH(C543),1)</f>
        <v>45839</v>
      </c>
      <c r="AG543">
        <f>E543-D543</f>
        <v>26</v>
      </c>
      <c r="AH543" s="6">
        <f t="shared" si="8"/>
        <v>60.054973923395515</v>
      </c>
    </row>
    <row r="544" spans="1:34">
      <c r="A544" t="s">
        <v>1201</v>
      </c>
      <c r="B544" t="s">
        <v>1202</v>
      </c>
      <c r="C544" s="1">
        <v>45784</v>
      </c>
      <c r="D544" s="1">
        <v>45786</v>
      </c>
      <c r="E544" s="1">
        <v>45800</v>
      </c>
      <c r="F544" t="s">
        <v>138</v>
      </c>
      <c r="G544" t="s">
        <v>139</v>
      </c>
      <c r="H544" t="s">
        <v>76</v>
      </c>
      <c r="I544" t="s">
        <v>40</v>
      </c>
      <c r="J544" t="s">
        <v>122</v>
      </c>
      <c r="K544" t="s">
        <v>123</v>
      </c>
      <c r="L544" t="s">
        <v>42</v>
      </c>
      <c r="M544" t="s">
        <v>43</v>
      </c>
      <c r="N544">
        <v>2</v>
      </c>
      <c r="O544" t="s">
        <v>44</v>
      </c>
      <c r="P544" s="48">
        <v>41815.440000000002</v>
      </c>
      <c r="Q544" s="48">
        <v>10021.969999999999</v>
      </c>
      <c r="R544" s="48">
        <v>1762.69</v>
      </c>
      <c r="S544" s="48">
        <v>595.32000000000005</v>
      </c>
      <c r="T544" s="48">
        <v>418.15</v>
      </c>
      <c r="U544" s="48">
        <v>197.88</v>
      </c>
      <c r="V544" s="48">
        <v>1356.92</v>
      </c>
      <c r="W544" s="48">
        <v>27462.51</v>
      </c>
      <c r="X544">
        <v>24</v>
      </c>
      <c r="Y544" t="s">
        <v>101</v>
      </c>
      <c r="Z544">
        <v>83.52</v>
      </c>
      <c r="AA544" t="s">
        <v>91</v>
      </c>
      <c r="AB544" t="s">
        <v>47</v>
      </c>
      <c r="AC544" t="s">
        <v>48</v>
      </c>
      <c r="AD544" t="s">
        <v>130</v>
      </c>
      <c r="AE544" t="s">
        <v>71</v>
      </c>
      <c r="AF544" s="5">
        <f>DATE(YEAR(C544),MONTH(C544),1)</f>
        <v>45778</v>
      </c>
      <c r="AG544">
        <f>E544-D544</f>
        <v>14</v>
      </c>
      <c r="AH544" s="6">
        <f t="shared" si="8"/>
        <v>65.675525595330328</v>
      </c>
    </row>
    <row r="545" spans="1:34">
      <c r="A545" t="s">
        <v>1203</v>
      </c>
      <c r="B545" t="s">
        <v>1204</v>
      </c>
      <c r="C545" s="1">
        <v>45966</v>
      </c>
      <c r="D545" s="1">
        <v>45970</v>
      </c>
      <c r="E545" s="1">
        <v>45986</v>
      </c>
      <c r="F545" t="s">
        <v>74</v>
      </c>
      <c r="G545" t="s">
        <v>75</v>
      </c>
      <c r="H545" t="s">
        <v>76</v>
      </c>
      <c r="I545" t="s">
        <v>56</v>
      </c>
      <c r="J545" t="s">
        <v>57</v>
      </c>
      <c r="K545" t="s">
        <v>58</v>
      </c>
      <c r="L545" t="s">
        <v>78</v>
      </c>
      <c r="M545" t="s">
        <v>79</v>
      </c>
      <c r="N545">
        <v>2</v>
      </c>
      <c r="O545" t="s">
        <v>69</v>
      </c>
      <c r="P545" s="48">
        <v>48871.22</v>
      </c>
      <c r="Q545" s="48">
        <v>10016.09</v>
      </c>
      <c r="R545" s="48">
        <v>1981.03</v>
      </c>
      <c r="S545" s="48">
        <v>1435.26</v>
      </c>
      <c r="T545" s="48">
        <v>488.71</v>
      </c>
      <c r="U545" s="48">
        <v>364.04</v>
      </c>
      <c r="V545" s="48">
        <v>433.61</v>
      </c>
      <c r="W545" s="48">
        <v>34152.480000000003</v>
      </c>
      <c r="X545">
        <v>0</v>
      </c>
      <c r="Y545" t="s">
        <v>45</v>
      </c>
      <c r="Z545">
        <v>83.47</v>
      </c>
      <c r="AA545" t="s">
        <v>46</v>
      </c>
      <c r="AB545" t="s">
        <v>92</v>
      </c>
      <c r="AC545" t="s">
        <v>60</v>
      </c>
      <c r="AD545" t="s">
        <v>61</v>
      </c>
      <c r="AE545" t="s">
        <v>50</v>
      </c>
      <c r="AF545" s="5">
        <f>DATE(YEAR(C545),MONTH(C545),1)</f>
        <v>45962</v>
      </c>
      <c r="AG545">
        <f>E545-D545</f>
        <v>16</v>
      </c>
      <c r="AH545" s="6">
        <f t="shared" si="8"/>
        <v>69.882601662082507</v>
      </c>
    </row>
    <row r="546" spans="1:34">
      <c r="A546" t="s">
        <v>1205</v>
      </c>
      <c r="B546" t="s">
        <v>1206</v>
      </c>
      <c r="C546" s="1">
        <v>45988</v>
      </c>
      <c r="D546" s="1">
        <v>45989</v>
      </c>
      <c r="E546" s="1">
        <v>46006</v>
      </c>
      <c r="F546" t="s">
        <v>180</v>
      </c>
      <c r="G546" t="s">
        <v>181</v>
      </c>
      <c r="H546" t="s">
        <v>38</v>
      </c>
      <c r="I546" t="s">
        <v>86</v>
      </c>
      <c r="J546" t="s">
        <v>87</v>
      </c>
      <c r="K546" t="s">
        <v>88</v>
      </c>
      <c r="L546" t="s">
        <v>116</v>
      </c>
      <c r="M546" t="s">
        <v>68</v>
      </c>
      <c r="N546">
        <v>2</v>
      </c>
      <c r="O546" t="s">
        <v>69</v>
      </c>
      <c r="P546" s="48">
        <v>34313.65</v>
      </c>
      <c r="Q546" s="48">
        <v>10006.67</v>
      </c>
      <c r="R546" s="48">
        <v>1619.8</v>
      </c>
      <c r="S546" s="48">
        <v>924.68</v>
      </c>
      <c r="T546" s="48">
        <v>343.14</v>
      </c>
      <c r="U546" s="48">
        <v>739.65</v>
      </c>
      <c r="V546" s="48">
        <v>2466.0500000000002</v>
      </c>
      <c r="W546" s="48">
        <v>18213.66</v>
      </c>
      <c r="X546">
        <v>8</v>
      </c>
      <c r="Y546" t="s">
        <v>101</v>
      </c>
      <c r="Z546">
        <v>83.39</v>
      </c>
      <c r="AA546" t="s">
        <v>91</v>
      </c>
      <c r="AB546" t="s">
        <v>47</v>
      </c>
      <c r="AC546" t="s">
        <v>60</v>
      </c>
      <c r="AD546" t="s">
        <v>144</v>
      </c>
      <c r="AE546" t="s">
        <v>102</v>
      </c>
      <c r="AF546" s="5">
        <f>DATE(YEAR(C546),MONTH(C546),1)</f>
        <v>45962</v>
      </c>
      <c r="AG546">
        <f>E546-D546</f>
        <v>17</v>
      </c>
      <c r="AH546" s="6">
        <f t="shared" si="8"/>
        <v>53.079925918694158</v>
      </c>
    </row>
    <row r="547" spans="1:34">
      <c r="A547" t="s">
        <v>1207</v>
      </c>
      <c r="B547" t="s">
        <v>1208</v>
      </c>
      <c r="C547" s="1">
        <v>45985</v>
      </c>
      <c r="D547" s="1">
        <v>45987</v>
      </c>
      <c r="E547" s="1">
        <v>46016</v>
      </c>
      <c r="F547" t="s">
        <v>65</v>
      </c>
      <c r="G547" t="s">
        <v>66</v>
      </c>
      <c r="H547" t="s">
        <v>67</v>
      </c>
      <c r="I547" t="s">
        <v>57</v>
      </c>
      <c r="J547" t="s">
        <v>98</v>
      </c>
      <c r="K547" t="s">
        <v>99</v>
      </c>
      <c r="L547" t="s">
        <v>124</v>
      </c>
      <c r="M547" t="s">
        <v>108</v>
      </c>
      <c r="N547">
        <v>1</v>
      </c>
      <c r="O547" t="s">
        <v>69</v>
      </c>
      <c r="P547" s="48">
        <v>40927.279999999999</v>
      </c>
      <c r="Q547" s="48">
        <v>9969.01</v>
      </c>
      <c r="R547" s="48">
        <v>2544.38</v>
      </c>
      <c r="S547" s="48">
        <v>579.88</v>
      </c>
      <c r="T547" s="48">
        <v>409.27</v>
      </c>
      <c r="U547" s="48">
        <v>418.64</v>
      </c>
      <c r="V547" s="48">
        <v>2222.37</v>
      </c>
      <c r="W547" s="48">
        <v>24783.73</v>
      </c>
      <c r="X547">
        <v>24</v>
      </c>
      <c r="Y547" t="s">
        <v>90</v>
      </c>
      <c r="Z547">
        <v>83.08</v>
      </c>
      <c r="AA547" t="s">
        <v>91</v>
      </c>
      <c r="AB547" t="s">
        <v>92</v>
      </c>
      <c r="AC547" t="s">
        <v>60</v>
      </c>
      <c r="AD547" t="s">
        <v>144</v>
      </c>
      <c r="AE547" t="s">
        <v>62</v>
      </c>
      <c r="AF547" s="5">
        <f>DATE(YEAR(C547),MONTH(C547),1)</f>
        <v>45962</v>
      </c>
      <c r="AG547">
        <f>E547-D547</f>
        <v>29</v>
      </c>
      <c r="AH547" s="6">
        <f t="shared" si="8"/>
        <v>60.55552677822714</v>
      </c>
    </row>
    <row r="548" spans="1:34">
      <c r="A548" t="s">
        <v>1209</v>
      </c>
      <c r="B548" t="s">
        <v>1210</v>
      </c>
      <c r="C548" s="1">
        <v>45660</v>
      </c>
      <c r="D548" s="1">
        <v>45663</v>
      </c>
      <c r="E548" s="1">
        <v>45679</v>
      </c>
      <c r="F548" t="s">
        <v>53</v>
      </c>
      <c r="G548" t="s">
        <v>54</v>
      </c>
      <c r="H548" t="s">
        <v>55</v>
      </c>
      <c r="I548" t="s">
        <v>115</v>
      </c>
      <c r="J548" t="s">
        <v>115</v>
      </c>
      <c r="K548" t="s">
        <v>41</v>
      </c>
      <c r="L548" t="s">
        <v>78</v>
      </c>
      <c r="M548" t="s">
        <v>68</v>
      </c>
      <c r="N548">
        <v>2</v>
      </c>
      <c r="O548" t="s">
        <v>105</v>
      </c>
      <c r="P548" s="48">
        <v>33188.720000000001</v>
      </c>
      <c r="Q548" s="48">
        <v>9935.89</v>
      </c>
      <c r="R548" s="48">
        <v>2417.54</v>
      </c>
      <c r="S548" s="48">
        <v>560.34</v>
      </c>
      <c r="T548" s="48">
        <v>331.89</v>
      </c>
      <c r="U548" s="48">
        <v>869.72</v>
      </c>
      <c r="V548" s="48">
        <v>2005.61</v>
      </c>
      <c r="W548" s="48">
        <v>17067.73</v>
      </c>
      <c r="X548">
        <v>0</v>
      </c>
      <c r="Y548" t="s">
        <v>45</v>
      </c>
      <c r="Z548">
        <v>82.8</v>
      </c>
      <c r="AA548" t="s">
        <v>46</v>
      </c>
      <c r="AB548" t="s">
        <v>92</v>
      </c>
      <c r="AC548" t="s">
        <v>48</v>
      </c>
      <c r="AD548" t="s">
        <v>93</v>
      </c>
      <c r="AE548" t="s">
        <v>62</v>
      </c>
      <c r="AF548" s="5">
        <f>DATE(YEAR(C548),MONTH(C548),1)</f>
        <v>45658</v>
      </c>
      <c r="AG548">
        <f>E548-D548</f>
        <v>16</v>
      </c>
      <c r="AH548" s="6">
        <f t="shared" si="8"/>
        <v>51.426297850595013</v>
      </c>
    </row>
    <row r="549" spans="1:34">
      <c r="A549" t="s">
        <v>1211</v>
      </c>
      <c r="B549" t="s">
        <v>1212</v>
      </c>
      <c r="C549" s="1">
        <v>45972</v>
      </c>
      <c r="D549" s="1">
        <v>45975</v>
      </c>
      <c r="E549" s="1">
        <v>46002</v>
      </c>
      <c r="F549" t="s">
        <v>153</v>
      </c>
      <c r="G549" t="s">
        <v>75</v>
      </c>
      <c r="H549" t="s">
        <v>154</v>
      </c>
      <c r="I549" t="s">
        <v>40</v>
      </c>
      <c r="J549" t="s">
        <v>122</v>
      </c>
      <c r="K549" t="s">
        <v>123</v>
      </c>
      <c r="L549" t="s">
        <v>155</v>
      </c>
      <c r="M549" t="s">
        <v>79</v>
      </c>
      <c r="N549">
        <v>2</v>
      </c>
      <c r="O549" t="s">
        <v>54</v>
      </c>
      <c r="P549" s="48">
        <v>46040.43</v>
      </c>
      <c r="Q549" s="48">
        <v>9935.1200000000008</v>
      </c>
      <c r="R549" s="48">
        <v>2660.16</v>
      </c>
      <c r="S549" s="48">
        <v>1164.4100000000001</v>
      </c>
      <c r="T549" s="48">
        <v>460.4</v>
      </c>
      <c r="U549" s="48">
        <v>709.89</v>
      </c>
      <c r="V549" s="48">
        <v>2178.7600000000002</v>
      </c>
      <c r="W549" s="48">
        <v>28931.69</v>
      </c>
      <c r="X549">
        <v>8</v>
      </c>
      <c r="Y549" t="s">
        <v>90</v>
      </c>
      <c r="Z549">
        <v>82.79</v>
      </c>
      <c r="AA549" t="s">
        <v>91</v>
      </c>
      <c r="AB549" t="s">
        <v>92</v>
      </c>
      <c r="AC549" t="s">
        <v>60</v>
      </c>
      <c r="AD549" t="s">
        <v>61</v>
      </c>
      <c r="AE549" t="s">
        <v>71</v>
      </c>
      <c r="AF549" s="5">
        <f>DATE(YEAR(C549),MONTH(C549),1)</f>
        <v>45962</v>
      </c>
      <c r="AG549">
        <f>E549-D549</f>
        <v>27</v>
      </c>
      <c r="AH549" s="6">
        <f t="shared" si="8"/>
        <v>62.839747587066405</v>
      </c>
    </row>
    <row r="550" spans="1:34">
      <c r="A550" t="s">
        <v>1213</v>
      </c>
      <c r="B550" t="s">
        <v>1214</v>
      </c>
      <c r="C550" s="1">
        <v>45865</v>
      </c>
      <c r="D550" s="1">
        <v>45866</v>
      </c>
      <c r="E550" s="1">
        <v>45888</v>
      </c>
      <c r="F550" t="s">
        <v>180</v>
      </c>
      <c r="G550" t="s">
        <v>181</v>
      </c>
      <c r="H550" t="s">
        <v>38</v>
      </c>
      <c r="I550" t="s">
        <v>57</v>
      </c>
      <c r="J550" t="s">
        <v>98</v>
      </c>
      <c r="K550" t="s">
        <v>99</v>
      </c>
      <c r="L550" t="s">
        <v>127</v>
      </c>
      <c r="M550" t="s">
        <v>79</v>
      </c>
      <c r="N550">
        <v>1</v>
      </c>
      <c r="O550" t="s">
        <v>54</v>
      </c>
      <c r="P550" s="48">
        <v>36132.99</v>
      </c>
      <c r="Q550" s="48">
        <v>9922.5</v>
      </c>
      <c r="R550" s="48">
        <v>2500.81</v>
      </c>
      <c r="S550" s="48">
        <v>978.57</v>
      </c>
      <c r="T550" s="48">
        <v>361.33</v>
      </c>
      <c r="U550" s="48">
        <v>794.34</v>
      </c>
      <c r="V550" s="48">
        <v>567.72</v>
      </c>
      <c r="W550" s="48">
        <v>21007.72</v>
      </c>
      <c r="X550">
        <v>8</v>
      </c>
      <c r="Y550" t="s">
        <v>117</v>
      </c>
      <c r="Z550">
        <v>82.69</v>
      </c>
      <c r="AA550" t="s">
        <v>91</v>
      </c>
      <c r="AB550" t="s">
        <v>92</v>
      </c>
      <c r="AC550" t="s">
        <v>60</v>
      </c>
      <c r="AD550" t="s">
        <v>61</v>
      </c>
      <c r="AE550" t="s">
        <v>102</v>
      </c>
      <c r="AF550" s="5">
        <f>DATE(YEAR(C550),MONTH(C550),1)</f>
        <v>45839</v>
      </c>
      <c r="AG550">
        <f>E550-D550</f>
        <v>22</v>
      </c>
      <c r="AH550" s="6">
        <f t="shared" si="8"/>
        <v>58.139998931724165</v>
      </c>
    </row>
    <row r="551" spans="1:34">
      <c r="A551" t="s">
        <v>1215</v>
      </c>
      <c r="B551" t="s">
        <v>1216</v>
      </c>
      <c r="C551" s="1">
        <v>45921</v>
      </c>
      <c r="D551" s="1">
        <v>45922</v>
      </c>
      <c r="E551" s="1">
        <v>45938</v>
      </c>
      <c r="F551" t="s">
        <v>74</v>
      </c>
      <c r="G551" t="s">
        <v>75</v>
      </c>
      <c r="H551" t="s">
        <v>76</v>
      </c>
      <c r="I551" t="s">
        <v>56</v>
      </c>
      <c r="J551" t="s">
        <v>57</v>
      </c>
      <c r="K551" t="s">
        <v>58</v>
      </c>
      <c r="L551" t="s">
        <v>116</v>
      </c>
      <c r="M551" t="s">
        <v>108</v>
      </c>
      <c r="N551">
        <v>2</v>
      </c>
      <c r="O551" t="s">
        <v>105</v>
      </c>
      <c r="P551" s="48">
        <v>42929.51</v>
      </c>
      <c r="Q551" s="48">
        <v>9915.5300000000007</v>
      </c>
      <c r="R551" s="48">
        <v>2009.38</v>
      </c>
      <c r="S551" s="48">
        <v>1114</v>
      </c>
      <c r="T551" s="48">
        <v>429.3</v>
      </c>
      <c r="U551" s="48">
        <v>749.38</v>
      </c>
      <c r="V551" s="48">
        <v>1299.99</v>
      </c>
      <c r="W551" s="48">
        <v>27411.93</v>
      </c>
      <c r="X551">
        <v>24</v>
      </c>
      <c r="Y551" t="s">
        <v>117</v>
      </c>
      <c r="Z551">
        <v>82.63</v>
      </c>
      <c r="AA551" t="s">
        <v>91</v>
      </c>
      <c r="AB551" t="s">
        <v>92</v>
      </c>
      <c r="AC551" t="s">
        <v>70</v>
      </c>
      <c r="AD551" t="s">
        <v>144</v>
      </c>
      <c r="AE551" t="s">
        <v>50</v>
      </c>
      <c r="AF551" s="5">
        <f>DATE(YEAR(C551),MONTH(C551),1)</f>
        <v>45901</v>
      </c>
      <c r="AG551">
        <f>E551-D551</f>
        <v>16</v>
      </c>
      <c r="AH551" s="6">
        <f t="shared" si="8"/>
        <v>63.8533493627111</v>
      </c>
    </row>
    <row r="552" spans="1:34">
      <c r="A552" t="s">
        <v>1217</v>
      </c>
      <c r="B552" t="s">
        <v>1218</v>
      </c>
      <c r="C552" s="1">
        <v>45712</v>
      </c>
      <c r="D552" s="1">
        <v>45716</v>
      </c>
      <c r="E552" s="1">
        <v>45741</v>
      </c>
      <c r="F552" t="s">
        <v>120</v>
      </c>
      <c r="G552" t="s">
        <v>75</v>
      </c>
      <c r="H552" t="s">
        <v>121</v>
      </c>
      <c r="I552" t="s">
        <v>57</v>
      </c>
      <c r="J552" t="s">
        <v>98</v>
      </c>
      <c r="K552" t="s">
        <v>99</v>
      </c>
      <c r="L552" t="s">
        <v>59</v>
      </c>
      <c r="M552" t="s">
        <v>79</v>
      </c>
      <c r="N552">
        <v>1</v>
      </c>
      <c r="O552" t="s">
        <v>44</v>
      </c>
      <c r="P552" s="48">
        <v>34646.15</v>
      </c>
      <c r="Q552" s="48">
        <v>9904.5</v>
      </c>
      <c r="R552" s="48">
        <v>1861.42</v>
      </c>
      <c r="S552" s="48">
        <v>514.14</v>
      </c>
      <c r="T552" s="48">
        <v>346.46</v>
      </c>
      <c r="U552" s="48">
        <v>417.42</v>
      </c>
      <c r="V552" s="48">
        <v>2440.17</v>
      </c>
      <c r="W552" s="48">
        <v>19162.04</v>
      </c>
      <c r="X552">
        <v>36</v>
      </c>
      <c r="Y552" t="s">
        <v>90</v>
      </c>
      <c r="Z552">
        <v>82.54</v>
      </c>
      <c r="AA552" t="s">
        <v>91</v>
      </c>
      <c r="AB552" t="s">
        <v>47</v>
      </c>
      <c r="AC552" t="s">
        <v>48</v>
      </c>
      <c r="AD552" t="s">
        <v>144</v>
      </c>
      <c r="AE552" t="s">
        <v>71</v>
      </c>
      <c r="AF552" s="5">
        <f>DATE(YEAR(C552),MONTH(C552),1)</f>
        <v>45689</v>
      </c>
      <c r="AG552">
        <f>E552-D552</f>
        <v>25</v>
      </c>
      <c r="AH552" s="6">
        <f t="shared" si="8"/>
        <v>55.307848058153652</v>
      </c>
    </row>
    <row r="553" spans="1:34">
      <c r="A553" t="s">
        <v>1219</v>
      </c>
      <c r="B553" t="s">
        <v>1220</v>
      </c>
      <c r="C553" s="1">
        <v>45948</v>
      </c>
      <c r="D553" s="1">
        <v>45952</v>
      </c>
      <c r="E553" s="1">
        <v>45980</v>
      </c>
      <c r="F553" t="s">
        <v>234</v>
      </c>
      <c r="G553" t="s">
        <v>111</v>
      </c>
      <c r="H553" t="s">
        <v>150</v>
      </c>
      <c r="I553" t="s">
        <v>115</v>
      </c>
      <c r="J553" t="s">
        <v>98</v>
      </c>
      <c r="K553" t="s">
        <v>99</v>
      </c>
      <c r="L553" t="s">
        <v>116</v>
      </c>
      <c r="M553" t="s">
        <v>68</v>
      </c>
      <c r="N553">
        <v>2</v>
      </c>
      <c r="O553" t="s">
        <v>80</v>
      </c>
      <c r="P553" s="48">
        <v>49609.49</v>
      </c>
      <c r="Q553" s="48">
        <v>9867.11</v>
      </c>
      <c r="R553" s="48">
        <v>3630.27</v>
      </c>
      <c r="S553" s="48">
        <v>1360.58</v>
      </c>
      <c r="T553" s="48">
        <v>496.09</v>
      </c>
      <c r="U553" s="48">
        <v>681.54</v>
      </c>
      <c r="V553" s="48">
        <v>1125.8</v>
      </c>
      <c r="W553" s="48">
        <v>32448.1</v>
      </c>
      <c r="X553">
        <v>12</v>
      </c>
      <c r="Y553" t="s">
        <v>135</v>
      </c>
      <c r="Z553">
        <v>82.23</v>
      </c>
      <c r="AA553" t="s">
        <v>91</v>
      </c>
      <c r="AB553" t="s">
        <v>47</v>
      </c>
      <c r="AC553" t="s">
        <v>60</v>
      </c>
      <c r="AD553" t="s">
        <v>130</v>
      </c>
      <c r="AE553" t="s">
        <v>71</v>
      </c>
      <c r="AF553" s="5">
        <f>DATE(YEAR(C553),MONTH(C553),1)</f>
        <v>45931</v>
      </c>
      <c r="AG553">
        <f>E553-D553</f>
        <v>28</v>
      </c>
      <c r="AH553" s="6">
        <f t="shared" si="8"/>
        <v>65.407042080053628</v>
      </c>
    </row>
    <row r="554" spans="1:34">
      <c r="A554" t="s">
        <v>1221</v>
      </c>
      <c r="B554" t="s">
        <v>1222</v>
      </c>
      <c r="C554" s="1">
        <v>45885</v>
      </c>
      <c r="D554" s="1">
        <v>45888</v>
      </c>
      <c r="E554" s="1">
        <v>45911</v>
      </c>
      <c r="F554" t="s">
        <v>138</v>
      </c>
      <c r="G554" t="s">
        <v>139</v>
      </c>
      <c r="H554" t="s">
        <v>76</v>
      </c>
      <c r="I554" t="s">
        <v>86</v>
      </c>
      <c r="J554" t="s">
        <v>87</v>
      </c>
      <c r="K554" t="s">
        <v>88</v>
      </c>
      <c r="L554" t="s">
        <v>42</v>
      </c>
      <c r="M554" t="s">
        <v>79</v>
      </c>
      <c r="N554">
        <v>2</v>
      </c>
      <c r="O554" t="s">
        <v>44</v>
      </c>
      <c r="P554" s="48">
        <v>58605.69</v>
      </c>
      <c r="Q554" s="48">
        <v>9838.74</v>
      </c>
      <c r="R554" s="48">
        <v>2538.7800000000002</v>
      </c>
      <c r="S554" s="48">
        <v>1540.42</v>
      </c>
      <c r="T554" s="48">
        <v>586.05999999999995</v>
      </c>
      <c r="U554" s="48">
        <v>222.65</v>
      </c>
      <c r="V554" s="48">
        <v>934.84</v>
      </c>
      <c r="W554" s="48">
        <v>42944.2</v>
      </c>
      <c r="X554">
        <v>4</v>
      </c>
      <c r="Y554" t="s">
        <v>135</v>
      </c>
      <c r="Z554">
        <v>81.99</v>
      </c>
      <c r="AA554" t="s">
        <v>91</v>
      </c>
      <c r="AB554" t="s">
        <v>47</v>
      </c>
      <c r="AC554" t="s">
        <v>48</v>
      </c>
      <c r="AD554" t="s">
        <v>49</v>
      </c>
      <c r="AE554" t="s">
        <v>62</v>
      </c>
      <c r="AF554" s="5">
        <f>DATE(YEAR(C554),MONTH(C554),1)</f>
        <v>45870</v>
      </c>
      <c r="AG554">
        <f>E554-D554</f>
        <v>23</v>
      </c>
      <c r="AH554" s="6">
        <f t="shared" si="8"/>
        <v>73.276502674057753</v>
      </c>
    </row>
    <row r="555" spans="1:34">
      <c r="A555" t="s">
        <v>1223</v>
      </c>
      <c r="B555" t="s">
        <v>1224</v>
      </c>
      <c r="C555" s="1">
        <v>45886</v>
      </c>
      <c r="D555" s="1">
        <v>45890</v>
      </c>
      <c r="E555" s="1">
        <v>45911</v>
      </c>
      <c r="F555" t="s">
        <v>65</v>
      </c>
      <c r="G555" t="s">
        <v>66</v>
      </c>
      <c r="H555" t="s">
        <v>67</v>
      </c>
      <c r="I555" t="s">
        <v>77</v>
      </c>
      <c r="J555" t="s">
        <v>77</v>
      </c>
      <c r="K555" t="s">
        <v>41</v>
      </c>
      <c r="L555" t="s">
        <v>78</v>
      </c>
      <c r="M555" t="s">
        <v>43</v>
      </c>
      <c r="N555">
        <v>2</v>
      </c>
      <c r="O555" t="s">
        <v>80</v>
      </c>
      <c r="P555" s="48">
        <v>54410.95</v>
      </c>
      <c r="Q555" s="48">
        <v>9833.6200000000008</v>
      </c>
      <c r="R555" s="48">
        <v>3314.01</v>
      </c>
      <c r="S555" s="48">
        <v>1056.31</v>
      </c>
      <c r="T555" s="48">
        <v>544.11</v>
      </c>
      <c r="U555" s="48">
        <v>294.13</v>
      </c>
      <c r="V555" s="48">
        <v>878.27</v>
      </c>
      <c r="W555" s="48">
        <v>38490.5</v>
      </c>
      <c r="X555">
        <v>48</v>
      </c>
      <c r="Y555" t="s">
        <v>90</v>
      </c>
      <c r="Z555">
        <v>81.95</v>
      </c>
      <c r="AA555" t="s">
        <v>91</v>
      </c>
      <c r="AB555" t="s">
        <v>92</v>
      </c>
      <c r="AC555" t="s">
        <v>70</v>
      </c>
      <c r="AD555" t="s">
        <v>61</v>
      </c>
      <c r="AE555" t="s">
        <v>62</v>
      </c>
      <c r="AF555" s="5">
        <f>DATE(YEAR(C555),MONTH(C555),1)</f>
        <v>45870</v>
      </c>
      <c r="AG555">
        <f>E555-D555</f>
        <v>21</v>
      </c>
      <c r="AH555" s="6">
        <f t="shared" si="8"/>
        <v>70.740356490743139</v>
      </c>
    </row>
    <row r="556" spans="1:34">
      <c r="A556" t="s">
        <v>1225</v>
      </c>
      <c r="B556" t="s">
        <v>1226</v>
      </c>
      <c r="C556" s="1">
        <v>45715</v>
      </c>
      <c r="D556" s="1">
        <v>45716</v>
      </c>
      <c r="E556" s="1">
        <v>45726</v>
      </c>
      <c r="F556" t="s">
        <v>120</v>
      </c>
      <c r="G556" t="s">
        <v>75</v>
      </c>
      <c r="H556" t="s">
        <v>121</v>
      </c>
      <c r="I556" t="s">
        <v>40</v>
      </c>
      <c r="J556" t="s">
        <v>122</v>
      </c>
      <c r="K556" t="s">
        <v>123</v>
      </c>
      <c r="L556" t="s">
        <v>100</v>
      </c>
      <c r="M556" t="s">
        <v>79</v>
      </c>
      <c r="N556">
        <v>1</v>
      </c>
      <c r="O556" t="s">
        <v>105</v>
      </c>
      <c r="P556" s="48">
        <v>36070.89</v>
      </c>
      <c r="Q556" s="48">
        <v>9825.35</v>
      </c>
      <c r="R556" s="48">
        <v>1443.21</v>
      </c>
      <c r="S556" s="48">
        <v>559.4</v>
      </c>
      <c r="T556" s="48">
        <v>360.71</v>
      </c>
      <c r="U556" s="48">
        <v>835.07</v>
      </c>
      <c r="V556" s="48">
        <v>2324.73</v>
      </c>
      <c r="W556" s="48">
        <v>20722.419999999998</v>
      </c>
      <c r="X556">
        <v>4</v>
      </c>
      <c r="Y556" t="s">
        <v>90</v>
      </c>
      <c r="Z556">
        <v>81.88</v>
      </c>
      <c r="AA556" t="s">
        <v>91</v>
      </c>
      <c r="AB556" t="s">
        <v>47</v>
      </c>
      <c r="AC556" t="s">
        <v>48</v>
      </c>
      <c r="AD556" t="s">
        <v>144</v>
      </c>
      <c r="AE556" t="s">
        <v>102</v>
      </c>
      <c r="AF556" s="5">
        <f>DATE(YEAR(C556),MONTH(C556),1)</f>
        <v>45689</v>
      </c>
      <c r="AG556">
        <f>E556-D556</f>
        <v>10</v>
      </c>
      <c r="AH556" s="6">
        <f t="shared" si="8"/>
        <v>57.449150824944986</v>
      </c>
    </row>
    <row r="557" spans="1:34">
      <c r="A557" t="s">
        <v>1227</v>
      </c>
      <c r="B557" t="s">
        <v>1228</v>
      </c>
      <c r="C557" s="1">
        <v>45711</v>
      </c>
      <c r="D557" s="1">
        <v>45714</v>
      </c>
      <c r="E557" s="1">
        <v>45726</v>
      </c>
      <c r="F557" t="s">
        <v>149</v>
      </c>
      <c r="G557" t="s">
        <v>111</v>
      </c>
      <c r="H557" t="s">
        <v>150</v>
      </c>
      <c r="I557" t="s">
        <v>57</v>
      </c>
      <c r="J557" t="s">
        <v>98</v>
      </c>
      <c r="K557" t="s">
        <v>99</v>
      </c>
      <c r="L557" t="s">
        <v>127</v>
      </c>
      <c r="M557" t="s">
        <v>79</v>
      </c>
      <c r="N557">
        <v>2</v>
      </c>
      <c r="O557" t="s">
        <v>69</v>
      </c>
      <c r="P557" s="48">
        <v>39803.43</v>
      </c>
      <c r="Q557" s="48">
        <v>9807.73</v>
      </c>
      <c r="R557" s="48">
        <v>2642.97</v>
      </c>
      <c r="S557" s="48">
        <v>466.19</v>
      </c>
      <c r="T557" s="48">
        <v>398.03</v>
      </c>
      <c r="U557" s="48">
        <v>285.26</v>
      </c>
      <c r="V557" s="48">
        <v>943.19</v>
      </c>
      <c r="W557" s="48">
        <v>25260.06</v>
      </c>
      <c r="X557">
        <v>12</v>
      </c>
      <c r="Y557" t="s">
        <v>135</v>
      </c>
      <c r="Z557">
        <v>81.73</v>
      </c>
      <c r="AA557" t="s">
        <v>91</v>
      </c>
      <c r="AB557" t="s">
        <v>92</v>
      </c>
      <c r="AC557" t="s">
        <v>60</v>
      </c>
      <c r="AD557" t="s">
        <v>61</v>
      </c>
      <c r="AE557" t="s">
        <v>102</v>
      </c>
      <c r="AF557" s="5">
        <f>DATE(YEAR(C557),MONTH(C557),1)</f>
        <v>45689</v>
      </c>
      <c r="AG557">
        <f>E557-D557</f>
        <v>12</v>
      </c>
      <c r="AH557" s="6">
        <f t="shared" si="8"/>
        <v>63.462018223052638</v>
      </c>
    </row>
    <row r="558" spans="1:34">
      <c r="A558" t="s">
        <v>1229</v>
      </c>
      <c r="B558" t="s">
        <v>1230</v>
      </c>
      <c r="C558" s="1">
        <v>45737</v>
      </c>
      <c r="D558" s="1">
        <v>45741</v>
      </c>
      <c r="E558" s="1">
        <v>45765</v>
      </c>
      <c r="F558" t="s">
        <v>120</v>
      </c>
      <c r="G558" t="s">
        <v>75</v>
      </c>
      <c r="H558" t="s">
        <v>121</v>
      </c>
      <c r="I558" t="s">
        <v>77</v>
      </c>
      <c r="J558" t="s">
        <v>39</v>
      </c>
      <c r="K558" t="s">
        <v>41</v>
      </c>
      <c r="L558" t="s">
        <v>124</v>
      </c>
      <c r="M558" t="s">
        <v>68</v>
      </c>
      <c r="N558">
        <v>1</v>
      </c>
      <c r="O558" t="s">
        <v>69</v>
      </c>
      <c r="P558" s="48">
        <v>42147.03</v>
      </c>
      <c r="Q558" s="48">
        <v>9777.07</v>
      </c>
      <c r="R558" s="48">
        <v>2104.87</v>
      </c>
      <c r="S558" s="48">
        <v>1233.44</v>
      </c>
      <c r="T558" s="48">
        <v>421.47</v>
      </c>
      <c r="U558" s="48">
        <v>667.67</v>
      </c>
      <c r="V558" s="48">
        <v>870.19</v>
      </c>
      <c r="W558" s="48">
        <v>27072.32</v>
      </c>
      <c r="X558">
        <v>24</v>
      </c>
      <c r="Y558" t="s">
        <v>112</v>
      </c>
      <c r="Z558">
        <v>81.48</v>
      </c>
      <c r="AA558" t="s">
        <v>91</v>
      </c>
      <c r="AB558" t="s">
        <v>92</v>
      </c>
      <c r="AC558" t="s">
        <v>48</v>
      </c>
      <c r="AD558" t="s">
        <v>93</v>
      </c>
      <c r="AE558" t="s">
        <v>50</v>
      </c>
      <c r="AF558" s="5">
        <f>DATE(YEAR(C558),MONTH(C558),1)</f>
        <v>45717</v>
      </c>
      <c r="AG558">
        <f>E558-D558</f>
        <v>24</v>
      </c>
      <c r="AH558" s="6">
        <f t="shared" si="8"/>
        <v>64.233043229855099</v>
      </c>
    </row>
    <row r="559" spans="1:34">
      <c r="A559" t="s">
        <v>1231</v>
      </c>
      <c r="B559" t="s">
        <v>1232</v>
      </c>
      <c r="C559" s="1">
        <v>45684</v>
      </c>
      <c r="D559" s="1">
        <v>45687</v>
      </c>
      <c r="E559" s="1">
        <v>45711</v>
      </c>
      <c r="F559" t="s">
        <v>53</v>
      </c>
      <c r="G559" t="s">
        <v>54</v>
      </c>
      <c r="H559" t="s">
        <v>55</v>
      </c>
      <c r="I559" t="s">
        <v>57</v>
      </c>
      <c r="J559" t="s">
        <v>98</v>
      </c>
      <c r="K559" t="s">
        <v>99</v>
      </c>
      <c r="L559" t="s">
        <v>116</v>
      </c>
      <c r="M559" t="s">
        <v>68</v>
      </c>
      <c r="N559">
        <v>1</v>
      </c>
      <c r="O559" t="s">
        <v>80</v>
      </c>
      <c r="P559" s="48">
        <v>36981.24</v>
      </c>
      <c r="Q559" s="48">
        <v>9773.33</v>
      </c>
      <c r="R559" s="48">
        <v>2049.0700000000002</v>
      </c>
      <c r="S559" s="48">
        <v>563.36</v>
      </c>
      <c r="T559" s="48">
        <v>369.81</v>
      </c>
      <c r="U559" s="48">
        <v>690.55</v>
      </c>
      <c r="V559" s="48">
        <v>1817.56</v>
      </c>
      <c r="W559" s="48">
        <v>21717.56</v>
      </c>
      <c r="X559">
        <v>0</v>
      </c>
      <c r="Y559" t="s">
        <v>45</v>
      </c>
      <c r="Z559">
        <v>81.44</v>
      </c>
      <c r="AA559" t="s">
        <v>46</v>
      </c>
      <c r="AB559" t="s">
        <v>47</v>
      </c>
      <c r="AC559" t="s">
        <v>70</v>
      </c>
      <c r="AD559" t="s">
        <v>93</v>
      </c>
      <c r="AE559" t="s">
        <v>102</v>
      </c>
      <c r="AF559" s="5">
        <f>DATE(YEAR(C559),MONTH(C559),1)</f>
        <v>45658</v>
      </c>
      <c r="AG559">
        <f>E559-D559</f>
        <v>24</v>
      </c>
      <c r="AH559" s="6">
        <f t="shared" si="8"/>
        <v>58.725883718339354</v>
      </c>
    </row>
    <row r="560" spans="1:34">
      <c r="A560" t="s">
        <v>1233</v>
      </c>
      <c r="B560" t="s">
        <v>1234</v>
      </c>
      <c r="C560" s="1">
        <v>45664</v>
      </c>
      <c r="D560" s="1">
        <v>45668</v>
      </c>
      <c r="E560" s="1">
        <v>45682</v>
      </c>
      <c r="F560" t="s">
        <v>234</v>
      </c>
      <c r="G560" t="s">
        <v>111</v>
      </c>
      <c r="H560" t="s">
        <v>150</v>
      </c>
      <c r="I560" t="s">
        <v>115</v>
      </c>
      <c r="J560" t="s">
        <v>98</v>
      </c>
      <c r="K560" t="s">
        <v>99</v>
      </c>
      <c r="L560" t="s">
        <v>42</v>
      </c>
      <c r="M560" t="s">
        <v>43</v>
      </c>
      <c r="N560">
        <v>2</v>
      </c>
      <c r="O560" t="s">
        <v>54</v>
      </c>
      <c r="P560" s="48">
        <v>52160.43</v>
      </c>
      <c r="Q560" s="48">
        <v>9745.8700000000008</v>
      </c>
      <c r="R560" s="48">
        <v>3724.4</v>
      </c>
      <c r="S560" s="48">
        <v>1275.8499999999999</v>
      </c>
      <c r="T560" s="48">
        <v>521.6</v>
      </c>
      <c r="U560" s="48">
        <v>632.53</v>
      </c>
      <c r="V560" s="48">
        <v>653.15</v>
      </c>
      <c r="W560" s="48">
        <v>35607.03</v>
      </c>
      <c r="X560">
        <v>0</v>
      </c>
      <c r="Y560" t="s">
        <v>45</v>
      </c>
      <c r="Z560">
        <v>81.22</v>
      </c>
      <c r="AA560" t="s">
        <v>46</v>
      </c>
      <c r="AB560" t="s">
        <v>47</v>
      </c>
      <c r="AC560" t="s">
        <v>70</v>
      </c>
      <c r="AD560" t="s">
        <v>61</v>
      </c>
      <c r="AE560" t="s">
        <v>102</v>
      </c>
      <c r="AF560" s="5">
        <f>DATE(YEAR(C560),MONTH(C560),1)</f>
        <v>45658</v>
      </c>
      <c r="AG560">
        <f>E560-D560</f>
        <v>14</v>
      </c>
      <c r="AH560" s="6">
        <f t="shared" si="8"/>
        <v>68.264448740165676</v>
      </c>
    </row>
    <row r="561" spans="1:34">
      <c r="A561" t="s">
        <v>1235</v>
      </c>
      <c r="B561" t="s">
        <v>1236</v>
      </c>
      <c r="C561" s="1">
        <v>45797</v>
      </c>
      <c r="D561" s="1">
        <v>45801</v>
      </c>
      <c r="E561" s="1">
        <v>45817</v>
      </c>
      <c r="F561" t="s">
        <v>234</v>
      </c>
      <c r="G561" t="s">
        <v>111</v>
      </c>
      <c r="H561" t="s">
        <v>150</v>
      </c>
      <c r="I561" t="s">
        <v>115</v>
      </c>
      <c r="J561" t="s">
        <v>122</v>
      </c>
      <c r="K561" t="s">
        <v>41</v>
      </c>
      <c r="L561" t="s">
        <v>100</v>
      </c>
      <c r="M561" t="s">
        <v>43</v>
      </c>
      <c r="N561">
        <v>1</v>
      </c>
      <c r="O561" t="s">
        <v>54</v>
      </c>
      <c r="P561" s="48">
        <v>38084.9</v>
      </c>
      <c r="Q561" s="48">
        <v>9729.19</v>
      </c>
      <c r="R561" s="48">
        <v>2402.9</v>
      </c>
      <c r="S561" s="48">
        <v>983.74</v>
      </c>
      <c r="T561" s="48">
        <v>380.85</v>
      </c>
      <c r="U561" s="48">
        <v>729.96</v>
      </c>
      <c r="V561" s="48">
        <v>1223.33</v>
      </c>
      <c r="W561" s="48">
        <v>22634.93</v>
      </c>
      <c r="X561">
        <v>0</v>
      </c>
      <c r="Y561" t="s">
        <v>45</v>
      </c>
      <c r="Z561">
        <v>81.08</v>
      </c>
      <c r="AA561" t="s">
        <v>46</v>
      </c>
      <c r="AB561" t="s">
        <v>92</v>
      </c>
      <c r="AC561" t="s">
        <v>48</v>
      </c>
      <c r="AD561" t="s">
        <v>130</v>
      </c>
      <c r="AE561" t="s">
        <v>50</v>
      </c>
      <c r="AF561" s="5">
        <f>DATE(YEAR(C561),MONTH(C561),1)</f>
        <v>45778</v>
      </c>
      <c r="AG561">
        <f>E561-D561</f>
        <v>16</v>
      </c>
      <c r="AH561" s="6">
        <f t="shared" si="8"/>
        <v>59.432819831481766</v>
      </c>
    </row>
    <row r="562" spans="1:34">
      <c r="A562" t="s">
        <v>1237</v>
      </c>
      <c r="B562" t="s">
        <v>1238</v>
      </c>
      <c r="C562" s="1">
        <v>45820</v>
      </c>
      <c r="D562" s="1">
        <v>45822</v>
      </c>
      <c r="E562" s="1">
        <v>45843</v>
      </c>
      <c r="F562" t="s">
        <v>96</v>
      </c>
      <c r="G562" t="s">
        <v>97</v>
      </c>
      <c r="H562" t="s">
        <v>76</v>
      </c>
      <c r="I562" t="s">
        <v>57</v>
      </c>
      <c r="J562" t="s">
        <v>98</v>
      </c>
      <c r="K562" t="s">
        <v>99</v>
      </c>
      <c r="L562" t="s">
        <v>124</v>
      </c>
      <c r="M562" t="s">
        <v>79</v>
      </c>
      <c r="N562">
        <v>1</v>
      </c>
      <c r="O562" t="s">
        <v>54</v>
      </c>
      <c r="P562" s="48">
        <v>36601.980000000003</v>
      </c>
      <c r="Q562" s="48">
        <v>9705.68</v>
      </c>
      <c r="R562" s="48">
        <v>2085.3200000000002</v>
      </c>
      <c r="S562" s="48">
        <v>685.59</v>
      </c>
      <c r="T562" s="48">
        <v>366.02</v>
      </c>
      <c r="U562" s="48">
        <v>616.37</v>
      </c>
      <c r="V562" s="48">
        <v>2382.39</v>
      </c>
      <c r="W562" s="48">
        <v>20760.61</v>
      </c>
      <c r="X562">
        <v>36</v>
      </c>
      <c r="Y562" t="s">
        <v>90</v>
      </c>
      <c r="Z562">
        <v>80.88</v>
      </c>
      <c r="AA562" t="s">
        <v>91</v>
      </c>
      <c r="AB562" t="s">
        <v>47</v>
      </c>
      <c r="AC562" t="s">
        <v>70</v>
      </c>
      <c r="AD562" t="s">
        <v>61</v>
      </c>
      <c r="AE562" t="s">
        <v>71</v>
      </c>
      <c r="AF562" s="5">
        <f>DATE(YEAR(C562),MONTH(C562),1)</f>
        <v>45809</v>
      </c>
      <c r="AG562">
        <f>E562-D562</f>
        <v>21</v>
      </c>
      <c r="AH562" s="6">
        <f t="shared" si="8"/>
        <v>56.719909687945837</v>
      </c>
    </row>
    <row r="563" spans="1:34">
      <c r="A563" t="s">
        <v>1239</v>
      </c>
      <c r="B563" t="s">
        <v>1240</v>
      </c>
      <c r="C563" s="1">
        <v>45689</v>
      </c>
      <c r="D563" s="1">
        <v>45691</v>
      </c>
      <c r="E563" s="1">
        <v>45704</v>
      </c>
      <c r="F563" t="s">
        <v>180</v>
      </c>
      <c r="G563" t="s">
        <v>181</v>
      </c>
      <c r="H563" t="s">
        <v>38</v>
      </c>
      <c r="I563" t="s">
        <v>122</v>
      </c>
      <c r="J563" t="s">
        <v>115</v>
      </c>
      <c r="K563" t="s">
        <v>41</v>
      </c>
      <c r="L563" t="s">
        <v>116</v>
      </c>
      <c r="M563" t="s">
        <v>43</v>
      </c>
      <c r="N563">
        <v>1</v>
      </c>
      <c r="O563" t="s">
        <v>54</v>
      </c>
      <c r="P563" s="48">
        <v>37851.81</v>
      </c>
      <c r="Q563" s="48">
        <v>9681.59</v>
      </c>
      <c r="R563" s="48">
        <v>2245.39</v>
      </c>
      <c r="S563" s="48">
        <v>378.76</v>
      </c>
      <c r="T563" s="48">
        <v>378.52</v>
      </c>
      <c r="U563" s="48">
        <v>372.54</v>
      </c>
      <c r="V563" s="48">
        <v>2468.04</v>
      </c>
      <c r="W563" s="48">
        <v>22326.97</v>
      </c>
      <c r="X563">
        <v>4</v>
      </c>
      <c r="Y563" t="s">
        <v>101</v>
      </c>
      <c r="Z563">
        <v>80.680000000000007</v>
      </c>
      <c r="AA563" t="s">
        <v>91</v>
      </c>
      <c r="AB563" t="s">
        <v>92</v>
      </c>
      <c r="AC563" t="s">
        <v>60</v>
      </c>
      <c r="AD563" t="s">
        <v>130</v>
      </c>
      <c r="AE563" t="s">
        <v>50</v>
      </c>
      <c r="AF563" s="5">
        <f>DATE(YEAR(C563),MONTH(C563),1)</f>
        <v>45689</v>
      </c>
      <c r="AG563">
        <f>E563-D563</f>
        <v>13</v>
      </c>
      <c r="AH563" s="6">
        <f t="shared" si="8"/>
        <v>58.985211011045443</v>
      </c>
    </row>
    <row r="564" spans="1:34">
      <c r="A564" t="s">
        <v>1241</v>
      </c>
      <c r="B564" t="s">
        <v>1242</v>
      </c>
      <c r="C564" s="1">
        <v>45811</v>
      </c>
      <c r="D564" s="1">
        <v>45814</v>
      </c>
      <c r="E564" s="1">
        <v>45825</v>
      </c>
      <c r="F564" t="s">
        <v>153</v>
      </c>
      <c r="G564" t="s">
        <v>75</v>
      </c>
      <c r="H564" t="s">
        <v>154</v>
      </c>
      <c r="I564" t="s">
        <v>86</v>
      </c>
      <c r="J564" t="s">
        <v>57</v>
      </c>
      <c r="K564" t="s">
        <v>41</v>
      </c>
      <c r="L564" t="s">
        <v>116</v>
      </c>
      <c r="M564" t="s">
        <v>79</v>
      </c>
      <c r="N564">
        <v>1</v>
      </c>
      <c r="O564" t="s">
        <v>80</v>
      </c>
      <c r="P564" s="48">
        <v>38808.269999999997</v>
      </c>
      <c r="Q564" s="48">
        <v>9667.3799999999992</v>
      </c>
      <c r="R564" s="48">
        <v>2035.75</v>
      </c>
      <c r="S564" s="48">
        <v>507.57</v>
      </c>
      <c r="T564" s="48">
        <v>388.08</v>
      </c>
      <c r="U564" s="48">
        <v>147.65</v>
      </c>
      <c r="V564" s="48">
        <v>1406.85</v>
      </c>
      <c r="W564" s="48">
        <v>24654.99</v>
      </c>
      <c r="X564">
        <v>0</v>
      </c>
      <c r="Y564" t="s">
        <v>45</v>
      </c>
      <c r="Z564">
        <v>80.56</v>
      </c>
      <c r="AA564" t="s">
        <v>46</v>
      </c>
      <c r="AB564" t="s">
        <v>92</v>
      </c>
      <c r="AC564" t="s">
        <v>70</v>
      </c>
      <c r="AD564" t="s">
        <v>49</v>
      </c>
      <c r="AE564" t="s">
        <v>50</v>
      </c>
      <c r="AF564" s="5">
        <f>DATE(YEAR(C564),MONTH(C564),1)</f>
        <v>45809</v>
      </c>
      <c r="AG564">
        <f>E564-D564</f>
        <v>11</v>
      </c>
      <c r="AH564" s="6">
        <f t="shared" si="8"/>
        <v>63.530247547752069</v>
      </c>
    </row>
    <row r="565" spans="1:34">
      <c r="A565" t="s">
        <v>1243</v>
      </c>
      <c r="B565" t="s">
        <v>1244</v>
      </c>
      <c r="C565" s="1">
        <v>45763</v>
      </c>
      <c r="D565" s="1">
        <v>45764</v>
      </c>
      <c r="E565" s="1">
        <v>45787</v>
      </c>
      <c r="F565" t="s">
        <v>234</v>
      </c>
      <c r="G565" t="s">
        <v>111</v>
      </c>
      <c r="H565" t="s">
        <v>150</v>
      </c>
      <c r="I565" t="s">
        <v>40</v>
      </c>
      <c r="J565" t="s">
        <v>122</v>
      </c>
      <c r="K565" t="s">
        <v>123</v>
      </c>
      <c r="L565" t="s">
        <v>42</v>
      </c>
      <c r="M565" t="s">
        <v>68</v>
      </c>
      <c r="N565">
        <v>2</v>
      </c>
      <c r="O565" t="s">
        <v>105</v>
      </c>
      <c r="P565" s="48">
        <v>33061.29</v>
      </c>
      <c r="Q565" s="48">
        <v>9646.36</v>
      </c>
      <c r="R565" s="48">
        <v>1926.29</v>
      </c>
      <c r="S565" s="48">
        <v>345.93</v>
      </c>
      <c r="T565" s="48">
        <v>330.61</v>
      </c>
      <c r="U565" s="48">
        <v>517.64</v>
      </c>
      <c r="V565" s="48">
        <v>1674.9</v>
      </c>
      <c r="W565" s="48">
        <v>18619.560000000001</v>
      </c>
      <c r="X565">
        <v>0</v>
      </c>
      <c r="Y565" t="s">
        <v>45</v>
      </c>
      <c r="Z565">
        <v>80.39</v>
      </c>
      <c r="AA565" t="s">
        <v>46</v>
      </c>
      <c r="AB565" t="s">
        <v>47</v>
      </c>
      <c r="AC565" t="s">
        <v>60</v>
      </c>
      <c r="AD565" t="s">
        <v>130</v>
      </c>
      <c r="AE565" t="s">
        <v>102</v>
      </c>
      <c r="AF565" s="5">
        <f>DATE(YEAR(C565),MONTH(C565),1)</f>
        <v>45748</v>
      </c>
      <c r="AG565">
        <f>E565-D565</f>
        <v>23</v>
      </c>
      <c r="AH565" s="6">
        <f t="shared" si="8"/>
        <v>56.318310628532643</v>
      </c>
    </row>
    <row r="566" spans="1:34">
      <c r="A566" t="s">
        <v>1245</v>
      </c>
      <c r="B566" t="s">
        <v>1246</v>
      </c>
      <c r="C566" s="1">
        <v>45945</v>
      </c>
      <c r="D566" s="1">
        <v>45948</v>
      </c>
      <c r="E566" s="1">
        <v>45968</v>
      </c>
      <c r="F566" t="s">
        <v>83</v>
      </c>
      <c r="G566" t="s">
        <v>84</v>
      </c>
      <c r="H566" t="s">
        <v>85</v>
      </c>
      <c r="I566" t="s">
        <v>57</v>
      </c>
      <c r="J566" t="s">
        <v>98</v>
      </c>
      <c r="K566" t="s">
        <v>99</v>
      </c>
      <c r="L566" t="s">
        <v>78</v>
      </c>
      <c r="M566" t="s">
        <v>108</v>
      </c>
      <c r="N566">
        <v>2</v>
      </c>
      <c r="O566" t="s">
        <v>111</v>
      </c>
      <c r="P566" s="48">
        <v>37533.839999999997</v>
      </c>
      <c r="Q566" s="48">
        <v>9642.75</v>
      </c>
      <c r="R566" s="48">
        <v>2139.9899999999998</v>
      </c>
      <c r="S566" s="48">
        <v>788.06</v>
      </c>
      <c r="T566" s="48">
        <v>375.34</v>
      </c>
      <c r="U566" s="48">
        <v>717.47</v>
      </c>
      <c r="V566" s="48">
        <v>779.63</v>
      </c>
      <c r="W566" s="48">
        <v>23090.6</v>
      </c>
      <c r="X566">
        <v>0</v>
      </c>
      <c r="Y566" t="s">
        <v>45</v>
      </c>
      <c r="Z566">
        <v>80.36</v>
      </c>
      <c r="AA566" t="s">
        <v>46</v>
      </c>
      <c r="AB566" t="s">
        <v>92</v>
      </c>
      <c r="AC566" t="s">
        <v>70</v>
      </c>
      <c r="AD566" t="s">
        <v>61</v>
      </c>
      <c r="AE566" t="s">
        <v>62</v>
      </c>
      <c r="AF566" s="5">
        <f>DATE(YEAR(C566),MONTH(C566),1)</f>
        <v>45931</v>
      </c>
      <c r="AG566">
        <f>E566-D566</f>
        <v>20</v>
      </c>
      <c r="AH566" s="6">
        <f t="shared" si="8"/>
        <v>61.519418210340326</v>
      </c>
    </row>
    <row r="567" spans="1:34">
      <c r="A567" t="s">
        <v>1247</v>
      </c>
      <c r="B567" t="s">
        <v>1248</v>
      </c>
      <c r="C567" s="1">
        <v>46011</v>
      </c>
      <c r="D567" s="1">
        <v>46013</v>
      </c>
      <c r="E567" s="1">
        <v>46033</v>
      </c>
      <c r="F567" t="s">
        <v>234</v>
      </c>
      <c r="G567" t="s">
        <v>111</v>
      </c>
      <c r="H567" t="s">
        <v>150</v>
      </c>
      <c r="I567" t="s">
        <v>56</v>
      </c>
      <c r="J567" t="s">
        <v>57</v>
      </c>
      <c r="K567" t="s">
        <v>58</v>
      </c>
      <c r="L567" t="s">
        <v>78</v>
      </c>
      <c r="M567" t="s">
        <v>79</v>
      </c>
      <c r="N567">
        <v>2</v>
      </c>
      <c r="O567" t="s">
        <v>89</v>
      </c>
      <c r="P567" s="48">
        <v>52758.43</v>
      </c>
      <c r="Q567" s="48">
        <v>9634.3799999999992</v>
      </c>
      <c r="R567" s="48">
        <v>3169.57</v>
      </c>
      <c r="S567" s="48">
        <v>1137.97</v>
      </c>
      <c r="T567" s="48">
        <v>527.58000000000004</v>
      </c>
      <c r="U567" s="48">
        <v>232.72</v>
      </c>
      <c r="V567" s="48">
        <v>766.68</v>
      </c>
      <c r="W567" s="48">
        <v>37289.53</v>
      </c>
      <c r="X567">
        <v>24</v>
      </c>
      <c r="Y567" t="s">
        <v>90</v>
      </c>
      <c r="Z567">
        <v>80.290000000000006</v>
      </c>
      <c r="AA567" t="s">
        <v>91</v>
      </c>
      <c r="AB567" t="s">
        <v>92</v>
      </c>
      <c r="AC567" t="s">
        <v>70</v>
      </c>
      <c r="AD567" t="s">
        <v>130</v>
      </c>
      <c r="AE567" t="s">
        <v>71</v>
      </c>
      <c r="AF567" s="5">
        <f>DATE(YEAR(C567),MONTH(C567),1)</f>
        <v>45992</v>
      </c>
      <c r="AG567">
        <f>E567-D567</f>
        <v>20</v>
      </c>
      <c r="AH567" s="6">
        <f t="shared" si="8"/>
        <v>70.679756770624152</v>
      </c>
    </row>
    <row r="568" spans="1:34">
      <c r="A568" t="s">
        <v>1249</v>
      </c>
      <c r="B568" t="s">
        <v>1250</v>
      </c>
      <c r="C568" s="1">
        <v>46010</v>
      </c>
      <c r="D568" s="1">
        <v>46013</v>
      </c>
      <c r="E568" s="1">
        <v>46038</v>
      </c>
      <c r="F568" t="s">
        <v>120</v>
      </c>
      <c r="G568" t="s">
        <v>75</v>
      </c>
      <c r="H568" t="s">
        <v>121</v>
      </c>
      <c r="I568" t="s">
        <v>56</v>
      </c>
      <c r="J568" t="s">
        <v>98</v>
      </c>
      <c r="K568" t="s">
        <v>41</v>
      </c>
      <c r="L568" t="s">
        <v>78</v>
      </c>
      <c r="M568" t="s">
        <v>79</v>
      </c>
      <c r="N568">
        <v>4</v>
      </c>
      <c r="O568" t="s">
        <v>111</v>
      </c>
      <c r="P568" s="48">
        <v>37455.32</v>
      </c>
      <c r="Q568" s="48">
        <v>9627.7800000000007</v>
      </c>
      <c r="R568" s="48">
        <v>1931.74</v>
      </c>
      <c r="S568" s="48">
        <v>1070.19</v>
      </c>
      <c r="T568" s="48">
        <v>374.55</v>
      </c>
      <c r="U568" s="48">
        <v>559.87</v>
      </c>
      <c r="V568" s="48">
        <v>1137.8599999999999</v>
      </c>
      <c r="W568" s="48">
        <v>22753.33</v>
      </c>
      <c r="X568">
        <v>0</v>
      </c>
      <c r="Y568" t="s">
        <v>45</v>
      </c>
      <c r="Z568">
        <v>80.23</v>
      </c>
      <c r="AA568" t="s">
        <v>46</v>
      </c>
      <c r="AB568" t="s">
        <v>92</v>
      </c>
      <c r="AC568" t="s">
        <v>48</v>
      </c>
      <c r="AD568" t="s">
        <v>61</v>
      </c>
      <c r="AE568" t="s">
        <v>71</v>
      </c>
      <c r="AF568" s="5">
        <f>DATE(YEAR(C568),MONTH(C568),1)</f>
        <v>45992</v>
      </c>
      <c r="AG568">
        <f>E568-D568</f>
        <v>25</v>
      </c>
      <c r="AH568" s="6">
        <f t="shared" si="8"/>
        <v>60.747925795320931</v>
      </c>
    </row>
    <row r="569" spans="1:34">
      <c r="A569" t="s">
        <v>1251</v>
      </c>
      <c r="B569" t="s">
        <v>1252</v>
      </c>
      <c r="C569" s="1">
        <v>45698</v>
      </c>
      <c r="D569" s="1">
        <v>45701</v>
      </c>
      <c r="E569" s="1">
        <v>45717</v>
      </c>
      <c r="F569" t="s">
        <v>153</v>
      </c>
      <c r="G569" t="s">
        <v>75</v>
      </c>
      <c r="H569" t="s">
        <v>154</v>
      </c>
      <c r="I569" t="s">
        <v>115</v>
      </c>
      <c r="J569" t="s">
        <v>98</v>
      </c>
      <c r="K569" t="s">
        <v>99</v>
      </c>
      <c r="L569" t="s">
        <v>155</v>
      </c>
      <c r="M569" t="s">
        <v>108</v>
      </c>
      <c r="N569">
        <v>1</v>
      </c>
      <c r="O569" t="s">
        <v>54</v>
      </c>
      <c r="P569" s="48">
        <v>38564.480000000003</v>
      </c>
      <c r="Q569" s="48">
        <v>9606.7800000000007</v>
      </c>
      <c r="R569" s="48">
        <v>1757.12</v>
      </c>
      <c r="S569" s="48">
        <v>462.07</v>
      </c>
      <c r="T569" s="48">
        <v>385.64</v>
      </c>
      <c r="U569" s="48">
        <v>858.37</v>
      </c>
      <c r="V569" s="48">
        <v>1415.24</v>
      </c>
      <c r="W569" s="48">
        <v>24079.26</v>
      </c>
      <c r="X569">
        <v>0</v>
      </c>
      <c r="Y569" t="s">
        <v>45</v>
      </c>
      <c r="Z569">
        <v>80.06</v>
      </c>
      <c r="AA569" t="s">
        <v>46</v>
      </c>
      <c r="AB569" t="s">
        <v>92</v>
      </c>
      <c r="AC569" t="s">
        <v>60</v>
      </c>
      <c r="AD569" t="s">
        <v>61</v>
      </c>
      <c r="AE569" t="s">
        <v>62</v>
      </c>
      <c r="AF569" s="5">
        <f>DATE(YEAR(C569),MONTH(C569),1)</f>
        <v>45689</v>
      </c>
      <c r="AG569">
        <f>E569-D569</f>
        <v>16</v>
      </c>
      <c r="AH569" s="6">
        <f t="shared" si="8"/>
        <v>62.438959374014622</v>
      </c>
    </row>
    <row r="570" spans="1:34">
      <c r="A570" t="s">
        <v>1253</v>
      </c>
      <c r="B570" t="s">
        <v>1254</v>
      </c>
      <c r="C570" s="1">
        <v>45913</v>
      </c>
      <c r="D570" s="1">
        <v>45915</v>
      </c>
      <c r="E570" s="1">
        <v>45934</v>
      </c>
      <c r="F570" t="s">
        <v>65</v>
      </c>
      <c r="G570" t="s">
        <v>66</v>
      </c>
      <c r="H570" t="s">
        <v>67</v>
      </c>
      <c r="I570" t="s">
        <v>86</v>
      </c>
      <c r="J570" t="s">
        <v>87</v>
      </c>
      <c r="K570" t="s">
        <v>88</v>
      </c>
      <c r="L570" t="s">
        <v>127</v>
      </c>
      <c r="M570" t="s">
        <v>68</v>
      </c>
      <c r="N570">
        <v>4</v>
      </c>
      <c r="O570" t="s">
        <v>80</v>
      </c>
      <c r="P570" s="48">
        <v>35185.839999999997</v>
      </c>
      <c r="Q570" s="48">
        <v>9593.7800000000007</v>
      </c>
      <c r="R570" s="48">
        <v>2339.08</v>
      </c>
      <c r="S570" s="48">
        <v>442.8</v>
      </c>
      <c r="T570" s="48">
        <v>351.86</v>
      </c>
      <c r="U570" s="48">
        <v>390.4</v>
      </c>
      <c r="V570" s="48">
        <v>1779.37</v>
      </c>
      <c r="W570" s="48">
        <v>20288.55</v>
      </c>
      <c r="X570">
        <v>48</v>
      </c>
      <c r="Y570" t="s">
        <v>90</v>
      </c>
      <c r="Z570">
        <v>79.95</v>
      </c>
      <c r="AA570" t="s">
        <v>91</v>
      </c>
      <c r="AB570" t="s">
        <v>92</v>
      </c>
      <c r="AC570" t="s">
        <v>70</v>
      </c>
      <c r="AD570" t="s">
        <v>93</v>
      </c>
      <c r="AE570" t="s">
        <v>62</v>
      </c>
      <c r="AF570" s="5">
        <f>DATE(YEAR(C570),MONTH(C570),1)</f>
        <v>45901</v>
      </c>
      <c r="AG570">
        <f>E570-D570</f>
        <v>19</v>
      </c>
      <c r="AH570" s="6">
        <f t="shared" si="8"/>
        <v>57.661121633020564</v>
      </c>
    </row>
    <row r="571" spans="1:34">
      <c r="A571" t="s">
        <v>1255</v>
      </c>
      <c r="B571" t="s">
        <v>1256</v>
      </c>
      <c r="C571" s="1">
        <v>45898</v>
      </c>
      <c r="D571" s="1">
        <v>45900</v>
      </c>
      <c r="E571" s="1">
        <v>45910</v>
      </c>
      <c r="F571" t="s">
        <v>53</v>
      </c>
      <c r="G571" t="s">
        <v>54</v>
      </c>
      <c r="H571" t="s">
        <v>55</v>
      </c>
      <c r="I571" t="s">
        <v>86</v>
      </c>
      <c r="J571" t="s">
        <v>87</v>
      </c>
      <c r="K571" t="s">
        <v>88</v>
      </c>
      <c r="L571" t="s">
        <v>59</v>
      </c>
      <c r="M571" t="s">
        <v>43</v>
      </c>
      <c r="N571">
        <v>2</v>
      </c>
      <c r="O571" t="s">
        <v>89</v>
      </c>
      <c r="P571" s="48">
        <v>54688.44</v>
      </c>
      <c r="Q571" s="48">
        <v>9585.27</v>
      </c>
      <c r="R571" s="48">
        <v>3476.86</v>
      </c>
      <c r="S571" s="48">
        <v>1460.93</v>
      </c>
      <c r="T571" s="48">
        <v>546.88</v>
      </c>
      <c r="U571" s="48">
        <v>538.49</v>
      </c>
      <c r="V571" s="48">
        <v>1115.24</v>
      </c>
      <c r="W571" s="48">
        <v>37964.769999999997</v>
      </c>
      <c r="X571">
        <v>0</v>
      </c>
      <c r="Y571" t="s">
        <v>45</v>
      </c>
      <c r="Z571">
        <v>79.88</v>
      </c>
      <c r="AA571" t="s">
        <v>46</v>
      </c>
      <c r="AB571" t="s">
        <v>47</v>
      </c>
      <c r="AC571" t="s">
        <v>60</v>
      </c>
      <c r="AD571" t="s">
        <v>130</v>
      </c>
      <c r="AE571" t="s">
        <v>50</v>
      </c>
      <c r="AF571" s="5">
        <f>DATE(YEAR(C571),MONTH(C571),1)</f>
        <v>45870</v>
      </c>
      <c r="AG571">
        <f>E571-D571</f>
        <v>10</v>
      </c>
      <c r="AH571" s="6">
        <f t="shared" si="8"/>
        <v>69.420100481929992</v>
      </c>
    </row>
    <row r="572" spans="1:34">
      <c r="A572" t="s">
        <v>1257</v>
      </c>
      <c r="B572" t="s">
        <v>1258</v>
      </c>
      <c r="C572" s="1">
        <v>45745</v>
      </c>
      <c r="D572" s="1">
        <v>45748</v>
      </c>
      <c r="E572" s="1">
        <v>45772</v>
      </c>
      <c r="F572" t="s">
        <v>83</v>
      </c>
      <c r="G572" t="s">
        <v>84</v>
      </c>
      <c r="H572" t="s">
        <v>85</v>
      </c>
      <c r="I572" t="s">
        <v>122</v>
      </c>
      <c r="J572" t="s">
        <v>77</v>
      </c>
      <c r="K572" t="s">
        <v>41</v>
      </c>
      <c r="L572" t="s">
        <v>59</v>
      </c>
      <c r="M572" t="s">
        <v>68</v>
      </c>
      <c r="N572">
        <v>1</v>
      </c>
      <c r="O572" t="s">
        <v>54</v>
      </c>
      <c r="P572" s="48">
        <v>32394.79</v>
      </c>
      <c r="Q572" s="48">
        <v>9582.7900000000009</v>
      </c>
      <c r="R572" s="48">
        <v>1506.53</v>
      </c>
      <c r="S572" s="48">
        <v>336.07</v>
      </c>
      <c r="T572" s="48">
        <v>323.95</v>
      </c>
      <c r="U572" s="48">
        <v>617.09</v>
      </c>
      <c r="V572" s="48">
        <v>2118.91</v>
      </c>
      <c r="W572" s="48">
        <v>17909.45</v>
      </c>
      <c r="X572">
        <v>24</v>
      </c>
      <c r="Y572" t="s">
        <v>117</v>
      </c>
      <c r="Z572">
        <v>79.86</v>
      </c>
      <c r="AA572" t="s">
        <v>91</v>
      </c>
      <c r="AB572" t="s">
        <v>47</v>
      </c>
      <c r="AC572" t="s">
        <v>70</v>
      </c>
      <c r="AD572" t="s">
        <v>93</v>
      </c>
      <c r="AE572" t="s">
        <v>71</v>
      </c>
      <c r="AF572" s="5">
        <f>DATE(YEAR(C572),MONTH(C572),1)</f>
        <v>45717</v>
      </c>
      <c r="AG572">
        <f>E572-D572</f>
        <v>24</v>
      </c>
      <c r="AH572" s="6">
        <f t="shared" si="8"/>
        <v>55.284970206628905</v>
      </c>
    </row>
    <row r="573" spans="1:34">
      <c r="A573" t="s">
        <v>1259</v>
      </c>
      <c r="B573" t="s">
        <v>1260</v>
      </c>
      <c r="C573" s="1">
        <v>45787</v>
      </c>
      <c r="D573" s="1">
        <v>45788</v>
      </c>
      <c r="E573" s="1">
        <v>45806</v>
      </c>
      <c r="F573" t="s">
        <v>53</v>
      </c>
      <c r="G573" t="s">
        <v>54</v>
      </c>
      <c r="H573" t="s">
        <v>55</v>
      </c>
      <c r="I573" t="s">
        <v>57</v>
      </c>
      <c r="J573" t="s">
        <v>57</v>
      </c>
      <c r="K573" t="s">
        <v>41</v>
      </c>
      <c r="L573" t="s">
        <v>155</v>
      </c>
      <c r="M573" t="s">
        <v>108</v>
      </c>
      <c r="N573">
        <v>2</v>
      </c>
      <c r="O573" t="s">
        <v>69</v>
      </c>
      <c r="P573" s="48">
        <v>43616.1</v>
      </c>
      <c r="Q573" s="48">
        <v>9579.2099999999991</v>
      </c>
      <c r="R573" s="48">
        <v>2672.4</v>
      </c>
      <c r="S573" s="48">
        <v>826.46</v>
      </c>
      <c r="T573" s="48">
        <v>436.16</v>
      </c>
      <c r="U573" s="48">
        <v>293.23</v>
      </c>
      <c r="V573" s="48">
        <v>1711.98</v>
      </c>
      <c r="W573" s="48">
        <v>28096.66</v>
      </c>
      <c r="X573">
        <v>0</v>
      </c>
      <c r="Y573" t="s">
        <v>45</v>
      </c>
      <c r="Z573">
        <v>79.83</v>
      </c>
      <c r="AA573" t="s">
        <v>46</v>
      </c>
      <c r="AB573" t="s">
        <v>92</v>
      </c>
      <c r="AC573" t="s">
        <v>60</v>
      </c>
      <c r="AD573" t="s">
        <v>130</v>
      </c>
      <c r="AE573" t="s">
        <v>50</v>
      </c>
      <c r="AF573" s="5">
        <f>DATE(YEAR(C573),MONTH(C573),1)</f>
        <v>45778</v>
      </c>
      <c r="AG573">
        <f>E573-D573</f>
        <v>18</v>
      </c>
      <c r="AH573" s="6">
        <f t="shared" si="8"/>
        <v>64.418093318751573</v>
      </c>
    </row>
    <row r="574" spans="1:34">
      <c r="A574" t="s">
        <v>1261</v>
      </c>
      <c r="B574" t="s">
        <v>1262</v>
      </c>
      <c r="C574" s="1">
        <v>45896</v>
      </c>
      <c r="D574" s="1">
        <v>45899</v>
      </c>
      <c r="E574" s="1">
        <v>45917</v>
      </c>
      <c r="F574" t="s">
        <v>149</v>
      </c>
      <c r="G574" t="s">
        <v>111</v>
      </c>
      <c r="H574" t="s">
        <v>150</v>
      </c>
      <c r="I574" t="s">
        <v>56</v>
      </c>
      <c r="J574" t="s">
        <v>40</v>
      </c>
      <c r="K574" t="s">
        <v>41</v>
      </c>
      <c r="L574" t="s">
        <v>127</v>
      </c>
      <c r="M574" t="s">
        <v>79</v>
      </c>
      <c r="N574">
        <v>4</v>
      </c>
      <c r="O574" t="s">
        <v>80</v>
      </c>
      <c r="P574" s="48">
        <v>56105.58</v>
      </c>
      <c r="Q574" s="48">
        <v>9564.34</v>
      </c>
      <c r="R574" s="48">
        <v>4431.12</v>
      </c>
      <c r="S574" s="48">
        <v>1408.64</v>
      </c>
      <c r="T574" s="48">
        <v>561.05999999999995</v>
      </c>
      <c r="U574" s="48">
        <v>787.94</v>
      </c>
      <c r="V574" s="48">
        <v>2182.85</v>
      </c>
      <c r="W574" s="48">
        <v>37169.629999999997</v>
      </c>
      <c r="X574">
        <v>0</v>
      </c>
      <c r="Y574" t="s">
        <v>45</v>
      </c>
      <c r="Z574">
        <v>79.7</v>
      </c>
      <c r="AA574" t="s">
        <v>46</v>
      </c>
      <c r="AB574" t="s">
        <v>92</v>
      </c>
      <c r="AC574" t="s">
        <v>48</v>
      </c>
      <c r="AD574" t="s">
        <v>49</v>
      </c>
      <c r="AE574" t="s">
        <v>50</v>
      </c>
      <c r="AF574" s="5">
        <f>DATE(YEAR(C574),MONTH(C574),1)</f>
        <v>45870</v>
      </c>
      <c r="AG574">
        <f>E574-D574</f>
        <v>18</v>
      </c>
      <c r="AH574" s="6">
        <f t="shared" si="8"/>
        <v>66.249435439398354</v>
      </c>
    </row>
    <row r="575" spans="1:34">
      <c r="A575" t="s">
        <v>1263</v>
      </c>
      <c r="B575" t="s">
        <v>1264</v>
      </c>
      <c r="C575" s="1">
        <v>45772</v>
      </c>
      <c r="D575" s="1">
        <v>45776</v>
      </c>
      <c r="E575" s="1">
        <v>45791</v>
      </c>
      <c r="F575" t="s">
        <v>96</v>
      </c>
      <c r="G575" t="s">
        <v>97</v>
      </c>
      <c r="H575" t="s">
        <v>76</v>
      </c>
      <c r="I575" t="s">
        <v>56</v>
      </c>
      <c r="J575" t="s">
        <v>57</v>
      </c>
      <c r="K575" t="s">
        <v>58</v>
      </c>
      <c r="L575" t="s">
        <v>124</v>
      </c>
      <c r="M575" t="s">
        <v>43</v>
      </c>
      <c r="N575">
        <v>2</v>
      </c>
      <c r="O575" t="s">
        <v>80</v>
      </c>
      <c r="P575" s="48">
        <v>54813.15</v>
      </c>
      <c r="Q575" s="48">
        <v>9532.7999999999993</v>
      </c>
      <c r="R575" s="48">
        <v>3272.94</v>
      </c>
      <c r="S575" s="48">
        <v>1172.47</v>
      </c>
      <c r="T575" s="48">
        <v>548.13</v>
      </c>
      <c r="U575" s="48">
        <v>163.24</v>
      </c>
      <c r="V575" s="48">
        <v>2333.91</v>
      </c>
      <c r="W575" s="48">
        <v>37789.660000000003</v>
      </c>
      <c r="X575">
        <v>8</v>
      </c>
      <c r="Y575" t="s">
        <v>90</v>
      </c>
      <c r="Z575">
        <v>79.44</v>
      </c>
      <c r="AA575" t="s">
        <v>91</v>
      </c>
      <c r="AB575" t="s">
        <v>47</v>
      </c>
      <c r="AC575" t="s">
        <v>48</v>
      </c>
      <c r="AD575" t="s">
        <v>144</v>
      </c>
      <c r="AE575" t="s">
        <v>62</v>
      </c>
      <c r="AF575" s="5">
        <f>DATE(YEAR(C575),MONTH(C575),1)</f>
        <v>45748</v>
      </c>
      <c r="AG575">
        <f>E575-D575</f>
        <v>15</v>
      </c>
      <c r="AH575" s="6">
        <f t="shared" si="8"/>
        <v>68.94268984723557</v>
      </c>
    </row>
    <row r="576" spans="1:34">
      <c r="A576" t="s">
        <v>1265</v>
      </c>
      <c r="B576" t="s">
        <v>1266</v>
      </c>
      <c r="C576" s="1">
        <v>46004</v>
      </c>
      <c r="D576" s="1">
        <v>46006</v>
      </c>
      <c r="E576" s="1">
        <v>46021</v>
      </c>
      <c r="F576" t="s">
        <v>180</v>
      </c>
      <c r="G576" t="s">
        <v>181</v>
      </c>
      <c r="H576" t="s">
        <v>38</v>
      </c>
      <c r="I576" t="s">
        <v>86</v>
      </c>
      <c r="J576" t="s">
        <v>87</v>
      </c>
      <c r="K576" t="s">
        <v>88</v>
      </c>
      <c r="L576" t="s">
        <v>59</v>
      </c>
      <c r="M576" t="s">
        <v>43</v>
      </c>
      <c r="N576">
        <v>2</v>
      </c>
      <c r="O576" t="s">
        <v>111</v>
      </c>
      <c r="P576" s="48">
        <v>36484.660000000003</v>
      </c>
      <c r="Q576" s="48">
        <v>9526.4</v>
      </c>
      <c r="R576" s="48">
        <v>2895.7</v>
      </c>
      <c r="S576" s="48">
        <v>798.61</v>
      </c>
      <c r="T576" s="48">
        <v>364.85</v>
      </c>
      <c r="U576" s="48">
        <v>471.75</v>
      </c>
      <c r="V576" s="48">
        <v>2127.0100000000002</v>
      </c>
      <c r="W576" s="48">
        <v>20300.34</v>
      </c>
      <c r="X576">
        <v>24</v>
      </c>
      <c r="Y576" t="s">
        <v>135</v>
      </c>
      <c r="Z576">
        <v>79.39</v>
      </c>
      <c r="AA576" t="s">
        <v>91</v>
      </c>
      <c r="AB576" t="s">
        <v>47</v>
      </c>
      <c r="AC576" t="s">
        <v>48</v>
      </c>
      <c r="AD576" t="s">
        <v>49</v>
      </c>
      <c r="AE576" t="s">
        <v>71</v>
      </c>
      <c r="AF576" s="5">
        <f>DATE(YEAR(C576),MONTH(C576),1)</f>
        <v>45992</v>
      </c>
      <c r="AG576">
        <f>E576-D576</f>
        <v>15</v>
      </c>
      <c r="AH576" s="6">
        <f t="shared" si="8"/>
        <v>55.640754223829958</v>
      </c>
    </row>
    <row r="577" spans="1:34">
      <c r="A577" t="s">
        <v>1267</v>
      </c>
      <c r="B577" t="s">
        <v>1268</v>
      </c>
      <c r="C577" s="1">
        <v>45933</v>
      </c>
      <c r="D577" s="1">
        <v>45934</v>
      </c>
      <c r="E577" s="1">
        <v>45957</v>
      </c>
      <c r="F577" t="s">
        <v>180</v>
      </c>
      <c r="G577" t="s">
        <v>181</v>
      </c>
      <c r="H577" t="s">
        <v>38</v>
      </c>
      <c r="I577" t="s">
        <v>40</v>
      </c>
      <c r="J577" t="s">
        <v>115</v>
      </c>
      <c r="K577" t="s">
        <v>41</v>
      </c>
      <c r="L577" t="s">
        <v>124</v>
      </c>
      <c r="M577" t="s">
        <v>79</v>
      </c>
      <c r="N577">
        <v>2</v>
      </c>
      <c r="O577" t="s">
        <v>44</v>
      </c>
      <c r="P577" s="48">
        <v>32502.82</v>
      </c>
      <c r="Q577" s="48">
        <v>9478.82</v>
      </c>
      <c r="R577" s="48">
        <v>2491.42</v>
      </c>
      <c r="S577" s="48">
        <v>707.91</v>
      </c>
      <c r="T577" s="48">
        <v>325.02999999999997</v>
      </c>
      <c r="U577" s="48">
        <v>206.17</v>
      </c>
      <c r="V577" s="48">
        <v>2489.8200000000002</v>
      </c>
      <c r="W577" s="48">
        <v>16803.650000000001</v>
      </c>
      <c r="X577">
        <v>8</v>
      </c>
      <c r="Y577" t="s">
        <v>101</v>
      </c>
      <c r="Z577">
        <v>78.989999999999995</v>
      </c>
      <c r="AA577" t="s">
        <v>91</v>
      </c>
      <c r="AB577" t="s">
        <v>47</v>
      </c>
      <c r="AC577" t="s">
        <v>60</v>
      </c>
      <c r="AD577" t="s">
        <v>93</v>
      </c>
      <c r="AE577" t="s">
        <v>50</v>
      </c>
      <c r="AF577" s="5">
        <f>DATE(YEAR(C577),MONTH(C577),1)</f>
        <v>45931</v>
      </c>
      <c r="AG577">
        <f>E577-D577</f>
        <v>23</v>
      </c>
      <c r="AH577" s="6">
        <f t="shared" si="8"/>
        <v>51.699052574515079</v>
      </c>
    </row>
    <row r="578" spans="1:34">
      <c r="A578" t="s">
        <v>1269</v>
      </c>
      <c r="B578" t="s">
        <v>1270</v>
      </c>
      <c r="C578" s="1">
        <v>45838</v>
      </c>
      <c r="D578" s="1">
        <v>45841</v>
      </c>
      <c r="E578" s="1">
        <v>45857</v>
      </c>
      <c r="F578" t="s">
        <v>180</v>
      </c>
      <c r="G578" t="s">
        <v>181</v>
      </c>
      <c r="H578" t="s">
        <v>38</v>
      </c>
      <c r="I578" t="s">
        <v>40</v>
      </c>
      <c r="J578" t="s">
        <v>98</v>
      </c>
      <c r="K578" t="s">
        <v>41</v>
      </c>
      <c r="L578" t="s">
        <v>78</v>
      </c>
      <c r="M578" t="s">
        <v>43</v>
      </c>
      <c r="N578">
        <v>1</v>
      </c>
      <c r="O578" t="s">
        <v>80</v>
      </c>
      <c r="P578" s="48">
        <v>36037.47</v>
      </c>
      <c r="Q578" s="48">
        <v>9467.73</v>
      </c>
      <c r="R578" s="48">
        <v>1532.76</v>
      </c>
      <c r="S578" s="48">
        <v>611.19000000000005</v>
      </c>
      <c r="T578" s="48">
        <v>360.37</v>
      </c>
      <c r="U578" s="48">
        <v>600.51</v>
      </c>
      <c r="V578" s="48">
        <v>2304.9499999999998</v>
      </c>
      <c r="W578" s="48">
        <v>21159.96</v>
      </c>
      <c r="X578">
        <v>12</v>
      </c>
      <c r="Y578" t="s">
        <v>90</v>
      </c>
      <c r="Z578">
        <v>78.900000000000006</v>
      </c>
      <c r="AA578" t="s">
        <v>91</v>
      </c>
      <c r="AB578" t="s">
        <v>47</v>
      </c>
      <c r="AC578" t="s">
        <v>48</v>
      </c>
      <c r="AD578" t="s">
        <v>93</v>
      </c>
      <c r="AE578" t="s">
        <v>62</v>
      </c>
      <c r="AF578" s="5">
        <f>DATE(YEAR(C578),MONTH(C578),1)</f>
        <v>45809</v>
      </c>
      <c r="AG578">
        <f>E578-D578</f>
        <v>16</v>
      </c>
      <c r="AH578" s="6">
        <f t="shared" si="8"/>
        <v>58.716552521583779</v>
      </c>
    </row>
    <row r="579" spans="1:34">
      <c r="A579" t="s">
        <v>1271</v>
      </c>
      <c r="B579" t="s">
        <v>1272</v>
      </c>
      <c r="C579" s="1">
        <v>45918</v>
      </c>
      <c r="D579" s="1">
        <v>45920</v>
      </c>
      <c r="E579" s="1">
        <v>45947</v>
      </c>
      <c r="F579" t="s">
        <v>65</v>
      </c>
      <c r="G579" t="s">
        <v>66</v>
      </c>
      <c r="H579" t="s">
        <v>67</v>
      </c>
      <c r="I579" t="s">
        <v>87</v>
      </c>
      <c r="J579" t="s">
        <v>40</v>
      </c>
      <c r="K579" t="s">
        <v>41</v>
      </c>
      <c r="L579" t="s">
        <v>100</v>
      </c>
      <c r="M579" t="s">
        <v>68</v>
      </c>
      <c r="N579">
        <v>1</v>
      </c>
      <c r="O579" t="s">
        <v>89</v>
      </c>
      <c r="P579" s="48">
        <v>39489.51</v>
      </c>
      <c r="Q579" s="48">
        <v>9461.0499999999993</v>
      </c>
      <c r="R579" s="48">
        <v>1937.96</v>
      </c>
      <c r="S579" s="48">
        <v>840.69</v>
      </c>
      <c r="T579" s="48">
        <v>394.9</v>
      </c>
      <c r="U579" s="48">
        <v>605.1</v>
      </c>
      <c r="V579" s="48">
        <v>444.97</v>
      </c>
      <c r="W579" s="48">
        <v>25804.84</v>
      </c>
      <c r="X579">
        <v>24</v>
      </c>
      <c r="Y579" t="s">
        <v>135</v>
      </c>
      <c r="Z579">
        <v>78.84</v>
      </c>
      <c r="AA579" t="s">
        <v>91</v>
      </c>
      <c r="AB579" t="s">
        <v>47</v>
      </c>
      <c r="AC579" t="s">
        <v>60</v>
      </c>
      <c r="AD579" t="s">
        <v>130</v>
      </c>
      <c r="AE579" t="s">
        <v>71</v>
      </c>
      <c r="AF579" s="5">
        <f>DATE(YEAR(C579),MONTH(C579),1)</f>
        <v>45901</v>
      </c>
      <c r="AG579">
        <f>E579-D579</f>
        <v>27</v>
      </c>
      <c r="AH579" s="6">
        <f t="shared" ref="AH579:AH642" si="9">W579/P579*100</f>
        <v>65.346062789839635</v>
      </c>
    </row>
    <row r="580" spans="1:34">
      <c r="A580" t="s">
        <v>1273</v>
      </c>
      <c r="B580" t="s">
        <v>1274</v>
      </c>
      <c r="C580" s="1">
        <v>45751</v>
      </c>
      <c r="D580" s="1">
        <v>45753</v>
      </c>
      <c r="E580" s="1">
        <v>45780</v>
      </c>
      <c r="F580" t="s">
        <v>96</v>
      </c>
      <c r="G580" t="s">
        <v>97</v>
      </c>
      <c r="H580" t="s">
        <v>76</v>
      </c>
      <c r="I580" t="s">
        <v>122</v>
      </c>
      <c r="J580" t="s">
        <v>56</v>
      </c>
      <c r="K580" t="s">
        <v>41</v>
      </c>
      <c r="L580" t="s">
        <v>59</v>
      </c>
      <c r="M580" t="s">
        <v>108</v>
      </c>
      <c r="N580">
        <v>2</v>
      </c>
      <c r="O580" t="s">
        <v>44</v>
      </c>
      <c r="P580" s="48">
        <v>37352.870000000003</v>
      </c>
      <c r="Q580" s="48">
        <v>9448.31</v>
      </c>
      <c r="R580" s="48">
        <v>2826.2</v>
      </c>
      <c r="S580" s="48">
        <v>535.01</v>
      </c>
      <c r="T580" s="48">
        <v>373.53</v>
      </c>
      <c r="U580" s="48">
        <v>387.68</v>
      </c>
      <c r="V580" s="48">
        <v>1894.78</v>
      </c>
      <c r="W580" s="48">
        <v>21887.360000000001</v>
      </c>
      <c r="X580">
        <v>24</v>
      </c>
      <c r="Y580" t="s">
        <v>135</v>
      </c>
      <c r="Z580">
        <v>78.739999999999995</v>
      </c>
      <c r="AA580" t="s">
        <v>91</v>
      </c>
      <c r="AB580" t="s">
        <v>92</v>
      </c>
      <c r="AC580" t="s">
        <v>48</v>
      </c>
      <c r="AD580" t="s">
        <v>49</v>
      </c>
      <c r="AE580" t="s">
        <v>50</v>
      </c>
      <c r="AF580" s="5">
        <f>DATE(YEAR(C580),MONTH(C580),1)</f>
        <v>45748</v>
      </c>
      <c r="AG580">
        <f>E580-D580</f>
        <v>27</v>
      </c>
      <c r="AH580" s="6">
        <f t="shared" si="9"/>
        <v>58.596193545502665</v>
      </c>
    </row>
    <row r="581" spans="1:34">
      <c r="A581" t="s">
        <v>1275</v>
      </c>
      <c r="B581" t="s">
        <v>1276</v>
      </c>
      <c r="C581" s="1">
        <v>45837</v>
      </c>
      <c r="D581" s="1">
        <v>45839</v>
      </c>
      <c r="E581" s="1">
        <v>45869</v>
      </c>
      <c r="F581" t="s">
        <v>74</v>
      </c>
      <c r="G581" t="s">
        <v>75</v>
      </c>
      <c r="H581" t="s">
        <v>76</v>
      </c>
      <c r="I581" t="s">
        <v>115</v>
      </c>
      <c r="J581" t="s">
        <v>98</v>
      </c>
      <c r="K581" t="s">
        <v>99</v>
      </c>
      <c r="L581" t="s">
        <v>124</v>
      </c>
      <c r="M581" t="s">
        <v>43</v>
      </c>
      <c r="N581">
        <v>1</v>
      </c>
      <c r="O581" t="s">
        <v>80</v>
      </c>
      <c r="P581" s="48">
        <v>32782.57</v>
      </c>
      <c r="Q581" s="48">
        <v>9419.66</v>
      </c>
      <c r="R581" s="48">
        <v>1363.54</v>
      </c>
      <c r="S581" s="48">
        <v>548.07000000000005</v>
      </c>
      <c r="T581" s="48">
        <v>327.83</v>
      </c>
      <c r="U581" s="48">
        <v>601.70000000000005</v>
      </c>
      <c r="V581" s="48">
        <v>622.05999999999995</v>
      </c>
      <c r="W581" s="48">
        <v>19899.71</v>
      </c>
      <c r="X581">
        <v>48</v>
      </c>
      <c r="Y581" t="s">
        <v>112</v>
      </c>
      <c r="Z581">
        <v>78.5</v>
      </c>
      <c r="AA581" t="s">
        <v>91</v>
      </c>
      <c r="AB581" t="s">
        <v>47</v>
      </c>
      <c r="AC581" t="s">
        <v>70</v>
      </c>
      <c r="AD581" t="s">
        <v>93</v>
      </c>
      <c r="AE581" t="s">
        <v>50</v>
      </c>
      <c r="AF581" s="5">
        <f>DATE(YEAR(C581),MONTH(C581),1)</f>
        <v>45809</v>
      </c>
      <c r="AG581">
        <f>E581-D581</f>
        <v>30</v>
      </c>
      <c r="AH581" s="6">
        <f t="shared" si="9"/>
        <v>60.702104807524236</v>
      </c>
    </row>
    <row r="582" spans="1:34">
      <c r="A582" t="s">
        <v>1277</v>
      </c>
      <c r="B582" t="s">
        <v>1278</v>
      </c>
      <c r="C582" s="1">
        <v>45864</v>
      </c>
      <c r="D582" s="1">
        <v>45867</v>
      </c>
      <c r="E582" s="1">
        <v>45888</v>
      </c>
      <c r="F582" t="s">
        <v>83</v>
      </c>
      <c r="G582" t="s">
        <v>84</v>
      </c>
      <c r="H582" t="s">
        <v>85</v>
      </c>
      <c r="I582" t="s">
        <v>40</v>
      </c>
      <c r="J582" t="s">
        <v>122</v>
      </c>
      <c r="K582" t="s">
        <v>123</v>
      </c>
      <c r="L582" t="s">
        <v>155</v>
      </c>
      <c r="M582" t="s">
        <v>43</v>
      </c>
      <c r="N582">
        <v>2</v>
      </c>
      <c r="O582" t="s">
        <v>69</v>
      </c>
      <c r="P582" s="48">
        <v>46273.46</v>
      </c>
      <c r="Q582" s="48">
        <v>9386.35</v>
      </c>
      <c r="R582" s="48">
        <v>2556.0500000000002</v>
      </c>
      <c r="S582" s="48">
        <v>1146.3499999999999</v>
      </c>
      <c r="T582" s="48">
        <v>462.73</v>
      </c>
      <c r="U582" s="48">
        <v>516.71</v>
      </c>
      <c r="V582" s="48">
        <v>2472.4299999999998</v>
      </c>
      <c r="W582" s="48">
        <v>29732.84</v>
      </c>
      <c r="X582">
        <v>48</v>
      </c>
      <c r="Y582" t="s">
        <v>112</v>
      </c>
      <c r="Z582">
        <v>78.22</v>
      </c>
      <c r="AA582" t="s">
        <v>91</v>
      </c>
      <c r="AB582" t="s">
        <v>47</v>
      </c>
      <c r="AC582" t="s">
        <v>70</v>
      </c>
      <c r="AD582" t="s">
        <v>49</v>
      </c>
      <c r="AE582" t="s">
        <v>62</v>
      </c>
      <c r="AF582" s="5">
        <f>DATE(YEAR(C582),MONTH(C582),1)</f>
        <v>45839</v>
      </c>
      <c r="AG582">
        <f>E582-D582</f>
        <v>21</v>
      </c>
      <c r="AH582" s="6">
        <f t="shared" si="9"/>
        <v>64.254628895267402</v>
      </c>
    </row>
    <row r="583" spans="1:34">
      <c r="A583" t="s">
        <v>1279</v>
      </c>
      <c r="B583" t="s">
        <v>1280</v>
      </c>
      <c r="C583" s="1">
        <v>45899</v>
      </c>
      <c r="D583" s="1">
        <v>45903</v>
      </c>
      <c r="E583" s="1">
        <v>45913</v>
      </c>
      <c r="F583" t="s">
        <v>83</v>
      </c>
      <c r="G583" t="s">
        <v>84</v>
      </c>
      <c r="H583" t="s">
        <v>85</v>
      </c>
      <c r="I583" t="s">
        <v>40</v>
      </c>
      <c r="J583" t="s">
        <v>57</v>
      </c>
      <c r="K583" t="s">
        <v>41</v>
      </c>
      <c r="L583" t="s">
        <v>100</v>
      </c>
      <c r="M583" t="s">
        <v>68</v>
      </c>
      <c r="N583">
        <v>2</v>
      </c>
      <c r="O583" t="s">
        <v>44</v>
      </c>
      <c r="P583" s="48">
        <v>55921.89</v>
      </c>
      <c r="Q583" s="48">
        <v>9385.2000000000007</v>
      </c>
      <c r="R583" s="48">
        <v>3721.4</v>
      </c>
      <c r="S583" s="48">
        <v>928.57</v>
      </c>
      <c r="T583" s="48">
        <v>559.22</v>
      </c>
      <c r="U583" s="48">
        <v>675.78</v>
      </c>
      <c r="V583" s="48">
        <v>914.58</v>
      </c>
      <c r="W583" s="48">
        <v>39737.14</v>
      </c>
      <c r="X583">
        <v>0</v>
      </c>
      <c r="Y583" t="s">
        <v>45</v>
      </c>
      <c r="Z583">
        <v>78.209999999999994</v>
      </c>
      <c r="AA583" t="s">
        <v>46</v>
      </c>
      <c r="AB583" t="s">
        <v>47</v>
      </c>
      <c r="AC583" t="s">
        <v>48</v>
      </c>
      <c r="AD583" t="s">
        <v>130</v>
      </c>
      <c r="AE583" t="s">
        <v>71</v>
      </c>
      <c r="AF583" s="5">
        <f>DATE(YEAR(C583),MONTH(C583),1)</f>
        <v>45870</v>
      </c>
      <c r="AG583">
        <f>E583-D583</f>
        <v>10</v>
      </c>
      <c r="AH583" s="6">
        <f t="shared" si="9"/>
        <v>71.058292200066916</v>
      </c>
    </row>
    <row r="584" spans="1:34">
      <c r="A584" t="s">
        <v>1281</v>
      </c>
      <c r="B584" t="s">
        <v>1282</v>
      </c>
      <c r="C584" s="1">
        <v>45827</v>
      </c>
      <c r="D584" s="1">
        <v>45830</v>
      </c>
      <c r="E584" s="1">
        <v>45859</v>
      </c>
      <c r="F584" t="s">
        <v>149</v>
      </c>
      <c r="G584" t="s">
        <v>111</v>
      </c>
      <c r="H584" t="s">
        <v>150</v>
      </c>
      <c r="I584" t="s">
        <v>86</v>
      </c>
      <c r="J584" t="s">
        <v>87</v>
      </c>
      <c r="K584" t="s">
        <v>88</v>
      </c>
      <c r="L584" t="s">
        <v>155</v>
      </c>
      <c r="M584" t="s">
        <v>43</v>
      </c>
      <c r="N584">
        <v>2</v>
      </c>
      <c r="O584" t="s">
        <v>111</v>
      </c>
      <c r="P584" s="48">
        <v>51542.239999999998</v>
      </c>
      <c r="Q584" s="48">
        <v>9364.11</v>
      </c>
      <c r="R584" s="48">
        <v>2383.89</v>
      </c>
      <c r="S584" s="48">
        <v>1172.75</v>
      </c>
      <c r="T584" s="48">
        <v>515.41999999999996</v>
      </c>
      <c r="U584" s="48">
        <v>814.92</v>
      </c>
      <c r="V584" s="48">
        <v>831.31</v>
      </c>
      <c r="W584" s="48">
        <v>36459.839999999997</v>
      </c>
      <c r="X584">
        <v>36</v>
      </c>
      <c r="Y584" t="s">
        <v>101</v>
      </c>
      <c r="Z584">
        <v>78.03</v>
      </c>
      <c r="AA584" t="s">
        <v>91</v>
      </c>
      <c r="AB584" t="s">
        <v>92</v>
      </c>
      <c r="AC584" t="s">
        <v>60</v>
      </c>
      <c r="AD584" t="s">
        <v>93</v>
      </c>
      <c r="AE584" t="s">
        <v>62</v>
      </c>
      <c r="AF584" s="5">
        <f>DATE(YEAR(C584),MONTH(C584),1)</f>
        <v>45809</v>
      </c>
      <c r="AG584">
        <f>E584-D584</f>
        <v>29</v>
      </c>
      <c r="AH584" s="6">
        <f t="shared" si="9"/>
        <v>70.737787104324525</v>
      </c>
    </row>
    <row r="585" spans="1:34">
      <c r="A585" t="s">
        <v>1283</v>
      </c>
      <c r="B585" t="s">
        <v>1284</v>
      </c>
      <c r="C585" s="1">
        <v>45957</v>
      </c>
      <c r="D585" s="1">
        <v>45961</v>
      </c>
      <c r="E585" s="1">
        <v>45973</v>
      </c>
      <c r="F585" t="s">
        <v>149</v>
      </c>
      <c r="G585" t="s">
        <v>111</v>
      </c>
      <c r="H585" t="s">
        <v>150</v>
      </c>
      <c r="I585" t="s">
        <v>86</v>
      </c>
      <c r="J585" t="s">
        <v>87</v>
      </c>
      <c r="K585" t="s">
        <v>88</v>
      </c>
      <c r="L585" t="s">
        <v>127</v>
      </c>
      <c r="M585" t="s">
        <v>79</v>
      </c>
      <c r="N585">
        <v>2</v>
      </c>
      <c r="O585" t="s">
        <v>80</v>
      </c>
      <c r="P585" s="48">
        <v>45033.99</v>
      </c>
      <c r="Q585" s="48">
        <v>9349.27</v>
      </c>
      <c r="R585" s="48">
        <v>2941.75</v>
      </c>
      <c r="S585" s="48">
        <v>884.47</v>
      </c>
      <c r="T585" s="48">
        <v>450.34</v>
      </c>
      <c r="U585" s="48">
        <v>834.05</v>
      </c>
      <c r="V585" s="48">
        <v>604.24</v>
      </c>
      <c r="W585" s="48">
        <v>29969.87</v>
      </c>
      <c r="X585">
        <v>0</v>
      </c>
      <c r="Y585" t="s">
        <v>45</v>
      </c>
      <c r="Z585">
        <v>77.91</v>
      </c>
      <c r="AA585" t="s">
        <v>46</v>
      </c>
      <c r="AB585" t="s">
        <v>92</v>
      </c>
      <c r="AC585" t="s">
        <v>48</v>
      </c>
      <c r="AD585" t="s">
        <v>144</v>
      </c>
      <c r="AE585" t="s">
        <v>71</v>
      </c>
      <c r="AF585" s="5">
        <f>DATE(YEAR(C585),MONTH(C585),1)</f>
        <v>45931</v>
      </c>
      <c r="AG585">
        <f>E585-D585</f>
        <v>12</v>
      </c>
      <c r="AH585" s="6">
        <f t="shared" si="9"/>
        <v>66.549444097669337</v>
      </c>
    </row>
    <row r="586" spans="1:34">
      <c r="A586" t="s">
        <v>1285</v>
      </c>
      <c r="B586" t="s">
        <v>1286</v>
      </c>
      <c r="C586" s="1">
        <v>45659</v>
      </c>
      <c r="D586" s="1">
        <v>45660</v>
      </c>
      <c r="E586" s="1">
        <v>45685</v>
      </c>
      <c r="F586" t="s">
        <v>180</v>
      </c>
      <c r="G586" t="s">
        <v>181</v>
      </c>
      <c r="H586" t="s">
        <v>38</v>
      </c>
      <c r="I586" t="s">
        <v>86</v>
      </c>
      <c r="J586" t="s">
        <v>87</v>
      </c>
      <c r="K586" t="s">
        <v>88</v>
      </c>
      <c r="L586" t="s">
        <v>155</v>
      </c>
      <c r="M586" t="s">
        <v>43</v>
      </c>
      <c r="N586">
        <v>2</v>
      </c>
      <c r="O586" t="s">
        <v>111</v>
      </c>
      <c r="P586" s="48">
        <v>44410.76</v>
      </c>
      <c r="Q586" s="48">
        <v>9328.16</v>
      </c>
      <c r="R586" s="48">
        <v>3502.02</v>
      </c>
      <c r="S586" s="48">
        <v>721.15</v>
      </c>
      <c r="T586" s="48">
        <v>444.11</v>
      </c>
      <c r="U586" s="48">
        <v>850.24</v>
      </c>
      <c r="V586" s="48">
        <v>2210.77</v>
      </c>
      <c r="W586" s="48">
        <v>27354.31</v>
      </c>
      <c r="X586">
        <v>0</v>
      </c>
      <c r="Y586" t="s">
        <v>45</v>
      </c>
      <c r="Z586">
        <v>77.73</v>
      </c>
      <c r="AA586" t="s">
        <v>46</v>
      </c>
      <c r="AB586" t="s">
        <v>92</v>
      </c>
      <c r="AC586" t="s">
        <v>70</v>
      </c>
      <c r="AD586" t="s">
        <v>144</v>
      </c>
      <c r="AE586" t="s">
        <v>102</v>
      </c>
      <c r="AF586" s="5">
        <f>DATE(YEAR(C586),MONTH(C586),1)</f>
        <v>45658</v>
      </c>
      <c r="AG586">
        <f>E586-D586</f>
        <v>25</v>
      </c>
      <c r="AH586" s="6">
        <f t="shared" si="9"/>
        <v>61.593879501274017</v>
      </c>
    </row>
    <row r="587" spans="1:34">
      <c r="A587" t="s">
        <v>1287</v>
      </c>
      <c r="B587" t="s">
        <v>1288</v>
      </c>
      <c r="C587" s="1">
        <v>45792</v>
      </c>
      <c r="D587" s="1">
        <v>45796</v>
      </c>
      <c r="E587" s="1">
        <v>45814</v>
      </c>
      <c r="F587" t="s">
        <v>36</v>
      </c>
      <c r="G587" t="s">
        <v>37</v>
      </c>
      <c r="H587" t="s">
        <v>38</v>
      </c>
      <c r="I587" t="s">
        <v>56</v>
      </c>
      <c r="J587" t="s">
        <v>57</v>
      </c>
      <c r="K587" t="s">
        <v>58</v>
      </c>
      <c r="L587" t="s">
        <v>100</v>
      </c>
      <c r="M587" t="s">
        <v>43</v>
      </c>
      <c r="N587">
        <v>2</v>
      </c>
      <c r="O587" t="s">
        <v>54</v>
      </c>
      <c r="P587" s="48">
        <v>56510.63</v>
      </c>
      <c r="Q587" s="48">
        <v>9270.7000000000007</v>
      </c>
      <c r="R587" s="48">
        <v>3564.58</v>
      </c>
      <c r="S587" s="48">
        <v>818.98</v>
      </c>
      <c r="T587" s="48">
        <v>565.11</v>
      </c>
      <c r="U587" s="48">
        <v>313.74</v>
      </c>
      <c r="V587" s="48">
        <v>2455.1799999999998</v>
      </c>
      <c r="W587" s="48">
        <v>39522.339999999997</v>
      </c>
      <c r="X587">
        <v>8</v>
      </c>
      <c r="Y587" t="s">
        <v>135</v>
      </c>
      <c r="Z587">
        <v>77.260000000000005</v>
      </c>
      <c r="AA587" t="s">
        <v>91</v>
      </c>
      <c r="AB587" t="s">
        <v>47</v>
      </c>
      <c r="AC587" t="s">
        <v>48</v>
      </c>
      <c r="AD587" t="s">
        <v>61</v>
      </c>
      <c r="AE587" t="s">
        <v>71</v>
      </c>
      <c r="AF587" s="5">
        <f>DATE(YEAR(C587),MONTH(C587),1)</f>
        <v>45778</v>
      </c>
      <c r="AG587">
        <f>E587-D587</f>
        <v>18</v>
      </c>
      <c r="AH587" s="6">
        <f t="shared" si="9"/>
        <v>69.93788602250585</v>
      </c>
    </row>
    <row r="588" spans="1:34">
      <c r="A588" t="s">
        <v>1289</v>
      </c>
      <c r="B588" t="s">
        <v>1290</v>
      </c>
      <c r="C588" s="1">
        <v>45830</v>
      </c>
      <c r="D588" s="1">
        <v>45832</v>
      </c>
      <c r="E588" s="1">
        <v>45860</v>
      </c>
      <c r="F588" t="s">
        <v>53</v>
      </c>
      <c r="G588" t="s">
        <v>54</v>
      </c>
      <c r="H588" t="s">
        <v>55</v>
      </c>
      <c r="I588" t="s">
        <v>57</v>
      </c>
      <c r="J588" t="s">
        <v>98</v>
      </c>
      <c r="K588" t="s">
        <v>99</v>
      </c>
      <c r="L588" t="s">
        <v>124</v>
      </c>
      <c r="M588" t="s">
        <v>108</v>
      </c>
      <c r="N588">
        <v>1</v>
      </c>
      <c r="O588" t="s">
        <v>105</v>
      </c>
      <c r="P588" s="48">
        <v>33740.83</v>
      </c>
      <c r="Q588" s="48">
        <v>9264.23</v>
      </c>
      <c r="R588" s="48">
        <v>1831.81</v>
      </c>
      <c r="S588" s="48">
        <v>1010.73</v>
      </c>
      <c r="T588" s="48">
        <v>337.41</v>
      </c>
      <c r="U588" s="48">
        <v>157.6</v>
      </c>
      <c r="V588" s="48">
        <v>1249.5</v>
      </c>
      <c r="W588" s="48">
        <v>19889.55</v>
      </c>
      <c r="X588">
        <v>12</v>
      </c>
      <c r="Y588" t="s">
        <v>101</v>
      </c>
      <c r="Z588">
        <v>77.2</v>
      </c>
      <c r="AA588" t="s">
        <v>91</v>
      </c>
      <c r="AB588" t="s">
        <v>92</v>
      </c>
      <c r="AC588" t="s">
        <v>70</v>
      </c>
      <c r="AD588" t="s">
        <v>61</v>
      </c>
      <c r="AE588" t="s">
        <v>102</v>
      </c>
      <c r="AF588" s="5">
        <f>DATE(YEAR(C588),MONTH(C588),1)</f>
        <v>45809</v>
      </c>
      <c r="AG588">
        <f>E588-D588</f>
        <v>28</v>
      </c>
      <c r="AH588" s="6">
        <f t="shared" si="9"/>
        <v>58.948016394380332</v>
      </c>
    </row>
    <row r="589" spans="1:34">
      <c r="A589" t="s">
        <v>1291</v>
      </c>
      <c r="B589" t="s">
        <v>1292</v>
      </c>
      <c r="C589" s="1">
        <v>46008</v>
      </c>
      <c r="D589" s="1">
        <v>46012</v>
      </c>
      <c r="E589" s="1">
        <v>46035</v>
      </c>
      <c r="F589" t="s">
        <v>234</v>
      </c>
      <c r="G589" t="s">
        <v>111</v>
      </c>
      <c r="H589" t="s">
        <v>150</v>
      </c>
      <c r="I589" t="s">
        <v>115</v>
      </c>
      <c r="J589" t="s">
        <v>98</v>
      </c>
      <c r="K589" t="s">
        <v>99</v>
      </c>
      <c r="L589" t="s">
        <v>124</v>
      </c>
      <c r="M589" t="s">
        <v>43</v>
      </c>
      <c r="N589">
        <v>1</v>
      </c>
      <c r="O589" t="s">
        <v>44</v>
      </c>
      <c r="P589" s="48">
        <v>32502.74</v>
      </c>
      <c r="Q589" s="48">
        <v>9240.85</v>
      </c>
      <c r="R589" s="48">
        <v>1674.47</v>
      </c>
      <c r="S589" s="48">
        <v>593.20000000000005</v>
      </c>
      <c r="T589" s="48">
        <v>325.02999999999997</v>
      </c>
      <c r="U589" s="48">
        <v>443.53</v>
      </c>
      <c r="V589" s="48">
        <v>1335.17</v>
      </c>
      <c r="W589" s="48">
        <v>18890.490000000002</v>
      </c>
      <c r="X589">
        <v>36</v>
      </c>
      <c r="Y589" t="s">
        <v>117</v>
      </c>
      <c r="Z589">
        <v>77.010000000000005</v>
      </c>
      <c r="AA589" t="s">
        <v>91</v>
      </c>
      <c r="AB589" t="s">
        <v>47</v>
      </c>
      <c r="AC589" t="s">
        <v>70</v>
      </c>
      <c r="AD589" t="s">
        <v>49</v>
      </c>
      <c r="AE589" t="s">
        <v>62</v>
      </c>
      <c r="AF589" s="5">
        <f>DATE(YEAR(C589),MONTH(C589),1)</f>
        <v>45992</v>
      </c>
      <c r="AG589">
        <f>E589-D589</f>
        <v>23</v>
      </c>
      <c r="AH589" s="6">
        <f t="shared" si="9"/>
        <v>58.119684678891694</v>
      </c>
    </row>
    <row r="590" spans="1:34">
      <c r="A590" t="s">
        <v>1293</v>
      </c>
      <c r="B590" t="s">
        <v>1294</v>
      </c>
      <c r="C590" s="1">
        <v>45901</v>
      </c>
      <c r="D590" s="1">
        <v>45902</v>
      </c>
      <c r="E590" s="1">
        <v>45912</v>
      </c>
      <c r="F590" t="s">
        <v>149</v>
      </c>
      <c r="G590" t="s">
        <v>111</v>
      </c>
      <c r="H590" t="s">
        <v>150</v>
      </c>
      <c r="I590" t="s">
        <v>115</v>
      </c>
      <c r="J590" t="s">
        <v>98</v>
      </c>
      <c r="K590" t="s">
        <v>99</v>
      </c>
      <c r="L590" t="s">
        <v>59</v>
      </c>
      <c r="M590" t="s">
        <v>79</v>
      </c>
      <c r="N590">
        <v>2</v>
      </c>
      <c r="O590" t="s">
        <v>69</v>
      </c>
      <c r="P590" s="48">
        <v>33612.79</v>
      </c>
      <c r="Q590" s="48">
        <v>9224.66</v>
      </c>
      <c r="R590" s="48">
        <v>1979.87</v>
      </c>
      <c r="S590" s="48">
        <v>639.41</v>
      </c>
      <c r="T590" s="48">
        <v>336.13</v>
      </c>
      <c r="U590" s="48">
        <v>266.89999999999998</v>
      </c>
      <c r="V590" s="48">
        <v>1747.66</v>
      </c>
      <c r="W590" s="48">
        <v>19418.16</v>
      </c>
      <c r="X590">
        <v>4</v>
      </c>
      <c r="Y590" t="s">
        <v>117</v>
      </c>
      <c r="Z590">
        <v>76.87</v>
      </c>
      <c r="AA590" t="s">
        <v>91</v>
      </c>
      <c r="AB590" t="s">
        <v>92</v>
      </c>
      <c r="AC590" t="s">
        <v>60</v>
      </c>
      <c r="AD590" t="s">
        <v>144</v>
      </c>
      <c r="AE590" t="s">
        <v>50</v>
      </c>
      <c r="AF590" s="5">
        <f>DATE(YEAR(C590),MONTH(C590),1)</f>
        <v>45901</v>
      </c>
      <c r="AG590">
        <f>E590-D590</f>
        <v>10</v>
      </c>
      <c r="AH590" s="6">
        <f t="shared" si="9"/>
        <v>57.770152373545905</v>
      </c>
    </row>
    <row r="591" spans="1:34">
      <c r="A591" t="s">
        <v>1295</v>
      </c>
      <c r="B591" t="s">
        <v>1296</v>
      </c>
      <c r="C591" s="1">
        <v>45894</v>
      </c>
      <c r="D591" s="1">
        <v>45897</v>
      </c>
      <c r="E591" s="1">
        <v>45914</v>
      </c>
      <c r="F591" t="s">
        <v>96</v>
      </c>
      <c r="G591" t="s">
        <v>97</v>
      </c>
      <c r="H591" t="s">
        <v>76</v>
      </c>
      <c r="I591" t="s">
        <v>56</v>
      </c>
      <c r="J591" t="s">
        <v>57</v>
      </c>
      <c r="K591" t="s">
        <v>58</v>
      </c>
      <c r="L591" t="s">
        <v>78</v>
      </c>
      <c r="M591" t="s">
        <v>108</v>
      </c>
      <c r="N591">
        <v>2</v>
      </c>
      <c r="O591" t="s">
        <v>105</v>
      </c>
      <c r="P591" s="48">
        <v>49954.9</v>
      </c>
      <c r="Q591" s="48">
        <v>9184.83</v>
      </c>
      <c r="R591" s="48">
        <v>3587.43</v>
      </c>
      <c r="S591" s="48">
        <v>1284.68</v>
      </c>
      <c r="T591" s="48">
        <v>499.55</v>
      </c>
      <c r="U591" s="48">
        <v>439.63</v>
      </c>
      <c r="V591" s="48">
        <v>995.91</v>
      </c>
      <c r="W591" s="48">
        <v>33962.870000000003</v>
      </c>
      <c r="X591">
        <v>36</v>
      </c>
      <c r="Y591" t="s">
        <v>117</v>
      </c>
      <c r="Z591">
        <v>76.540000000000006</v>
      </c>
      <c r="AA591" t="s">
        <v>91</v>
      </c>
      <c r="AB591" t="s">
        <v>47</v>
      </c>
      <c r="AC591" t="s">
        <v>70</v>
      </c>
      <c r="AD591" t="s">
        <v>144</v>
      </c>
      <c r="AE591" t="s">
        <v>50</v>
      </c>
      <c r="AF591" s="5">
        <f>DATE(YEAR(C591),MONTH(C591),1)</f>
        <v>45870</v>
      </c>
      <c r="AG591">
        <f>E591-D591</f>
        <v>17</v>
      </c>
      <c r="AH591" s="6">
        <f t="shared" si="9"/>
        <v>67.987064332027487</v>
      </c>
    </row>
    <row r="592" spans="1:34">
      <c r="A592" t="s">
        <v>1297</v>
      </c>
      <c r="B592" t="s">
        <v>1298</v>
      </c>
      <c r="C592" s="1">
        <v>45745</v>
      </c>
      <c r="D592" s="1">
        <v>45746</v>
      </c>
      <c r="E592" s="1">
        <v>45766</v>
      </c>
      <c r="F592" t="s">
        <v>96</v>
      </c>
      <c r="G592" t="s">
        <v>97</v>
      </c>
      <c r="H592" t="s">
        <v>76</v>
      </c>
      <c r="I592" t="s">
        <v>56</v>
      </c>
      <c r="J592" t="s">
        <v>57</v>
      </c>
      <c r="K592" t="s">
        <v>58</v>
      </c>
      <c r="L592" t="s">
        <v>116</v>
      </c>
      <c r="M592" t="s">
        <v>79</v>
      </c>
      <c r="N592">
        <v>2</v>
      </c>
      <c r="O592" t="s">
        <v>44</v>
      </c>
      <c r="P592" s="48">
        <v>32407.7</v>
      </c>
      <c r="Q592" s="48">
        <v>9171.35</v>
      </c>
      <c r="R592" s="48">
        <v>2229.15</v>
      </c>
      <c r="S592" s="48">
        <v>921.16</v>
      </c>
      <c r="T592" s="48">
        <v>324.08</v>
      </c>
      <c r="U592" s="48">
        <v>319.68</v>
      </c>
      <c r="V592" s="48">
        <v>687.87</v>
      </c>
      <c r="W592" s="48">
        <v>18754.41</v>
      </c>
      <c r="X592">
        <v>24</v>
      </c>
      <c r="Y592" t="s">
        <v>101</v>
      </c>
      <c r="Z592">
        <v>76.430000000000007</v>
      </c>
      <c r="AA592" t="s">
        <v>91</v>
      </c>
      <c r="AB592" t="s">
        <v>92</v>
      </c>
      <c r="AC592" t="s">
        <v>60</v>
      </c>
      <c r="AD592" t="s">
        <v>61</v>
      </c>
      <c r="AE592" t="s">
        <v>71</v>
      </c>
      <c r="AF592" s="5">
        <f>DATE(YEAR(C592),MONTH(C592),1)</f>
        <v>45717</v>
      </c>
      <c r="AG592">
        <f>E592-D592</f>
        <v>20</v>
      </c>
      <c r="AH592" s="6">
        <f t="shared" si="9"/>
        <v>57.870228371652409</v>
      </c>
    </row>
    <row r="593" spans="1:34">
      <c r="A593" t="s">
        <v>1299</v>
      </c>
      <c r="B593" t="s">
        <v>1300</v>
      </c>
      <c r="C593" s="1">
        <v>45670</v>
      </c>
      <c r="D593" s="1">
        <v>45673</v>
      </c>
      <c r="E593" s="1">
        <v>45696</v>
      </c>
      <c r="F593" t="s">
        <v>120</v>
      </c>
      <c r="G593" t="s">
        <v>75</v>
      </c>
      <c r="H593" t="s">
        <v>121</v>
      </c>
      <c r="I593" t="s">
        <v>57</v>
      </c>
      <c r="J593" t="s">
        <v>98</v>
      </c>
      <c r="K593" t="s">
        <v>99</v>
      </c>
      <c r="L593" t="s">
        <v>100</v>
      </c>
      <c r="M593" t="s">
        <v>108</v>
      </c>
      <c r="N593">
        <v>2</v>
      </c>
      <c r="O593" t="s">
        <v>69</v>
      </c>
      <c r="P593" s="48">
        <v>35776.53</v>
      </c>
      <c r="Q593" s="48">
        <v>9170.17</v>
      </c>
      <c r="R593" s="48">
        <v>1830.36</v>
      </c>
      <c r="S593" s="48">
        <v>1031.5999999999999</v>
      </c>
      <c r="T593" s="48">
        <v>357.77</v>
      </c>
      <c r="U593" s="48">
        <v>355.05</v>
      </c>
      <c r="V593" s="48">
        <v>1030.3399999999999</v>
      </c>
      <c r="W593" s="48">
        <v>22001.24</v>
      </c>
      <c r="X593">
        <v>24</v>
      </c>
      <c r="Y593" t="s">
        <v>90</v>
      </c>
      <c r="Z593">
        <v>76.42</v>
      </c>
      <c r="AA593" t="s">
        <v>91</v>
      </c>
      <c r="AB593" t="s">
        <v>47</v>
      </c>
      <c r="AC593" t="s">
        <v>70</v>
      </c>
      <c r="AD593" t="s">
        <v>130</v>
      </c>
      <c r="AE593" t="s">
        <v>71</v>
      </c>
      <c r="AF593" s="5">
        <f>DATE(YEAR(C593),MONTH(C593),1)</f>
        <v>45658</v>
      </c>
      <c r="AG593">
        <f>E593-D593</f>
        <v>23</v>
      </c>
      <c r="AH593" s="6">
        <f t="shared" si="9"/>
        <v>61.496293799314806</v>
      </c>
    </row>
    <row r="594" spans="1:34">
      <c r="A594" t="s">
        <v>1301</v>
      </c>
      <c r="B594" t="s">
        <v>1302</v>
      </c>
      <c r="C594" s="1">
        <v>45683</v>
      </c>
      <c r="D594" s="1">
        <v>45687</v>
      </c>
      <c r="E594" s="1">
        <v>45712</v>
      </c>
      <c r="F594" t="s">
        <v>36</v>
      </c>
      <c r="G594" t="s">
        <v>37</v>
      </c>
      <c r="H594" t="s">
        <v>38</v>
      </c>
      <c r="I594" t="s">
        <v>56</v>
      </c>
      <c r="J594" t="s">
        <v>40</v>
      </c>
      <c r="K594" t="s">
        <v>41</v>
      </c>
      <c r="L594" t="s">
        <v>78</v>
      </c>
      <c r="M594" t="s">
        <v>108</v>
      </c>
      <c r="N594">
        <v>1</v>
      </c>
      <c r="O594" t="s">
        <v>111</v>
      </c>
      <c r="P594" s="48">
        <v>34061.33</v>
      </c>
      <c r="Q594" s="48">
        <v>9154.14</v>
      </c>
      <c r="R594" s="48">
        <v>1383.29</v>
      </c>
      <c r="S594" s="48">
        <v>723.85</v>
      </c>
      <c r="T594" s="48">
        <v>340.61</v>
      </c>
      <c r="U594" s="48">
        <v>276.45999999999998</v>
      </c>
      <c r="V594" s="48">
        <v>368.02</v>
      </c>
      <c r="W594" s="48">
        <v>21814.959999999999</v>
      </c>
      <c r="X594">
        <v>0</v>
      </c>
      <c r="Y594" t="s">
        <v>45</v>
      </c>
      <c r="Z594">
        <v>76.28</v>
      </c>
      <c r="AA594" t="s">
        <v>46</v>
      </c>
      <c r="AB594" t="s">
        <v>47</v>
      </c>
      <c r="AC594" t="s">
        <v>48</v>
      </c>
      <c r="AD594" t="s">
        <v>144</v>
      </c>
      <c r="AE594" t="s">
        <v>102</v>
      </c>
      <c r="AF594" s="5">
        <f>DATE(YEAR(C594),MONTH(C594),1)</f>
        <v>45658</v>
      </c>
      <c r="AG594">
        <f>E594-D594</f>
        <v>25</v>
      </c>
      <c r="AH594" s="6">
        <f t="shared" si="9"/>
        <v>64.046119162111395</v>
      </c>
    </row>
    <row r="595" spans="1:34">
      <c r="A595" t="s">
        <v>1303</v>
      </c>
      <c r="B595" t="s">
        <v>1304</v>
      </c>
      <c r="C595" s="1">
        <v>45937</v>
      </c>
      <c r="D595" s="1">
        <v>45938</v>
      </c>
      <c r="E595" s="1">
        <v>45960</v>
      </c>
      <c r="F595" t="s">
        <v>53</v>
      </c>
      <c r="G595" t="s">
        <v>54</v>
      </c>
      <c r="H595" t="s">
        <v>55</v>
      </c>
      <c r="I595" t="s">
        <v>57</v>
      </c>
      <c r="J595" t="s">
        <v>39</v>
      </c>
      <c r="K595" t="s">
        <v>41</v>
      </c>
      <c r="L595" t="s">
        <v>127</v>
      </c>
      <c r="M595" t="s">
        <v>43</v>
      </c>
      <c r="N595">
        <v>2</v>
      </c>
      <c r="O595" t="s">
        <v>80</v>
      </c>
      <c r="P595" s="48">
        <v>49962.16</v>
      </c>
      <c r="Q595" s="48">
        <v>9152.74</v>
      </c>
      <c r="R595" s="48">
        <v>3967.64</v>
      </c>
      <c r="S595" s="48">
        <v>1396.46</v>
      </c>
      <c r="T595" s="48">
        <v>499.62</v>
      </c>
      <c r="U595" s="48">
        <v>624.05999999999995</v>
      </c>
      <c r="V595" s="48">
        <v>642.78</v>
      </c>
      <c r="W595" s="48">
        <v>33678.86</v>
      </c>
      <c r="X595">
        <v>0</v>
      </c>
      <c r="Y595" t="s">
        <v>45</v>
      </c>
      <c r="Z595">
        <v>76.27</v>
      </c>
      <c r="AA595" t="s">
        <v>46</v>
      </c>
      <c r="AB595" t="s">
        <v>47</v>
      </c>
      <c r="AC595" t="s">
        <v>70</v>
      </c>
      <c r="AD595" t="s">
        <v>61</v>
      </c>
      <c r="AE595" t="s">
        <v>71</v>
      </c>
      <c r="AF595" s="5">
        <f>DATE(YEAR(C595),MONTH(C595),1)</f>
        <v>45931</v>
      </c>
      <c r="AG595">
        <f>E595-D595</f>
        <v>22</v>
      </c>
      <c r="AH595" s="6">
        <f t="shared" si="9"/>
        <v>67.408734930595472</v>
      </c>
    </row>
    <row r="596" spans="1:34">
      <c r="A596" t="s">
        <v>1305</v>
      </c>
      <c r="B596" t="s">
        <v>1306</v>
      </c>
      <c r="C596" s="1">
        <v>45753</v>
      </c>
      <c r="D596" s="1">
        <v>45757</v>
      </c>
      <c r="E596" s="1">
        <v>45777</v>
      </c>
      <c r="F596" t="s">
        <v>74</v>
      </c>
      <c r="G596" t="s">
        <v>75</v>
      </c>
      <c r="H596" t="s">
        <v>76</v>
      </c>
      <c r="I596" t="s">
        <v>115</v>
      </c>
      <c r="J596" t="s">
        <v>98</v>
      </c>
      <c r="K596" t="s">
        <v>99</v>
      </c>
      <c r="L596" t="s">
        <v>124</v>
      </c>
      <c r="M596" t="s">
        <v>108</v>
      </c>
      <c r="N596">
        <v>2</v>
      </c>
      <c r="O596" t="s">
        <v>111</v>
      </c>
      <c r="P596" s="48">
        <v>34471.040000000001</v>
      </c>
      <c r="Q596" s="48">
        <v>9137.3700000000008</v>
      </c>
      <c r="R596" s="48">
        <v>1996.01</v>
      </c>
      <c r="S596" s="48">
        <v>996.74</v>
      </c>
      <c r="T596" s="48">
        <v>344.71</v>
      </c>
      <c r="U596" s="48">
        <v>215.53</v>
      </c>
      <c r="V596" s="48">
        <v>1067.78</v>
      </c>
      <c r="W596" s="48">
        <v>20712.900000000001</v>
      </c>
      <c r="X596">
        <v>0</v>
      </c>
      <c r="Y596" t="s">
        <v>45</v>
      </c>
      <c r="Z596">
        <v>76.14</v>
      </c>
      <c r="AA596" t="s">
        <v>46</v>
      </c>
      <c r="AB596" t="s">
        <v>92</v>
      </c>
      <c r="AC596" t="s">
        <v>70</v>
      </c>
      <c r="AD596" t="s">
        <v>144</v>
      </c>
      <c r="AE596" t="s">
        <v>71</v>
      </c>
      <c r="AF596" s="5">
        <f>DATE(YEAR(C596),MONTH(C596),1)</f>
        <v>45748</v>
      </c>
      <c r="AG596">
        <f>E596-D596</f>
        <v>20</v>
      </c>
      <c r="AH596" s="6">
        <f t="shared" si="9"/>
        <v>60.087830248231569</v>
      </c>
    </row>
    <row r="597" spans="1:34">
      <c r="A597" t="s">
        <v>1307</v>
      </c>
      <c r="B597" t="s">
        <v>1308</v>
      </c>
      <c r="C597" s="1">
        <v>45876</v>
      </c>
      <c r="D597" s="1">
        <v>45880</v>
      </c>
      <c r="E597" s="1">
        <v>45900</v>
      </c>
      <c r="F597" t="s">
        <v>65</v>
      </c>
      <c r="G597" t="s">
        <v>66</v>
      </c>
      <c r="H597" t="s">
        <v>67</v>
      </c>
      <c r="I597" t="s">
        <v>122</v>
      </c>
      <c r="J597" t="s">
        <v>87</v>
      </c>
      <c r="K597" t="s">
        <v>41</v>
      </c>
      <c r="L597" t="s">
        <v>59</v>
      </c>
      <c r="M597" t="s">
        <v>79</v>
      </c>
      <c r="N597">
        <v>2</v>
      </c>
      <c r="O597" t="s">
        <v>44</v>
      </c>
      <c r="P597" s="48">
        <v>32886.51</v>
      </c>
      <c r="Q597" s="48">
        <v>9124.2199999999993</v>
      </c>
      <c r="R597" s="48">
        <v>1429.35</v>
      </c>
      <c r="S597" s="48">
        <v>919.72</v>
      </c>
      <c r="T597" s="48">
        <v>328.87</v>
      </c>
      <c r="U597" s="48">
        <v>761.31</v>
      </c>
      <c r="V597" s="48">
        <v>409.57</v>
      </c>
      <c r="W597" s="48">
        <v>19913.47</v>
      </c>
      <c r="X597">
        <v>0</v>
      </c>
      <c r="Y597" t="s">
        <v>45</v>
      </c>
      <c r="Z597">
        <v>76.040000000000006</v>
      </c>
      <c r="AA597" t="s">
        <v>46</v>
      </c>
      <c r="AB597" t="s">
        <v>92</v>
      </c>
      <c r="AC597" t="s">
        <v>70</v>
      </c>
      <c r="AD597" t="s">
        <v>93</v>
      </c>
      <c r="AE597" t="s">
        <v>62</v>
      </c>
      <c r="AF597" s="5">
        <f>DATE(YEAR(C597),MONTH(C597),1)</f>
        <v>45870</v>
      </c>
      <c r="AG597">
        <f>E597-D597</f>
        <v>20</v>
      </c>
      <c r="AH597" s="6">
        <f t="shared" si="9"/>
        <v>60.552092636159941</v>
      </c>
    </row>
    <row r="598" spans="1:34">
      <c r="A598" t="s">
        <v>1309</v>
      </c>
      <c r="B598" t="s">
        <v>1310</v>
      </c>
      <c r="C598" s="1">
        <v>45860</v>
      </c>
      <c r="D598" s="1">
        <v>45862</v>
      </c>
      <c r="E598" s="1">
        <v>45872</v>
      </c>
      <c r="F598" t="s">
        <v>36</v>
      </c>
      <c r="G598" t="s">
        <v>37</v>
      </c>
      <c r="H598" t="s">
        <v>38</v>
      </c>
      <c r="I598" t="s">
        <v>115</v>
      </c>
      <c r="J598" t="s">
        <v>98</v>
      </c>
      <c r="K598" t="s">
        <v>99</v>
      </c>
      <c r="L598" t="s">
        <v>116</v>
      </c>
      <c r="M598" t="s">
        <v>43</v>
      </c>
      <c r="N598">
        <v>2</v>
      </c>
      <c r="O598" t="s">
        <v>54</v>
      </c>
      <c r="P598" s="48">
        <v>46353.04</v>
      </c>
      <c r="Q598" s="48">
        <v>9113.17</v>
      </c>
      <c r="R598" s="48">
        <v>2488.85</v>
      </c>
      <c r="S598" s="48">
        <v>1388.05</v>
      </c>
      <c r="T598" s="48">
        <v>463.53</v>
      </c>
      <c r="U598" s="48">
        <v>861.46</v>
      </c>
      <c r="V598" s="48">
        <v>2424.4</v>
      </c>
      <c r="W598" s="48">
        <v>29613.58</v>
      </c>
      <c r="X598">
        <v>0</v>
      </c>
      <c r="Y598" t="s">
        <v>45</v>
      </c>
      <c r="Z598">
        <v>75.94</v>
      </c>
      <c r="AA598" t="s">
        <v>46</v>
      </c>
      <c r="AB598" t="s">
        <v>47</v>
      </c>
      <c r="AC598" t="s">
        <v>70</v>
      </c>
      <c r="AD598" t="s">
        <v>93</v>
      </c>
      <c r="AE598" t="s">
        <v>62</v>
      </c>
      <c r="AF598" s="5">
        <f>DATE(YEAR(C598),MONTH(C598),1)</f>
        <v>45839</v>
      </c>
      <c r="AG598">
        <f>E598-D598</f>
        <v>10</v>
      </c>
      <c r="AH598" s="6">
        <f t="shared" si="9"/>
        <v>63.88702876877116</v>
      </c>
    </row>
    <row r="599" spans="1:34">
      <c r="A599" t="s">
        <v>1311</v>
      </c>
      <c r="B599" t="s">
        <v>1312</v>
      </c>
      <c r="C599" s="1">
        <v>45938</v>
      </c>
      <c r="D599" s="1">
        <v>45942</v>
      </c>
      <c r="E599" s="1">
        <v>45953</v>
      </c>
      <c r="F599" t="s">
        <v>74</v>
      </c>
      <c r="G599" t="s">
        <v>75</v>
      </c>
      <c r="H599" t="s">
        <v>76</v>
      </c>
      <c r="I599" t="s">
        <v>40</v>
      </c>
      <c r="J599" t="s">
        <v>40</v>
      </c>
      <c r="K599" t="s">
        <v>41</v>
      </c>
      <c r="L599" t="s">
        <v>100</v>
      </c>
      <c r="M599" t="s">
        <v>108</v>
      </c>
      <c r="N599">
        <v>2</v>
      </c>
      <c r="O599" t="s">
        <v>105</v>
      </c>
      <c r="P599" s="48">
        <v>47821.5</v>
      </c>
      <c r="Q599" s="48">
        <v>9110.9699999999993</v>
      </c>
      <c r="R599" s="48">
        <v>2818.29</v>
      </c>
      <c r="S599" s="48">
        <v>1012.95</v>
      </c>
      <c r="T599" s="48">
        <v>478.22</v>
      </c>
      <c r="U599" s="48">
        <v>848.15</v>
      </c>
      <c r="V599" s="48">
        <v>695.11</v>
      </c>
      <c r="W599" s="48">
        <v>32857.81</v>
      </c>
      <c r="X599">
        <v>0</v>
      </c>
      <c r="Y599" t="s">
        <v>45</v>
      </c>
      <c r="Z599">
        <v>75.92</v>
      </c>
      <c r="AA599" t="s">
        <v>46</v>
      </c>
      <c r="AB599" t="s">
        <v>47</v>
      </c>
      <c r="AC599" t="s">
        <v>70</v>
      </c>
      <c r="AD599" t="s">
        <v>61</v>
      </c>
      <c r="AE599" t="s">
        <v>71</v>
      </c>
      <c r="AF599" s="5">
        <f>DATE(YEAR(C599),MONTH(C599),1)</f>
        <v>45931</v>
      </c>
      <c r="AG599">
        <f>E599-D599</f>
        <v>11</v>
      </c>
      <c r="AH599" s="6">
        <f t="shared" si="9"/>
        <v>68.709283481279343</v>
      </c>
    </row>
    <row r="600" spans="1:34">
      <c r="A600" t="s">
        <v>1313</v>
      </c>
      <c r="B600" t="s">
        <v>1314</v>
      </c>
      <c r="C600" s="1">
        <v>45746</v>
      </c>
      <c r="D600" s="1">
        <v>45748</v>
      </c>
      <c r="E600" s="1">
        <v>45761</v>
      </c>
      <c r="F600" t="s">
        <v>120</v>
      </c>
      <c r="G600" t="s">
        <v>75</v>
      </c>
      <c r="H600" t="s">
        <v>121</v>
      </c>
      <c r="I600" t="s">
        <v>77</v>
      </c>
      <c r="J600" t="s">
        <v>87</v>
      </c>
      <c r="K600" t="s">
        <v>41</v>
      </c>
      <c r="L600" t="s">
        <v>42</v>
      </c>
      <c r="M600" t="s">
        <v>108</v>
      </c>
      <c r="N600">
        <v>2</v>
      </c>
      <c r="O600" t="s">
        <v>111</v>
      </c>
      <c r="P600" s="48">
        <v>31805.03</v>
      </c>
      <c r="Q600" s="48">
        <v>9071.07</v>
      </c>
      <c r="R600" s="48">
        <v>2104.71</v>
      </c>
      <c r="S600" s="48">
        <v>532.64</v>
      </c>
      <c r="T600" s="48">
        <v>318.05</v>
      </c>
      <c r="U600" s="48">
        <v>610.17999999999995</v>
      </c>
      <c r="V600" s="48">
        <v>1188.68</v>
      </c>
      <c r="W600" s="48">
        <v>17979.7</v>
      </c>
      <c r="X600">
        <v>24</v>
      </c>
      <c r="Y600" t="s">
        <v>101</v>
      </c>
      <c r="Z600">
        <v>75.59</v>
      </c>
      <c r="AA600" t="s">
        <v>91</v>
      </c>
      <c r="AB600" t="s">
        <v>47</v>
      </c>
      <c r="AC600" t="s">
        <v>70</v>
      </c>
      <c r="AD600" t="s">
        <v>144</v>
      </c>
      <c r="AE600" t="s">
        <v>102</v>
      </c>
      <c r="AF600" s="5">
        <f>DATE(YEAR(C600),MONTH(C600),1)</f>
        <v>45717</v>
      </c>
      <c r="AG600">
        <f>E600-D600</f>
        <v>13</v>
      </c>
      <c r="AH600" s="6">
        <f t="shared" si="9"/>
        <v>56.530995254524207</v>
      </c>
    </row>
    <row r="601" spans="1:34">
      <c r="A601" t="s">
        <v>1315</v>
      </c>
      <c r="B601" t="s">
        <v>1316</v>
      </c>
      <c r="C601" s="1">
        <v>45906</v>
      </c>
      <c r="D601" s="1">
        <v>45907</v>
      </c>
      <c r="E601" s="1">
        <v>45932</v>
      </c>
      <c r="F601" t="s">
        <v>138</v>
      </c>
      <c r="G601" t="s">
        <v>139</v>
      </c>
      <c r="H601" t="s">
        <v>76</v>
      </c>
      <c r="I601" t="s">
        <v>40</v>
      </c>
      <c r="J601" t="s">
        <v>122</v>
      </c>
      <c r="K601" t="s">
        <v>123</v>
      </c>
      <c r="L601" t="s">
        <v>78</v>
      </c>
      <c r="M601" t="s">
        <v>79</v>
      </c>
      <c r="N601">
        <v>2</v>
      </c>
      <c r="O601" t="s">
        <v>69</v>
      </c>
      <c r="P601" s="48">
        <v>53799.31</v>
      </c>
      <c r="Q601" s="48">
        <v>9056.68</v>
      </c>
      <c r="R601" s="48">
        <v>2577.25</v>
      </c>
      <c r="S601" s="48">
        <v>1375.1</v>
      </c>
      <c r="T601" s="48">
        <v>537.99</v>
      </c>
      <c r="U601" s="48">
        <v>591.19000000000005</v>
      </c>
      <c r="V601" s="48">
        <v>2369.48</v>
      </c>
      <c r="W601" s="48">
        <v>37291.620000000003</v>
      </c>
      <c r="X601">
        <v>4</v>
      </c>
      <c r="Y601" t="s">
        <v>90</v>
      </c>
      <c r="Z601">
        <v>75.47</v>
      </c>
      <c r="AA601" t="s">
        <v>91</v>
      </c>
      <c r="AB601" t="s">
        <v>92</v>
      </c>
      <c r="AC601" t="s">
        <v>60</v>
      </c>
      <c r="AD601" t="s">
        <v>49</v>
      </c>
      <c r="AE601" t="s">
        <v>62</v>
      </c>
      <c r="AF601" s="5">
        <f>DATE(YEAR(C601),MONTH(C601),1)</f>
        <v>45901</v>
      </c>
      <c r="AG601">
        <f>E601-D601</f>
        <v>25</v>
      </c>
      <c r="AH601" s="6">
        <f t="shared" si="9"/>
        <v>69.316167809587157</v>
      </c>
    </row>
    <row r="602" spans="1:34">
      <c r="A602" t="s">
        <v>1317</v>
      </c>
      <c r="B602" t="s">
        <v>1318</v>
      </c>
      <c r="C602" s="1">
        <v>45786</v>
      </c>
      <c r="D602" s="1">
        <v>45790</v>
      </c>
      <c r="E602" s="1">
        <v>45817</v>
      </c>
      <c r="F602" t="s">
        <v>120</v>
      </c>
      <c r="G602" t="s">
        <v>75</v>
      </c>
      <c r="H602" t="s">
        <v>121</v>
      </c>
      <c r="I602" t="s">
        <v>86</v>
      </c>
      <c r="J602" t="s">
        <v>87</v>
      </c>
      <c r="K602" t="s">
        <v>88</v>
      </c>
      <c r="L602" t="s">
        <v>78</v>
      </c>
      <c r="M602" t="s">
        <v>79</v>
      </c>
      <c r="N602">
        <v>2</v>
      </c>
      <c r="O602" t="s">
        <v>69</v>
      </c>
      <c r="P602" s="48">
        <v>33541.769999999997</v>
      </c>
      <c r="Q602" s="48">
        <v>9047.4500000000007</v>
      </c>
      <c r="R602" s="48">
        <v>2363.3000000000002</v>
      </c>
      <c r="S602" s="48">
        <v>900.52</v>
      </c>
      <c r="T602" s="48">
        <v>335.42</v>
      </c>
      <c r="U602" s="48">
        <v>622.12</v>
      </c>
      <c r="V602" s="48">
        <v>1560.69</v>
      </c>
      <c r="W602" s="48">
        <v>18712.27</v>
      </c>
      <c r="X602">
        <v>0</v>
      </c>
      <c r="Y602" t="s">
        <v>45</v>
      </c>
      <c r="Z602">
        <v>75.400000000000006</v>
      </c>
      <c r="AA602" t="s">
        <v>46</v>
      </c>
      <c r="AB602" t="s">
        <v>92</v>
      </c>
      <c r="AC602" t="s">
        <v>48</v>
      </c>
      <c r="AD602" t="s">
        <v>93</v>
      </c>
      <c r="AE602" t="s">
        <v>50</v>
      </c>
      <c r="AF602" s="5">
        <f>DATE(YEAR(C602),MONTH(C602),1)</f>
        <v>45778</v>
      </c>
      <c r="AG602">
        <f>E602-D602</f>
        <v>27</v>
      </c>
      <c r="AH602" s="6">
        <f t="shared" si="9"/>
        <v>55.787962292985739</v>
      </c>
    </row>
    <row r="603" spans="1:34">
      <c r="A603" t="s">
        <v>1319</v>
      </c>
      <c r="B603" t="s">
        <v>1320</v>
      </c>
      <c r="C603" s="1">
        <v>46003</v>
      </c>
      <c r="D603" s="1">
        <v>46004</v>
      </c>
      <c r="E603" s="1">
        <v>46023</v>
      </c>
      <c r="F603" t="s">
        <v>74</v>
      </c>
      <c r="G603" t="s">
        <v>75</v>
      </c>
      <c r="H603" t="s">
        <v>76</v>
      </c>
      <c r="I603" t="s">
        <v>56</v>
      </c>
      <c r="J603" t="s">
        <v>57</v>
      </c>
      <c r="K603" t="s">
        <v>58</v>
      </c>
      <c r="L603" t="s">
        <v>100</v>
      </c>
      <c r="M603" t="s">
        <v>68</v>
      </c>
      <c r="N603">
        <v>4</v>
      </c>
      <c r="O603" t="s">
        <v>69</v>
      </c>
      <c r="P603" s="48">
        <v>31698.12</v>
      </c>
      <c r="Q603" s="48">
        <v>9038.77</v>
      </c>
      <c r="R603" s="48">
        <v>1900</v>
      </c>
      <c r="S603" s="48">
        <v>497.71</v>
      </c>
      <c r="T603" s="48">
        <v>316.98</v>
      </c>
      <c r="U603" s="48">
        <v>314.19</v>
      </c>
      <c r="V603" s="48">
        <v>1176.33</v>
      </c>
      <c r="W603" s="48">
        <v>18454.14</v>
      </c>
      <c r="X603">
        <v>0</v>
      </c>
      <c r="Y603" t="s">
        <v>45</v>
      </c>
      <c r="Z603">
        <v>75.319999999999993</v>
      </c>
      <c r="AA603" t="s">
        <v>46</v>
      </c>
      <c r="AB603" t="s">
        <v>47</v>
      </c>
      <c r="AC603" t="s">
        <v>48</v>
      </c>
      <c r="AD603" t="s">
        <v>61</v>
      </c>
      <c r="AE603" t="s">
        <v>50</v>
      </c>
      <c r="AF603" s="5">
        <f>DATE(YEAR(C603),MONTH(C603),1)</f>
        <v>45992</v>
      </c>
      <c r="AG603">
        <f>E603-D603</f>
        <v>19</v>
      </c>
      <c r="AH603" s="6">
        <f t="shared" si="9"/>
        <v>58.218405381770275</v>
      </c>
    </row>
    <row r="604" spans="1:34">
      <c r="A604" t="s">
        <v>1321</v>
      </c>
      <c r="B604" t="s">
        <v>1322</v>
      </c>
      <c r="C604" s="1">
        <v>45872</v>
      </c>
      <c r="D604" s="1">
        <v>45876</v>
      </c>
      <c r="E604" s="1">
        <v>45903</v>
      </c>
      <c r="F604" t="s">
        <v>83</v>
      </c>
      <c r="G604" t="s">
        <v>84</v>
      </c>
      <c r="H604" t="s">
        <v>85</v>
      </c>
      <c r="I604" t="s">
        <v>86</v>
      </c>
      <c r="J604" t="s">
        <v>87</v>
      </c>
      <c r="K604" t="s">
        <v>88</v>
      </c>
      <c r="L604" t="s">
        <v>127</v>
      </c>
      <c r="M604" t="s">
        <v>68</v>
      </c>
      <c r="N604">
        <v>2</v>
      </c>
      <c r="O604" t="s">
        <v>89</v>
      </c>
      <c r="P604" s="48">
        <v>55390.91</v>
      </c>
      <c r="Q604" s="48">
        <v>9029.49</v>
      </c>
      <c r="R604" s="48">
        <v>3007.6</v>
      </c>
      <c r="S604" s="48">
        <v>709.84</v>
      </c>
      <c r="T604" s="48">
        <v>553.91</v>
      </c>
      <c r="U604" s="48">
        <v>893.02</v>
      </c>
      <c r="V604" s="48">
        <v>1192.25</v>
      </c>
      <c r="W604" s="48">
        <v>40004.800000000003</v>
      </c>
      <c r="X604">
        <v>0</v>
      </c>
      <c r="Y604" t="s">
        <v>45</v>
      </c>
      <c r="Z604">
        <v>75.25</v>
      </c>
      <c r="AA604" t="s">
        <v>46</v>
      </c>
      <c r="AB604" t="s">
        <v>47</v>
      </c>
      <c r="AC604" t="s">
        <v>48</v>
      </c>
      <c r="AD604" t="s">
        <v>130</v>
      </c>
      <c r="AE604" t="s">
        <v>71</v>
      </c>
      <c r="AF604" s="5">
        <f>DATE(YEAR(C604),MONTH(C604),1)</f>
        <v>45870</v>
      </c>
      <c r="AG604">
        <f>E604-D604</f>
        <v>27</v>
      </c>
      <c r="AH604" s="6">
        <f t="shared" si="9"/>
        <v>72.222680580622338</v>
      </c>
    </row>
    <row r="605" spans="1:34">
      <c r="A605" t="s">
        <v>1323</v>
      </c>
      <c r="B605" t="s">
        <v>1324</v>
      </c>
      <c r="C605" s="1">
        <v>45807</v>
      </c>
      <c r="D605" s="1">
        <v>45809</v>
      </c>
      <c r="E605" s="1">
        <v>45826</v>
      </c>
      <c r="F605" t="s">
        <v>53</v>
      </c>
      <c r="G605" t="s">
        <v>54</v>
      </c>
      <c r="H605" t="s">
        <v>55</v>
      </c>
      <c r="I605" t="s">
        <v>40</v>
      </c>
      <c r="J605" t="s">
        <v>122</v>
      </c>
      <c r="K605" t="s">
        <v>123</v>
      </c>
      <c r="L605" t="s">
        <v>124</v>
      </c>
      <c r="M605" t="s">
        <v>68</v>
      </c>
      <c r="N605">
        <v>1</v>
      </c>
      <c r="O605" t="s">
        <v>105</v>
      </c>
      <c r="P605" s="48">
        <v>30651.41</v>
      </c>
      <c r="Q605" s="48">
        <v>9008.34</v>
      </c>
      <c r="R605" s="48">
        <v>1779.01</v>
      </c>
      <c r="S605" s="48">
        <v>753.72</v>
      </c>
      <c r="T605" s="48">
        <v>306.51</v>
      </c>
      <c r="U605" s="48">
        <v>710.73</v>
      </c>
      <c r="V605" s="48">
        <v>865.81</v>
      </c>
      <c r="W605" s="48">
        <v>17227.29</v>
      </c>
      <c r="X605">
        <v>0</v>
      </c>
      <c r="Y605" t="s">
        <v>45</v>
      </c>
      <c r="Z605">
        <v>75.069999999999993</v>
      </c>
      <c r="AA605" t="s">
        <v>46</v>
      </c>
      <c r="AB605" t="s">
        <v>92</v>
      </c>
      <c r="AC605" t="s">
        <v>48</v>
      </c>
      <c r="AD605" t="s">
        <v>144</v>
      </c>
      <c r="AE605" t="s">
        <v>71</v>
      </c>
      <c r="AF605" s="5">
        <f>DATE(YEAR(C605),MONTH(C605),1)</f>
        <v>45778</v>
      </c>
      <c r="AG605">
        <f>E605-D605</f>
        <v>17</v>
      </c>
      <c r="AH605" s="6">
        <f t="shared" si="9"/>
        <v>56.20390709595415</v>
      </c>
    </row>
    <row r="606" spans="1:34">
      <c r="A606" t="s">
        <v>1325</v>
      </c>
      <c r="B606" t="s">
        <v>1326</v>
      </c>
      <c r="C606" s="1">
        <v>45838</v>
      </c>
      <c r="D606" s="1">
        <v>45841</v>
      </c>
      <c r="E606" s="1">
        <v>45856</v>
      </c>
      <c r="F606" t="s">
        <v>74</v>
      </c>
      <c r="G606" t="s">
        <v>75</v>
      </c>
      <c r="H606" t="s">
        <v>76</v>
      </c>
      <c r="I606" t="s">
        <v>40</v>
      </c>
      <c r="J606" t="s">
        <v>122</v>
      </c>
      <c r="K606" t="s">
        <v>123</v>
      </c>
      <c r="L606" t="s">
        <v>127</v>
      </c>
      <c r="M606" t="s">
        <v>79</v>
      </c>
      <c r="N606">
        <v>1</v>
      </c>
      <c r="O606" t="s">
        <v>44</v>
      </c>
      <c r="P606" s="48">
        <v>44064.91</v>
      </c>
      <c r="Q606" s="48">
        <v>8964.3700000000008</v>
      </c>
      <c r="R606" s="48">
        <v>3425.29</v>
      </c>
      <c r="S606" s="48">
        <v>1126.1600000000001</v>
      </c>
      <c r="T606" s="48">
        <v>440.65</v>
      </c>
      <c r="U606" s="48">
        <v>850.85</v>
      </c>
      <c r="V606" s="48">
        <v>1568.87</v>
      </c>
      <c r="W606" s="48">
        <v>27688.720000000001</v>
      </c>
      <c r="X606">
        <v>0</v>
      </c>
      <c r="Y606" t="s">
        <v>45</v>
      </c>
      <c r="Z606">
        <v>74.7</v>
      </c>
      <c r="AA606" t="s">
        <v>46</v>
      </c>
      <c r="AB606" t="s">
        <v>47</v>
      </c>
      <c r="AC606" t="s">
        <v>70</v>
      </c>
      <c r="AD606" t="s">
        <v>93</v>
      </c>
      <c r="AE606" t="s">
        <v>102</v>
      </c>
      <c r="AF606" s="5">
        <f>DATE(YEAR(C606),MONTH(C606),1)</f>
        <v>45809</v>
      </c>
      <c r="AG606">
        <f>E606-D606</f>
        <v>15</v>
      </c>
      <c r="AH606" s="6">
        <f t="shared" si="9"/>
        <v>62.836211398139696</v>
      </c>
    </row>
    <row r="607" spans="1:34">
      <c r="A607" t="s">
        <v>1327</v>
      </c>
      <c r="B607" t="s">
        <v>1328</v>
      </c>
      <c r="C607" s="1">
        <v>45705</v>
      </c>
      <c r="D607" s="1">
        <v>45709</v>
      </c>
      <c r="E607" s="1">
        <v>45724</v>
      </c>
      <c r="F607" t="s">
        <v>149</v>
      </c>
      <c r="G607" t="s">
        <v>111</v>
      </c>
      <c r="H607" t="s">
        <v>150</v>
      </c>
      <c r="I607" t="s">
        <v>115</v>
      </c>
      <c r="J607" t="s">
        <v>98</v>
      </c>
      <c r="K607" t="s">
        <v>99</v>
      </c>
      <c r="L607" t="s">
        <v>124</v>
      </c>
      <c r="M607" t="s">
        <v>43</v>
      </c>
      <c r="N607">
        <v>1</v>
      </c>
      <c r="O607" t="s">
        <v>111</v>
      </c>
      <c r="P607" s="48">
        <v>41145.769999999997</v>
      </c>
      <c r="Q607" s="48">
        <v>8964.15</v>
      </c>
      <c r="R607" s="48">
        <v>1965.07</v>
      </c>
      <c r="S607" s="48">
        <v>806.59</v>
      </c>
      <c r="T607" s="48">
        <v>411.46</v>
      </c>
      <c r="U607" s="48">
        <v>193.46</v>
      </c>
      <c r="V607" s="48">
        <v>1863.12</v>
      </c>
      <c r="W607" s="48">
        <v>26941.919999999998</v>
      </c>
      <c r="X607">
        <v>48</v>
      </c>
      <c r="Y607" t="s">
        <v>90</v>
      </c>
      <c r="Z607">
        <v>74.7</v>
      </c>
      <c r="AA607" t="s">
        <v>91</v>
      </c>
      <c r="AB607" t="s">
        <v>92</v>
      </c>
      <c r="AC607" t="s">
        <v>48</v>
      </c>
      <c r="AD607" t="s">
        <v>93</v>
      </c>
      <c r="AE607" t="s">
        <v>102</v>
      </c>
      <c r="AF607" s="5">
        <f>DATE(YEAR(C607),MONTH(C607),1)</f>
        <v>45689</v>
      </c>
      <c r="AG607">
        <f>E607-D607</f>
        <v>15</v>
      </c>
      <c r="AH607" s="6">
        <f t="shared" si="9"/>
        <v>65.479197497093864</v>
      </c>
    </row>
    <row r="608" spans="1:34">
      <c r="A608" t="s">
        <v>1329</v>
      </c>
      <c r="B608" t="s">
        <v>1330</v>
      </c>
      <c r="C608" s="1">
        <v>45717</v>
      </c>
      <c r="D608" s="1">
        <v>45721</v>
      </c>
      <c r="E608" s="1">
        <v>45743</v>
      </c>
      <c r="F608" t="s">
        <v>36</v>
      </c>
      <c r="G608" t="s">
        <v>37</v>
      </c>
      <c r="H608" t="s">
        <v>38</v>
      </c>
      <c r="I608" t="s">
        <v>56</v>
      </c>
      <c r="J608" t="s">
        <v>86</v>
      </c>
      <c r="K608" t="s">
        <v>41</v>
      </c>
      <c r="L608" t="s">
        <v>155</v>
      </c>
      <c r="M608" t="s">
        <v>79</v>
      </c>
      <c r="N608">
        <v>2</v>
      </c>
      <c r="O608" t="s">
        <v>105</v>
      </c>
      <c r="P608" s="48">
        <v>42088.81</v>
      </c>
      <c r="Q608" s="48">
        <v>8891.4699999999993</v>
      </c>
      <c r="R608" s="48">
        <v>2302.52</v>
      </c>
      <c r="S608" s="48">
        <v>669.4</v>
      </c>
      <c r="T608" s="48">
        <v>420.89</v>
      </c>
      <c r="U608" s="48">
        <v>190.44</v>
      </c>
      <c r="V608" s="48">
        <v>894.98</v>
      </c>
      <c r="W608" s="48">
        <v>28719.11</v>
      </c>
      <c r="X608">
        <v>0</v>
      </c>
      <c r="Y608" t="s">
        <v>45</v>
      </c>
      <c r="Z608">
        <v>74.099999999999994</v>
      </c>
      <c r="AA608" t="s">
        <v>46</v>
      </c>
      <c r="AB608" t="s">
        <v>92</v>
      </c>
      <c r="AC608" t="s">
        <v>48</v>
      </c>
      <c r="AD608" t="s">
        <v>130</v>
      </c>
      <c r="AE608" t="s">
        <v>71</v>
      </c>
      <c r="AF608" s="5">
        <f>DATE(YEAR(C608),MONTH(C608),1)</f>
        <v>45717</v>
      </c>
      <c r="AG608">
        <f>E608-D608</f>
        <v>22</v>
      </c>
      <c r="AH608" s="6">
        <f t="shared" si="9"/>
        <v>68.234549753247961</v>
      </c>
    </row>
    <row r="609" spans="1:34">
      <c r="A609" t="s">
        <v>1331</v>
      </c>
      <c r="B609" t="s">
        <v>1332</v>
      </c>
      <c r="C609" s="1">
        <v>45838</v>
      </c>
      <c r="D609" s="1">
        <v>45840</v>
      </c>
      <c r="E609" s="1">
        <v>45856</v>
      </c>
      <c r="F609" t="s">
        <v>120</v>
      </c>
      <c r="G609" t="s">
        <v>75</v>
      </c>
      <c r="H609" t="s">
        <v>121</v>
      </c>
      <c r="I609" t="s">
        <v>40</v>
      </c>
      <c r="J609" t="s">
        <v>122</v>
      </c>
      <c r="K609" t="s">
        <v>123</v>
      </c>
      <c r="L609" t="s">
        <v>78</v>
      </c>
      <c r="M609" t="s">
        <v>43</v>
      </c>
      <c r="N609">
        <v>1</v>
      </c>
      <c r="O609" t="s">
        <v>89</v>
      </c>
      <c r="P609" s="48">
        <v>39278.49</v>
      </c>
      <c r="Q609" s="48">
        <v>8850.48</v>
      </c>
      <c r="R609" s="48">
        <v>3060.57</v>
      </c>
      <c r="S609" s="48">
        <v>1020.9</v>
      </c>
      <c r="T609" s="48">
        <v>392.78</v>
      </c>
      <c r="U609" s="48">
        <v>782.16</v>
      </c>
      <c r="V609" s="48">
        <v>527.58000000000004</v>
      </c>
      <c r="W609" s="48">
        <v>24644.02</v>
      </c>
      <c r="X609">
        <v>8</v>
      </c>
      <c r="Y609" t="s">
        <v>117</v>
      </c>
      <c r="Z609">
        <v>73.75</v>
      </c>
      <c r="AA609" t="s">
        <v>91</v>
      </c>
      <c r="AB609" t="s">
        <v>47</v>
      </c>
      <c r="AC609" t="s">
        <v>60</v>
      </c>
      <c r="AD609" t="s">
        <v>93</v>
      </c>
      <c r="AE609" t="s">
        <v>62</v>
      </c>
      <c r="AF609" s="5">
        <f>DATE(YEAR(C609),MONTH(C609),1)</f>
        <v>45809</v>
      </c>
      <c r="AG609">
        <f>E609-D609</f>
        <v>16</v>
      </c>
      <c r="AH609" s="6">
        <f t="shared" si="9"/>
        <v>62.741770368463754</v>
      </c>
    </row>
    <row r="610" spans="1:34">
      <c r="A610" t="s">
        <v>1333</v>
      </c>
      <c r="B610" t="s">
        <v>1334</v>
      </c>
      <c r="C610" s="1">
        <v>45905</v>
      </c>
      <c r="D610" s="1">
        <v>45907</v>
      </c>
      <c r="E610" s="1">
        <v>45918</v>
      </c>
      <c r="F610" t="s">
        <v>153</v>
      </c>
      <c r="G610" t="s">
        <v>75</v>
      </c>
      <c r="H610" t="s">
        <v>154</v>
      </c>
      <c r="I610" t="s">
        <v>40</v>
      </c>
      <c r="J610" t="s">
        <v>122</v>
      </c>
      <c r="K610" t="s">
        <v>123</v>
      </c>
      <c r="L610" t="s">
        <v>124</v>
      </c>
      <c r="M610" t="s">
        <v>79</v>
      </c>
      <c r="N610">
        <v>4</v>
      </c>
      <c r="O610" t="s">
        <v>44</v>
      </c>
      <c r="P610" s="48">
        <v>35891.4</v>
      </c>
      <c r="Q610" s="48">
        <v>8774.86</v>
      </c>
      <c r="R610" s="48">
        <v>2621.36</v>
      </c>
      <c r="S610" s="48">
        <v>558.63</v>
      </c>
      <c r="T610" s="48">
        <v>358.91</v>
      </c>
      <c r="U610" s="48">
        <v>749.14</v>
      </c>
      <c r="V610" s="48">
        <v>2172.5500000000002</v>
      </c>
      <c r="W610" s="48">
        <v>20655.95</v>
      </c>
      <c r="X610">
        <v>36</v>
      </c>
      <c r="Y610" t="s">
        <v>101</v>
      </c>
      <c r="Z610">
        <v>73.12</v>
      </c>
      <c r="AA610" t="s">
        <v>91</v>
      </c>
      <c r="AB610" t="s">
        <v>92</v>
      </c>
      <c r="AC610" t="s">
        <v>70</v>
      </c>
      <c r="AD610" t="s">
        <v>93</v>
      </c>
      <c r="AE610" t="s">
        <v>102</v>
      </c>
      <c r="AF610" s="5">
        <f>DATE(YEAR(C610),MONTH(C610),1)</f>
        <v>45901</v>
      </c>
      <c r="AG610">
        <f>E610-D610</f>
        <v>11</v>
      </c>
      <c r="AH610" s="6">
        <f t="shared" si="9"/>
        <v>57.55125183191516</v>
      </c>
    </row>
    <row r="611" spans="1:34">
      <c r="A611" t="s">
        <v>1335</v>
      </c>
      <c r="B611" t="s">
        <v>1336</v>
      </c>
      <c r="C611" s="1">
        <v>45919</v>
      </c>
      <c r="D611" s="1">
        <v>45921</v>
      </c>
      <c r="E611" s="1">
        <v>45934</v>
      </c>
      <c r="F611" t="s">
        <v>120</v>
      </c>
      <c r="G611" t="s">
        <v>75</v>
      </c>
      <c r="H611" t="s">
        <v>121</v>
      </c>
      <c r="I611" t="s">
        <v>115</v>
      </c>
      <c r="J611" t="s">
        <v>98</v>
      </c>
      <c r="K611" t="s">
        <v>99</v>
      </c>
      <c r="L611" t="s">
        <v>42</v>
      </c>
      <c r="M611" t="s">
        <v>68</v>
      </c>
      <c r="N611">
        <v>1</v>
      </c>
      <c r="O611" t="s">
        <v>44</v>
      </c>
      <c r="P611" s="48">
        <v>36532.620000000003</v>
      </c>
      <c r="Q611" s="48">
        <v>8769.61</v>
      </c>
      <c r="R611" s="48">
        <v>1813.13</v>
      </c>
      <c r="S611" s="48">
        <v>883.58</v>
      </c>
      <c r="T611" s="48">
        <v>365.33</v>
      </c>
      <c r="U611" s="48">
        <v>183.53</v>
      </c>
      <c r="V611" s="48">
        <v>1889.17</v>
      </c>
      <c r="W611" s="48">
        <v>22628.27</v>
      </c>
      <c r="X611">
        <v>24</v>
      </c>
      <c r="Y611" t="s">
        <v>112</v>
      </c>
      <c r="Z611">
        <v>73.08</v>
      </c>
      <c r="AA611" t="s">
        <v>91</v>
      </c>
      <c r="AB611" t="s">
        <v>47</v>
      </c>
      <c r="AC611" t="s">
        <v>60</v>
      </c>
      <c r="AD611" t="s">
        <v>49</v>
      </c>
      <c r="AE611" t="s">
        <v>50</v>
      </c>
      <c r="AF611" s="5">
        <f>DATE(YEAR(C611),MONTH(C611),1)</f>
        <v>45901</v>
      </c>
      <c r="AG611">
        <f>E611-D611</f>
        <v>13</v>
      </c>
      <c r="AH611" s="6">
        <f t="shared" si="9"/>
        <v>61.939904666021761</v>
      </c>
    </row>
    <row r="612" spans="1:34">
      <c r="A612" t="s">
        <v>1337</v>
      </c>
      <c r="B612" t="s">
        <v>1338</v>
      </c>
      <c r="C612" s="1">
        <v>45961</v>
      </c>
      <c r="D612" s="1">
        <v>45962</v>
      </c>
      <c r="E612" s="1">
        <v>45980</v>
      </c>
      <c r="F612" t="s">
        <v>149</v>
      </c>
      <c r="G612" t="s">
        <v>111</v>
      </c>
      <c r="H612" t="s">
        <v>150</v>
      </c>
      <c r="I612" t="s">
        <v>40</v>
      </c>
      <c r="J612" t="s">
        <v>122</v>
      </c>
      <c r="K612" t="s">
        <v>123</v>
      </c>
      <c r="L612" t="s">
        <v>100</v>
      </c>
      <c r="M612" t="s">
        <v>43</v>
      </c>
      <c r="N612">
        <v>1</v>
      </c>
      <c r="O612" t="s">
        <v>54</v>
      </c>
      <c r="P612" s="48">
        <v>33247.24</v>
      </c>
      <c r="Q612" s="48">
        <v>8738.39</v>
      </c>
      <c r="R612" s="48">
        <v>2196.79</v>
      </c>
      <c r="S612" s="48">
        <v>745.43</v>
      </c>
      <c r="T612" s="48">
        <v>332.47</v>
      </c>
      <c r="U612" s="48">
        <v>132.5</v>
      </c>
      <c r="V612" s="48">
        <v>1595.07</v>
      </c>
      <c r="W612" s="48">
        <v>19506.59</v>
      </c>
      <c r="X612">
        <v>0</v>
      </c>
      <c r="Y612" t="s">
        <v>45</v>
      </c>
      <c r="Z612">
        <v>72.819999999999993</v>
      </c>
      <c r="AA612" t="s">
        <v>46</v>
      </c>
      <c r="AB612" t="s">
        <v>92</v>
      </c>
      <c r="AC612" t="s">
        <v>70</v>
      </c>
      <c r="AD612" t="s">
        <v>144</v>
      </c>
      <c r="AE612" t="s">
        <v>50</v>
      </c>
      <c r="AF612" s="5">
        <f>DATE(YEAR(C612),MONTH(C612),1)</f>
        <v>45931</v>
      </c>
      <c r="AG612">
        <f>E612-D612</f>
        <v>18</v>
      </c>
      <c r="AH612" s="6">
        <f t="shared" si="9"/>
        <v>58.671306249781942</v>
      </c>
    </row>
    <row r="613" spans="1:34">
      <c r="A613" t="s">
        <v>1339</v>
      </c>
      <c r="B613" t="s">
        <v>1340</v>
      </c>
      <c r="C613" s="1">
        <v>45669</v>
      </c>
      <c r="D613" s="1">
        <v>45670</v>
      </c>
      <c r="E613" s="1">
        <v>45697</v>
      </c>
      <c r="F613" t="s">
        <v>234</v>
      </c>
      <c r="G613" t="s">
        <v>111</v>
      </c>
      <c r="H613" t="s">
        <v>150</v>
      </c>
      <c r="I613" t="s">
        <v>40</v>
      </c>
      <c r="J613" t="s">
        <v>122</v>
      </c>
      <c r="K613" t="s">
        <v>123</v>
      </c>
      <c r="L613" t="s">
        <v>100</v>
      </c>
      <c r="M613" t="s">
        <v>68</v>
      </c>
      <c r="N613">
        <v>2</v>
      </c>
      <c r="O613" t="s">
        <v>80</v>
      </c>
      <c r="P613" s="48">
        <v>43543.519999999997</v>
      </c>
      <c r="Q613" s="48">
        <v>8736.73</v>
      </c>
      <c r="R613" s="48">
        <v>2305.37</v>
      </c>
      <c r="S613" s="48">
        <v>1175.22</v>
      </c>
      <c r="T613" s="48">
        <v>435.44</v>
      </c>
      <c r="U613" s="48">
        <v>589.71</v>
      </c>
      <c r="V613" s="48">
        <v>1758.87</v>
      </c>
      <c r="W613" s="48">
        <v>28542.18</v>
      </c>
      <c r="X613">
        <v>0</v>
      </c>
      <c r="Y613" t="s">
        <v>45</v>
      </c>
      <c r="Z613">
        <v>72.81</v>
      </c>
      <c r="AA613" t="s">
        <v>46</v>
      </c>
      <c r="AB613" t="s">
        <v>47</v>
      </c>
      <c r="AC613" t="s">
        <v>60</v>
      </c>
      <c r="AD613" t="s">
        <v>61</v>
      </c>
      <c r="AE613" t="s">
        <v>71</v>
      </c>
      <c r="AF613" s="5">
        <f>DATE(YEAR(C613),MONTH(C613),1)</f>
        <v>45658</v>
      </c>
      <c r="AG613">
        <f>E613-D613</f>
        <v>27</v>
      </c>
      <c r="AH613" s="6">
        <f t="shared" si="9"/>
        <v>65.548628131120324</v>
      </c>
    </row>
    <row r="614" spans="1:34">
      <c r="A614" t="s">
        <v>1341</v>
      </c>
      <c r="B614" t="s">
        <v>1342</v>
      </c>
      <c r="C614" s="1">
        <v>45885</v>
      </c>
      <c r="D614" s="1">
        <v>45886</v>
      </c>
      <c r="E614" s="1">
        <v>45900</v>
      </c>
      <c r="F614" t="s">
        <v>153</v>
      </c>
      <c r="G614" t="s">
        <v>75</v>
      </c>
      <c r="H614" t="s">
        <v>154</v>
      </c>
      <c r="I614" t="s">
        <v>115</v>
      </c>
      <c r="J614" t="s">
        <v>98</v>
      </c>
      <c r="K614" t="s">
        <v>99</v>
      </c>
      <c r="L614" t="s">
        <v>127</v>
      </c>
      <c r="M614" t="s">
        <v>68</v>
      </c>
      <c r="N614">
        <v>4</v>
      </c>
      <c r="O614" t="s">
        <v>105</v>
      </c>
      <c r="P614" s="48">
        <v>40005.29</v>
      </c>
      <c r="Q614" s="48">
        <v>8735.94</v>
      </c>
      <c r="R614" s="48">
        <v>1819.36</v>
      </c>
      <c r="S614" s="48">
        <v>935.7</v>
      </c>
      <c r="T614" s="48">
        <v>400.05</v>
      </c>
      <c r="U614" s="48">
        <v>232.31</v>
      </c>
      <c r="V614" s="48">
        <v>687.51</v>
      </c>
      <c r="W614" s="48">
        <v>27194.42</v>
      </c>
      <c r="X614">
        <v>0</v>
      </c>
      <c r="Y614" t="s">
        <v>45</v>
      </c>
      <c r="Z614">
        <v>72.8</v>
      </c>
      <c r="AA614" t="s">
        <v>46</v>
      </c>
      <c r="AB614" t="s">
        <v>92</v>
      </c>
      <c r="AC614" t="s">
        <v>70</v>
      </c>
      <c r="AD614" t="s">
        <v>49</v>
      </c>
      <c r="AE614" t="s">
        <v>62</v>
      </c>
      <c r="AF614" s="5">
        <f>DATE(YEAR(C614),MONTH(C614),1)</f>
        <v>45870</v>
      </c>
      <c r="AG614">
        <f>E614-D614</f>
        <v>14</v>
      </c>
      <c r="AH614" s="6">
        <f t="shared" si="9"/>
        <v>67.977060033810517</v>
      </c>
    </row>
    <row r="615" spans="1:34">
      <c r="A615" t="s">
        <v>1343</v>
      </c>
      <c r="B615" t="s">
        <v>1344</v>
      </c>
      <c r="C615" s="1">
        <v>45679</v>
      </c>
      <c r="D615" s="1">
        <v>45682</v>
      </c>
      <c r="E615" s="1">
        <v>45708</v>
      </c>
      <c r="F615" t="s">
        <v>36</v>
      </c>
      <c r="G615" t="s">
        <v>37</v>
      </c>
      <c r="H615" t="s">
        <v>38</v>
      </c>
      <c r="I615" t="s">
        <v>115</v>
      </c>
      <c r="J615" t="s">
        <v>98</v>
      </c>
      <c r="K615" t="s">
        <v>99</v>
      </c>
      <c r="L615" t="s">
        <v>59</v>
      </c>
      <c r="M615" t="s">
        <v>68</v>
      </c>
      <c r="N615">
        <v>2</v>
      </c>
      <c r="O615" t="s">
        <v>105</v>
      </c>
      <c r="P615" s="48">
        <v>52144.3</v>
      </c>
      <c r="Q615" s="48">
        <v>8727.51</v>
      </c>
      <c r="R615" s="48">
        <v>3472.85</v>
      </c>
      <c r="S615" s="48">
        <v>618.78</v>
      </c>
      <c r="T615" s="48">
        <v>521.44000000000005</v>
      </c>
      <c r="U615" s="48">
        <v>306.42</v>
      </c>
      <c r="V615" s="48">
        <v>1716.33</v>
      </c>
      <c r="W615" s="48">
        <v>36780.97</v>
      </c>
      <c r="X615">
        <v>4</v>
      </c>
      <c r="Y615" t="s">
        <v>101</v>
      </c>
      <c r="Z615">
        <v>72.73</v>
      </c>
      <c r="AA615" t="s">
        <v>91</v>
      </c>
      <c r="AB615" t="s">
        <v>92</v>
      </c>
      <c r="AC615" t="s">
        <v>60</v>
      </c>
      <c r="AD615" t="s">
        <v>49</v>
      </c>
      <c r="AE615" t="s">
        <v>62</v>
      </c>
      <c r="AF615" s="5">
        <f>DATE(YEAR(C615),MONTH(C615),1)</f>
        <v>45658</v>
      </c>
      <c r="AG615">
        <f>E615-D615</f>
        <v>26</v>
      </c>
      <c r="AH615" s="6">
        <f t="shared" si="9"/>
        <v>70.536894732501921</v>
      </c>
    </row>
    <row r="616" spans="1:34">
      <c r="A616" t="s">
        <v>1345</v>
      </c>
      <c r="B616" t="s">
        <v>1346</v>
      </c>
      <c r="C616" s="1">
        <v>45885</v>
      </c>
      <c r="D616" s="1">
        <v>45888</v>
      </c>
      <c r="E616" s="1">
        <v>45899</v>
      </c>
      <c r="F616" t="s">
        <v>65</v>
      </c>
      <c r="G616" t="s">
        <v>66</v>
      </c>
      <c r="H616" t="s">
        <v>67</v>
      </c>
      <c r="I616" t="s">
        <v>86</v>
      </c>
      <c r="J616" t="s">
        <v>87</v>
      </c>
      <c r="K616" t="s">
        <v>88</v>
      </c>
      <c r="L616" t="s">
        <v>116</v>
      </c>
      <c r="M616" t="s">
        <v>43</v>
      </c>
      <c r="N616">
        <v>2</v>
      </c>
      <c r="O616" t="s">
        <v>69</v>
      </c>
      <c r="P616" s="48">
        <v>50169.7</v>
      </c>
      <c r="Q616" s="48">
        <v>8726.11</v>
      </c>
      <c r="R616" s="48">
        <v>3811.75</v>
      </c>
      <c r="S616" s="48">
        <v>1465.49</v>
      </c>
      <c r="T616" s="48">
        <v>501.7</v>
      </c>
      <c r="U616" s="48">
        <v>529.03</v>
      </c>
      <c r="V616" s="48">
        <v>995.18</v>
      </c>
      <c r="W616" s="48">
        <v>34140.44</v>
      </c>
      <c r="X616">
        <v>0</v>
      </c>
      <c r="Y616" t="s">
        <v>45</v>
      </c>
      <c r="Z616">
        <v>72.72</v>
      </c>
      <c r="AA616" t="s">
        <v>46</v>
      </c>
      <c r="AB616" t="s">
        <v>47</v>
      </c>
      <c r="AC616" t="s">
        <v>48</v>
      </c>
      <c r="AD616" t="s">
        <v>49</v>
      </c>
      <c r="AE616" t="s">
        <v>62</v>
      </c>
      <c r="AF616" s="5">
        <f>DATE(YEAR(C616),MONTH(C616),1)</f>
        <v>45870</v>
      </c>
      <c r="AG616">
        <f>E616-D616</f>
        <v>11</v>
      </c>
      <c r="AH616" s="6">
        <f t="shared" si="9"/>
        <v>68.049918576351871</v>
      </c>
    </row>
    <row r="617" spans="1:34">
      <c r="A617" t="s">
        <v>1347</v>
      </c>
      <c r="B617" t="s">
        <v>1348</v>
      </c>
      <c r="C617" s="1">
        <v>45828</v>
      </c>
      <c r="D617" s="1">
        <v>45832</v>
      </c>
      <c r="E617" s="1">
        <v>45857</v>
      </c>
      <c r="F617" t="s">
        <v>36</v>
      </c>
      <c r="G617" t="s">
        <v>37</v>
      </c>
      <c r="H617" t="s">
        <v>38</v>
      </c>
      <c r="I617" t="s">
        <v>115</v>
      </c>
      <c r="J617" t="s">
        <v>98</v>
      </c>
      <c r="K617" t="s">
        <v>41</v>
      </c>
      <c r="L617" t="s">
        <v>124</v>
      </c>
      <c r="M617" t="s">
        <v>79</v>
      </c>
      <c r="N617">
        <v>2</v>
      </c>
      <c r="O617" t="s">
        <v>54</v>
      </c>
      <c r="P617" s="48">
        <v>53134.45</v>
      </c>
      <c r="Q617" s="48">
        <v>8716.15</v>
      </c>
      <c r="R617" s="48">
        <v>3897.37</v>
      </c>
      <c r="S617" s="48">
        <v>1411.05</v>
      </c>
      <c r="T617" s="48">
        <v>531.34</v>
      </c>
      <c r="U617" s="48">
        <v>872.89</v>
      </c>
      <c r="V617" s="48">
        <v>2005.77</v>
      </c>
      <c r="W617" s="48">
        <v>35699.879999999997</v>
      </c>
      <c r="X617">
        <v>0</v>
      </c>
      <c r="Y617" t="s">
        <v>45</v>
      </c>
      <c r="Z617">
        <v>72.63</v>
      </c>
      <c r="AA617" t="s">
        <v>46</v>
      </c>
      <c r="AB617" t="s">
        <v>47</v>
      </c>
      <c r="AC617" t="s">
        <v>70</v>
      </c>
      <c r="AD617" t="s">
        <v>49</v>
      </c>
      <c r="AE617" t="s">
        <v>62</v>
      </c>
      <c r="AF617" s="5">
        <f>DATE(YEAR(C617),MONTH(C617),1)</f>
        <v>45809</v>
      </c>
      <c r="AG617">
        <f>E617-D617</f>
        <v>25</v>
      </c>
      <c r="AH617" s="6">
        <f t="shared" si="9"/>
        <v>67.187822589675818</v>
      </c>
    </row>
    <row r="618" spans="1:34">
      <c r="A618" t="s">
        <v>1349</v>
      </c>
      <c r="B618" t="s">
        <v>1350</v>
      </c>
      <c r="C618" s="1">
        <v>46005</v>
      </c>
      <c r="D618" s="1">
        <v>46009</v>
      </c>
      <c r="E618" s="1">
        <v>46029</v>
      </c>
      <c r="F618" t="s">
        <v>153</v>
      </c>
      <c r="G618" t="s">
        <v>75</v>
      </c>
      <c r="H618" t="s">
        <v>154</v>
      </c>
      <c r="I618" t="s">
        <v>115</v>
      </c>
      <c r="J618" t="s">
        <v>98</v>
      </c>
      <c r="K618" t="s">
        <v>99</v>
      </c>
      <c r="L618" t="s">
        <v>42</v>
      </c>
      <c r="M618" t="s">
        <v>68</v>
      </c>
      <c r="N618">
        <v>4</v>
      </c>
      <c r="O618" t="s">
        <v>89</v>
      </c>
      <c r="P618" s="48">
        <v>30792.02</v>
      </c>
      <c r="Q618" s="48">
        <v>8709.16</v>
      </c>
      <c r="R618" s="48">
        <v>2410.02</v>
      </c>
      <c r="S618" s="48">
        <v>643.34</v>
      </c>
      <c r="T618" s="48">
        <v>307.92</v>
      </c>
      <c r="U618" s="48">
        <v>173.46</v>
      </c>
      <c r="V618" s="48">
        <v>426.06</v>
      </c>
      <c r="W618" s="48">
        <v>18122.060000000001</v>
      </c>
      <c r="X618">
        <v>0</v>
      </c>
      <c r="Y618" t="s">
        <v>45</v>
      </c>
      <c r="Z618">
        <v>72.58</v>
      </c>
      <c r="AA618" t="s">
        <v>46</v>
      </c>
      <c r="AB618" t="s">
        <v>47</v>
      </c>
      <c r="AC618" t="s">
        <v>70</v>
      </c>
      <c r="AD618" t="s">
        <v>61</v>
      </c>
      <c r="AE618" t="s">
        <v>102</v>
      </c>
      <c r="AF618" s="5">
        <f>DATE(YEAR(C618),MONTH(C618),1)</f>
        <v>45992</v>
      </c>
      <c r="AG618">
        <f>E618-D618</f>
        <v>20</v>
      </c>
      <c r="AH618" s="6">
        <f t="shared" si="9"/>
        <v>58.853105447450346</v>
      </c>
    </row>
    <row r="619" spans="1:34">
      <c r="A619" t="s">
        <v>1351</v>
      </c>
      <c r="B619" t="s">
        <v>1352</v>
      </c>
      <c r="C619" s="1">
        <v>45960</v>
      </c>
      <c r="D619" s="1">
        <v>45961</v>
      </c>
      <c r="E619" s="1">
        <v>45975</v>
      </c>
      <c r="F619" t="s">
        <v>138</v>
      </c>
      <c r="G619" t="s">
        <v>139</v>
      </c>
      <c r="H619" t="s">
        <v>76</v>
      </c>
      <c r="I619" t="s">
        <v>40</v>
      </c>
      <c r="J619" t="s">
        <v>122</v>
      </c>
      <c r="K619" t="s">
        <v>123</v>
      </c>
      <c r="L619" t="s">
        <v>42</v>
      </c>
      <c r="M619" t="s">
        <v>68</v>
      </c>
      <c r="N619">
        <v>4</v>
      </c>
      <c r="O619" t="s">
        <v>111</v>
      </c>
      <c r="P619" s="48">
        <v>40909.07</v>
      </c>
      <c r="Q619" s="48">
        <v>8697.34</v>
      </c>
      <c r="R619" s="48">
        <v>1996.64</v>
      </c>
      <c r="S619" s="48">
        <v>866.73</v>
      </c>
      <c r="T619" s="48">
        <v>409.09</v>
      </c>
      <c r="U619" s="48">
        <v>834.98</v>
      </c>
      <c r="V619" s="48">
        <v>1320.8</v>
      </c>
      <c r="W619" s="48">
        <v>26783.49</v>
      </c>
      <c r="X619">
        <v>0</v>
      </c>
      <c r="Y619" t="s">
        <v>45</v>
      </c>
      <c r="Z619">
        <v>72.48</v>
      </c>
      <c r="AA619" t="s">
        <v>46</v>
      </c>
      <c r="AB619" t="s">
        <v>92</v>
      </c>
      <c r="AC619" t="s">
        <v>60</v>
      </c>
      <c r="AD619" t="s">
        <v>61</v>
      </c>
      <c r="AE619" t="s">
        <v>71</v>
      </c>
      <c r="AF619" s="5">
        <f>DATE(YEAR(C619),MONTH(C619),1)</f>
        <v>45931</v>
      </c>
      <c r="AG619">
        <f>E619-D619</f>
        <v>14</v>
      </c>
      <c r="AH619" s="6">
        <f t="shared" si="9"/>
        <v>65.470786796179922</v>
      </c>
    </row>
    <row r="620" spans="1:34">
      <c r="A620" t="s">
        <v>1353</v>
      </c>
      <c r="B620" t="s">
        <v>1354</v>
      </c>
      <c r="C620" s="1">
        <v>45875</v>
      </c>
      <c r="D620" s="1">
        <v>45879</v>
      </c>
      <c r="E620" s="1">
        <v>45904</v>
      </c>
      <c r="F620" t="s">
        <v>120</v>
      </c>
      <c r="G620" t="s">
        <v>75</v>
      </c>
      <c r="H620" t="s">
        <v>121</v>
      </c>
      <c r="I620" t="s">
        <v>87</v>
      </c>
      <c r="J620" t="s">
        <v>56</v>
      </c>
      <c r="K620" t="s">
        <v>41</v>
      </c>
      <c r="L620" t="s">
        <v>116</v>
      </c>
      <c r="M620" t="s">
        <v>43</v>
      </c>
      <c r="N620">
        <v>4</v>
      </c>
      <c r="O620" t="s">
        <v>111</v>
      </c>
      <c r="P620" s="48">
        <v>43574.66</v>
      </c>
      <c r="Q620" s="48">
        <v>8686.7199999999993</v>
      </c>
      <c r="R620" s="48">
        <v>2069.7199999999998</v>
      </c>
      <c r="S620" s="48">
        <v>697.51</v>
      </c>
      <c r="T620" s="48">
        <v>435.75</v>
      </c>
      <c r="U620" s="48">
        <v>155.24</v>
      </c>
      <c r="V620" s="48">
        <v>2306.9899999999998</v>
      </c>
      <c r="W620" s="48">
        <v>29222.73</v>
      </c>
      <c r="X620">
        <v>4</v>
      </c>
      <c r="Y620" t="s">
        <v>135</v>
      </c>
      <c r="Z620">
        <v>72.39</v>
      </c>
      <c r="AA620" t="s">
        <v>91</v>
      </c>
      <c r="AB620" t="s">
        <v>92</v>
      </c>
      <c r="AC620" t="s">
        <v>70</v>
      </c>
      <c r="AD620" t="s">
        <v>130</v>
      </c>
      <c r="AE620" t="s">
        <v>71</v>
      </c>
      <c r="AF620" s="5">
        <f>DATE(YEAR(C620),MONTH(C620),1)</f>
        <v>45870</v>
      </c>
      <c r="AG620">
        <f>E620-D620</f>
        <v>25</v>
      </c>
      <c r="AH620" s="6">
        <f t="shared" si="9"/>
        <v>67.063586956272275</v>
      </c>
    </row>
    <row r="621" spans="1:34">
      <c r="A621" t="s">
        <v>1355</v>
      </c>
      <c r="B621" t="s">
        <v>1356</v>
      </c>
      <c r="C621" s="1">
        <v>45798</v>
      </c>
      <c r="D621" s="1">
        <v>45799</v>
      </c>
      <c r="E621" s="1">
        <v>45827</v>
      </c>
      <c r="F621" t="s">
        <v>96</v>
      </c>
      <c r="G621" t="s">
        <v>97</v>
      </c>
      <c r="H621" t="s">
        <v>76</v>
      </c>
      <c r="I621" t="s">
        <v>40</v>
      </c>
      <c r="J621" t="s">
        <v>122</v>
      </c>
      <c r="K621" t="s">
        <v>123</v>
      </c>
      <c r="L621" t="s">
        <v>59</v>
      </c>
      <c r="M621" t="s">
        <v>68</v>
      </c>
      <c r="N621">
        <v>1</v>
      </c>
      <c r="O621" t="s">
        <v>44</v>
      </c>
      <c r="P621" s="48">
        <v>42266.48</v>
      </c>
      <c r="Q621" s="48">
        <v>8666.4599999999991</v>
      </c>
      <c r="R621" s="48">
        <v>2678.31</v>
      </c>
      <c r="S621" s="48">
        <v>535.89</v>
      </c>
      <c r="T621" s="48">
        <v>422.66</v>
      </c>
      <c r="U621" s="48">
        <v>383.51</v>
      </c>
      <c r="V621" s="48">
        <v>2099.62</v>
      </c>
      <c r="W621" s="48">
        <v>27480.03</v>
      </c>
      <c r="X621">
        <v>4</v>
      </c>
      <c r="Y621" t="s">
        <v>135</v>
      </c>
      <c r="Z621">
        <v>72.22</v>
      </c>
      <c r="AA621" t="s">
        <v>91</v>
      </c>
      <c r="AB621" t="s">
        <v>92</v>
      </c>
      <c r="AC621" t="s">
        <v>48</v>
      </c>
      <c r="AD621" t="s">
        <v>93</v>
      </c>
      <c r="AE621" t="s">
        <v>71</v>
      </c>
      <c r="AF621" s="5">
        <f>DATE(YEAR(C621),MONTH(C621),1)</f>
        <v>45778</v>
      </c>
      <c r="AG621">
        <f>E621-D621</f>
        <v>28</v>
      </c>
      <c r="AH621" s="6">
        <f t="shared" si="9"/>
        <v>65.016130986067438</v>
      </c>
    </row>
    <row r="622" spans="1:34">
      <c r="A622" t="s">
        <v>1357</v>
      </c>
      <c r="B622" t="s">
        <v>1358</v>
      </c>
      <c r="C622" s="1">
        <v>45962</v>
      </c>
      <c r="D622" s="1">
        <v>45966</v>
      </c>
      <c r="E622" s="1">
        <v>45976</v>
      </c>
      <c r="F622" t="s">
        <v>120</v>
      </c>
      <c r="G622" t="s">
        <v>75</v>
      </c>
      <c r="H622" t="s">
        <v>121</v>
      </c>
      <c r="I622" t="s">
        <v>56</v>
      </c>
      <c r="J622" t="s">
        <v>57</v>
      </c>
      <c r="K622" t="s">
        <v>58</v>
      </c>
      <c r="L622" t="s">
        <v>100</v>
      </c>
      <c r="M622" t="s">
        <v>108</v>
      </c>
      <c r="N622">
        <v>1</v>
      </c>
      <c r="O622" t="s">
        <v>69</v>
      </c>
      <c r="P622" s="48">
        <v>36306.400000000001</v>
      </c>
      <c r="Q622" s="48">
        <v>8647.16</v>
      </c>
      <c r="R622" s="48">
        <v>1971.99</v>
      </c>
      <c r="S622" s="48">
        <v>626.03</v>
      </c>
      <c r="T622" s="48">
        <v>363.06</v>
      </c>
      <c r="U622" s="48">
        <v>559.09</v>
      </c>
      <c r="V622" s="48">
        <v>835.37</v>
      </c>
      <c r="W622" s="48">
        <v>23303.7</v>
      </c>
      <c r="X622">
        <v>4</v>
      </c>
      <c r="Y622" t="s">
        <v>90</v>
      </c>
      <c r="Z622">
        <v>72.06</v>
      </c>
      <c r="AA622" t="s">
        <v>91</v>
      </c>
      <c r="AB622" t="s">
        <v>92</v>
      </c>
      <c r="AC622" t="s">
        <v>48</v>
      </c>
      <c r="AD622" t="s">
        <v>49</v>
      </c>
      <c r="AE622" t="s">
        <v>62</v>
      </c>
      <c r="AF622" s="5">
        <f>DATE(YEAR(C622),MONTH(C622),1)</f>
        <v>45962</v>
      </c>
      <c r="AG622">
        <f>E622-D622</f>
        <v>10</v>
      </c>
      <c r="AH622" s="6">
        <f t="shared" si="9"/>
        <v>64.186204085230145</v>
      </c>
    </row>
    <row r="623" spans="1:34">
      <c r="A623" t="s">
        <v>1359</v>
      </c>
      <c r="B623" t="s">
        <v>1360</v>
      </c>
      <c r="C623" s="1">
        <v>45693</v>
      </c>
      <c r="D623" s="1">
        <v>45694</v>
      </c>
      <c r="E623" s="1">
        <v>45722</v>
      </c>
      <c r="F623" t="s">
        <v>234</v>
      </c>
      <c r="G623" t="s">
        <v>111</v>
      </c>
      <c r="H623" t="s">
        <v>150</v>
      </c>
      <c r="I623" t="s">
        <v>57</v>
      </c>
      <c r="J623" t="s">
        <v>98</v>
      </c>
      <c r="K623" t="s">
        <v>99</v>
      </c>
      <c r="L623" t="s">
        <v>78</v>
      </c>
      <c r="M623" t="s">
        <v>68</v>
      </c>
      <c r="N623">
        <v>2</v>
      </c>
      <c r="O623" t="s">
        <v>105</v>
      </c>
      <c r="P623" s="48">
        <v>38022.29</v>
      </c>
      <c r="Q623" s="48">
        <v>8641.0300000000007</v>
      </c>
      <c r="R623" s="48">
        <v>2071.2399999999998</v>
      </c>
      <c r="S623" s="48">
        <v>688.41</v>
      </c>
      <c r="T623" s="48">
        <v>380.22</v>
      </c>
      <c r="U623" s="48">
        <v>669</v>
      </c>
      <c r="V623" s="48">
        <v>1625.29</v>
      </c>
      <c r="W623" s="48">
        <v>23947.1</v>
      </c>
      <c r="X623">
        <v>24</v>
      </c>
      <c r="Y623" t="s">
        <v>101</v>
      </c>
      <c r="Z623">
        <v>72.010000000000005</v>
      </c>
      <c r="AA623" t="s">
        <v>91</v>
      </c>
      <c r="AB623" t="s">
        <v>47</v>
      </c>
      <c r="AC623" t="s">
        <v>60</v>
      </c>
      <c r="AD623" t="s">
        <v>61</v>
      </c>
      <c r="AE623" t="s">
        <v>71</v>
      </c>
      <c r="AF623" s="5">
        <f>DATE(YEAR(C623),MONTH(C623),1)</f>
        <v>45689</v>
      </c>
      <c r="AG623">
        <f>E623-D623</f>
        <v>28</v>
      </c>
      <c r="AH623" s="6">
        <f t="shared" si="9"/>
        <v>62.981740447511179</v>
      </c>
    </row>
    <row r="624" spans="1:34">
      <c r="A624" t="s">
        <v>1361</v>
      </c>
      <c r="B624" t="s">
        <v>1362</v>
      </c>
      <c r="C624" s="1">
        <v>45713</v>
      </c>
      <c r="D624" s="1">
        <v>45714</v>
      </c>
      <c r="E624" s="1">
        <v>45731</v>
      </c>
      <c r="F624" t="s">
        <v>149</v>
      </c>
      <c r="G624" t="s">
        <v>111</v>
      </c>
      <c r="H624" t="s">
        <v>150</v>
      </c>
      <c r="I624" t="s">
        <v>115</v>
      </c>
      <c r="J624" t="s">
        <v>98</v>
      </c>
      <c r="K624" t="s">
        <v>99</v>
      </c>
      <c r="L624" t="s">
        <v>124</v>
      </c>
      <c r="M624" t="s">
        <v>68</v>
      </c>
      <c r="N624">
        <v>2</v>
      </c>
      <c r="O624" t="s">
        <v>80</v>
      </c>
      <c r="P624" s="48">
        <v>42894.1</v>
      </c>
      <c r="Q624" s="48">
        <v>8616.2099999999991</v>
      </c>
      <c r="R624" s="48">
        <v>2371.4499999999998</v>
      </c>
      <c r="S624" s="48">
        <v>520.05999999999995</v>
      </c>
      <c r="T624" s="48">
        <v>428.94</v>
      </c>
      <c r="U624" s="48">
        <v>292.27</v>
      </c>
      <c r="V624" s="48">
        <v>1936.7</v>
      </c>
      <c r="W624" s="48">
        <v>28728.47</v>
      </c>
      <c r="X624">
        <v>4</v>
      </c>
      <c r="Y624" t="s">
        <v>117</v>
      </c>
      <c r="Z624">
        <v>71.8</v>
      </c>
      <c r="AA624" t="s">
        <v>91</v>
      </c>
      <c r="AB624" t="s">
        <v>47</v>
      </c>
      <c r="AC624" t="s">
        <v>70</v>
      </c>
      <c r="AD624" t="s">
        <v>130</v>
      </c>
      <c r="AE624" t="s">
        <v>50</v>
      </c>
      <c r="AF624" s="5">
        <f>DATE(YEAR(C624),MONTH(C624),1)</f>
        <v>45689</v>
      </c>
      <c r="AG624">
        <f>E624-D624</f>
        <v>17</v>
      </c>
      <c r="AH624" s="6">
        <f t="shared" si="9"/>
        <v>66.975341597096104</v>
      </c>
    </row>
    <row r="625" spans="1:34">
      <c r="A625" t="s">
        <v>1363</v>
      </c>
      <c r="B625" t="s">
        <v>1364</v>
      </c>
      <c r="C625" s="1">
        <v>45860</v>
      </c>
      <c r="D625" s="1">
        <v>45861</v>
      </c>
      <c r="E625" s="1">
        <v>45882</v>
      </c>
      <c r="F625" t="s">
        <v>65</v>
      </c>
      <c r="G625" t="s">
        <v>66</v>
      </c>
      <c r="H625" t="s">
        <v>67</v>
      </c>
      <c r="I625" t="s">
        <v>98</v>
      </c>
      <c r="J625" t="s">
        <v>122</v>
      </c>
      <c r="K625" t="s">
        <v>41</v>
      </c>
      <c r="L625" t="s">
        <v>78</v>
      </c>
      <c r="M625" t="s">
        <v>79</v>
      </c>
      <c r="N625">
        <v>1</v>
      </c>
      <c r="O625" t="s">
        <v>80</v>
      </c>
      <c r="P625" s="48">
        <v>30465.05</v>
      </c>
      <c r="Q625" s="48">
        <v>8606.6</v>
      </c>
      <c r="R625" s="48">
        <v>1660.11</v>
      </c>
      <c r="S625" s="48">
        <v>476.6</v>
      </c>
      <c r="T625" s="48">
        <v>304.64999999999998</v>
      </c>
      <c r="U625" s="48">
        <v>455.83</v>
      </c>
      <c r="V625" s="48">
        <v>1750.7</v>
      </c>
      <c r="W625" s="48">
        <v>17210.560000000001</v>
      </c>
      <c r="X625">
        <v>48</v>
      </c>
      <c r="Y625" t="s">
        <v>112</v>
      </c>
      <c r="Z625">
        <v>71.72</v>
      </c>
      <c r="AA625" t="s">
        <v>91</v>
      </c>
      <c r="AB625" t="s">
        <v>92</v>
      </c>
      <c r="AC625" t="s">
        <v>60</v>
      </c>
      <c r="AD625" t="s">
        <v>130</v>
      </c>
      <c r="AE625" t="s">
        <v>50</v>
      </c>
      <c r="AF625" s="5">
        <f>DATE(YEAR(C625),MONTH(C625),1)</f>
        <v>45839</v>
      </c>
      <c r="AG625">
        <f>E625-D625</f>
        <v>21</v>
      </c>
      <c r="AH625" s="6">
        <f t="shared" si="9"/>
        <v>56.492800766780306</v>
      </c>
    </row>
    <row r="626" spans="1:34">
      <c r="A626" t="s">
        <v>1365</v>
      </c>
      <c r="B626" t="s">
        <v>1366</v>
      </c>
      <c r="C626" s="1">
        <v>45744</v>
      </c>
      <c r="D626" s="1">
        <v>45747</v>
      </c>
      <c r="E626" s="1">
        <v>45775</v>
      </c>
      <c r="F626" t="s">
        <v>83</v>
      </c>
      <c r="G626" t="s">
        <v>84</v>
      </c>
      <c r="H626" t="s">
        <v>85</v>
      </c>
      <c r="I626" t="s">
        <v>40</v>
      </c>
      <c r="J626" t="s">
        <v>122</v>
      </c>
      <c r="K626" t="s">
        <v>123</v>
      </c>
      <c r="L626" t="s">
        <v>42</v>
      </c>
      <c r="M626" t="s">
        <v>43</v>
      </c>
      <c r="N626">
        <v>2</v>
      </c>
      <c r="O626" t="s">
        <v>105</v>
      </c>
      <c r="P626" s="48">
        <v>40157.08</v>
      </c>
      <c r="Q626" s="48">
        <v>8599.4</v>
      </c>
      <c r="R626" s="48">
        <v>2762.53</v>
      </c>
      <c r="S626" s="48">
        <v>944.79</v>
      </c>
      <c r="T626" s="48">
        <v>401.57</v>
      </c>
      <c r="U626" s="48">
        <v>521.1</v>
      </c>
      <c r="V626" s="48">
        <v>923.36</v>
      </c>
      <c r="W626" s="48">
        <v>26004.33</v>
      </c>
      <c r="X626">
        <v>12</v>
      </c>
      <c r="Y626" t="s">
        <v>112</v>
      </c>
      <c r="Z626">
        <v>71.66</v>
      </c>
      <c r="AA626" t="s">
        <v>91</v>
      </c>
      <c r="AB626" t="s">
        <v>92</v>
      </c>
      <c r="AC626" t="s">
        <v>70</v>
      </c>
      <c r="AD626" t="s">
        <v>61</v>
      </c>
      <c r="AE626" t="s">
        <v>62</v>
      </c>
      <c r="AF626" s="5">
        <f>DATE(YEAR(C626),MONTH(C626),1)</f>
        <v>45717</v>
      </c>
      <c r="AG626">
        <f>E626-D626</f>
        <v>28</v>
      </c>
      <c r="AH626" s="6">
        <f t="shared" si="9"/>
        <v>64.756526121919222</v>
      </c>
    </row>
    <row r="627" spans="1:34">
      <c r="A627" t="s">
        <v>1367</v>
      </c>
      <c r="B627" t="s">
        <v>1368</v>
      </c>
      <c r="C627" s="1">
        <v>45917</v>
      </c>
      <c r="D627" s="1">
        <v>45918</v>
      </c>
      <c r="E627" s="1">
        <v>45938</v>
      </c>
      <c r="F627" t="s">
        <v>65</v>
      </c>
      <c r="G627" t="s">
        <v>66</v>
      </c>
      <c r="H627" t="s">
        <v>67</v>
      </c>
      <c r="I627" t="s">
        <v>57</v>
      </c>
      <c r="J627" t="s">
        <v>87</v>
      </c>
      <c r="K627" t="s">
        <v>41</v>
      </c>
      <c r="L627" t="s">
        <v>42</v>
      </c>
      <c r="M627" t="s">
        <v>68</v>
      </c>
      <c r="N627">
        <v>2</v>
      </c>
      <c r="O627" t="s">
        <v>44</v>
      </c>
      <c r="P627" s="48">
        <v>33875.339999999997</v>
      </c>
      <c r="Q627" s="48">
        <v>8574.74</v>
      </c>
      <c r="R627" s="48">
        <v>1370.58</v>
      </c>
      <c r="S627" s="48">
        <v>682.01</v>
      </c>
      <c r="T627" s="48">
        <v>338.75</v>
      </c>
      <c r="U627" s="48">
        <v>293.29000000000002</v>
      </c>
      <c r="V627" s="48">
        <v>2261.84</v>
      </c>
      <c r="W627" s="48">
        <v>20354.13</v>
      </c>
      <c r="X627">
        <v>0</v>
      </c>
      <c r="Y627" t="s">
        <v>45</v>
      </c>
      <c r="Z627">
        <v>71.459999999999994</v>
      </c>
      <c r="AA627" t="s">
        <v>46</v>
      </c>
      <c r="AB627" t="s">
        <v>47</v>
      </c>
      <c r="AC627" t="s">
        <v>48</v>
      </c>
      <c r="AD627" t="s">
        <v>61</v>
      </c>
      <c r="AE627" t="s">
        <v>62</v>
      </c>
      <c r="AF627" s="5">
        <f>DATE(YEAR(C627),MONTH(C627),1)</f>
        <v>45901</v>
      </c>
      <c r="AG627">
        <f>E627-D627</f>
        <v>20</v>
      </c>
      <c r="AH627" s="6">
        <f t="shared" si="9"/>
        <v>60.08538954885767</v>
      </c>
    </row>
    <row r="628" spans="1:34">
      <c r="A628" t="s">
        <v>1369</v>
      </c>
      <c r="B628" t="s">
        <v>1370</v>
      </c>
      <c r="C628" s="1">
        <v>45746</v>
      </c>
      <c r="D628" s="1">
        <v>45747</v>
      </c>
      <c r="E628" s="1">
        <v>45767</v>
      </c>
      <c r="F628" t="s">
        <v>180</v>
      </c>
      <c r="G628" t="s">
        <v>181</v>
      </c>
      <c r="H628" t="s">
        <v>38</v>
      </c>
      <c r="I628" t="s">
        <v>57</v>
      </c>
      <c r="J628" t="s">
        <v>98</v>
      </c>
      <c r="K628" t="s">
        <v>99</v>
      </c>
      <c r="L628" t="s">
        <v>59</v>
      </c>
      <c r="M628" t="s">
        <v>68</v>
      </c>
      <c r="N628">
        <v>4</v>
      </c>
      <c r="O628" t="s">
        <v>80</v>
      </c>
      <c r="P628" s="48">
        <v>37276.01</v>
      </c>
      <c r="Q628" s="48">
        <v>8550.9599999999991</v>
      </c>
      <c r="R628" s="48">
        <v>2409.89</v>
      </c>
      <c r="S628" s="48">
        <v>485.17</v>
      </c>
      <c r="T628" s="48">
        <v>372.76</v>
      </c>
      <c r="U628" s="48">
        <v>616.89</v>
      </c>
      <c r="V628" s="48">
        <v>837.74</v>
      </c>
      <c r="W628" s="48">
        <v>24002.6</v>
      </c>
      <c r="X628">
        <v>0</v>
      </c>
      <c r="Y628" t="s">
        <v>45</v>
      </c>
      <c r="Z628">
        <v>71.260000000000005</v>
      </c>
      <c r="AA628" t="s">
        <v>46</v>
      </c>
      <c r="AB628" t="s">
        <v>92</v>
      </c>
      <c r="AC628" t="s">
        <v>48</v>
      </c>
      <c r="AD628" t="s">
        <v>61</v>
      </c>
      <c r="AE628" t="s">
        <v>71</v>
      </c>
      <c r="AF628" s="5">
        <f>DATE(YEAR(C628),MONTH(C628),1)</f>
        <v>45717</v>
      </c>
      <c r="AG628">
        <f>E628-D628</f>
        <v>20</v>
      </c>
      <c r="AH628" s="6">
        <f t="shared" si="9"/>
        <v>64.391548344364097</v>
      </c>
    </row>
    <row r="629" spans="1:34">
      <c r="A629" t="s">
        <v>1371</v>
      </c>
      <c r="B629" t="s">
        <v>1372</v>
      </c>
      <c r="C629" s="1">
        <v>45864</v>
      </c>
      <c r="D629" s="1">
        <v>45866</v>
      </c>
      <c r="E629" s="1">
        <v>45883</v>
      </c>
      <c r="F629" t="s">
        <v>53</v>
      </c>
      <c r="G629" t="s">
        <v>54</v>
      </c>
      <c r="H629" t="s">
        <v>55</v>
      </c>
      <c r="I629" t="s">
        <v>115</v>
      </c>
      <c r="J629" t="s">
        <v>115</v>
      </c>
      <c r="K629" t="s">
        <v>41</v>
      </c>
      <c r="L629" t="s">
        <v>59</v>
      </c>
      <c r="M629" t="s">
        <v>79</v>
      </c>
      <c r="N629">
        <v>2</v>
      </c>
      <c r="O629" t="s">
        <v>111</v>
      </c>
      <c r="P629" s="48">
        <v>34553.5</v>
      </c>
      <c r="Q629" s="48">
        <v>8542.73</v>
      </c>
      <c r="R629" s="48">
        <v>1764.98</v>
      </c>
      <c r="S629" s="48">
        <v>889.98</v>
      </c>
      <c r="T629" s="48">
        <v>345.54</v>
      </c>
      <c r="U629" s="48">
        <v>108.69</v>
      </c>
      <c r="V629" s="48">
        <v>927.67</v>
      </c>
      <c r="W629" s="48">
        <v>21973.91</v>
      </c>
      <c r="X629">
        <v>0</v>
      </c>
      <c r="Y629" t="s">
        <v>45</v>
      </c>
      <c r="Z629">
        <v>71.19</v>
      </c>
      <c r="AA629" t="s">
        <v>46</v>
      </c>
      <c r="AB629" t="s">
        <v>92</v>
      </c>
      <c r="AC629" t="s">
        <v>48</v>
      </c>
      <c r="AD629" t="s">
        <v>144</v>
      </c>
      <c r="AE629" t="s">
        <v>102</v>
      </c>
      <c r="AF629" s="5">
        <f>DATE(YEAR(C629),MONTH(C629),1)</f>
        <v>45839</v>
      </c>
      <c r="AG629">
        <f>E629-D629</f>
        <v>17</v>
      </c>
      <c r="AH629" s="6">
        <f t="shared" si="9"/>
        <v>63.593876163051497</v>
      </c>
    </row>
    <row r="630" spans="1:34">
      <c r="A630" t="s">
        <v>1373</v>
      </c>
      <c r="B630" t="s">
        <v>1374</v>
      </c>
      <c r="C630" s="1">
        <v>46014</v>
      </c>
      <c r="D630" s="1">
        <v>46016</v>
      </c>
      <c r="E630" s="1">
        <v>46030</v>
      </c>
      <c r="F630" t="s">
        <v>36</v>
      </c>
      <c r="G630" t="s">
        <v>37</v>
      </c>
      <c r="H630" t="s">
        <v>38</v>
      </c>
      <c r="I630" t="s">
        <v>86</v>
      </c>
      <c r="J630" t="s">
        <v>87</v>
      </c>
      <c r="K630" t="s">
        <v>88</v>
      </c>
      <c r="L630" t="s">
        <v>42</v>
      </c>
      <c r="M630" t="s">
        <v>68</v>
      </c>
      <c r="N630">
        <v>2</v>
      </c>
      <c r="O630" t="s">
        <v>54</v>
      </c>
      <c r="P630" s="48">
        <v>43917.24</v>
      </c>
      <c r="Q630" s="48">
        <v>8495.34</v>
      </c>
      <c r="R630" s="48">
        <v>2700.68</v>
      </c>
      <c r="S630" s="48">
        <v>475.6</v>
      </c>
      <c r="T630" s="48">
        <v>439.17</v>
      </c>
      <c r="U630" s="48">
        <v>248.18</v>
      </c>
      <c r="V630" s="48">
        <v>2189.21</v>
      </c>
      <c r="W630" s="48">
        <v>29369.06</v>
      </c>
      <c r="X630">
        <v>8</v>
      </c>
      <c r="Y630" t="s">
        <v>135</v>
      </c>
      <c r="Z630">
        <v>70.790000000000006</v>
      </c>
      <c r="AA630" t="s">
        <v>91</v>
      </c>
      <c r="AB630" t="s">
        <v>47</v>
      </c>
      <c r="AC630" t="s">
        <v>70</v>
      </c>
      <c r="AD630" t="s">
        <v>144</v>
      </c>
      <c r="AE630" t="s">
        <v>71</v>
      </c>
      <c r="AF630" s="5">
        <f>DATE(YEAR(C630),MONTH(C630),1)</f>
        <v>45992</v>
      </c>
      <c r="AG630">
        <f>E630-D630</f>
        <v>14</v>
      </c>
      <c r="AH630" s="6">
        <f t="shared" si="9"/>
        <v>66.873646886735145</v>
      </c>
    </row>
    <row r="631" spans="1:34">
      <c r="A631" t="s">
        <v>1375</v>
      </c>
      <c r="B631" t="s">
        <v>1376</v>
      </c>
      <c r="C631" s="1">
        <v>45716</v>
      </c>
      <c r="D631" s="1">
        <v>45718</v>
      </c>
      <c r="E631" s="1">
        <v>45733</v>
      </c>
      <c r="F631" t="s">
        <v>180</v>
      </c>
      <c r="G631" t="s">
        <v>181</v>
      </c>
      <c r="H631" t="s">
        <v>38</v>
      </c>
      <c r="I631" t="s">
        <v>115</v>
      </c>
      <c r="J631" t="s">
        <v>98</v>
      </c>
      <c r="K631" t="s">
        <v>99</v>
      </c>
      <c r="L631" t="s">
        <v>124</v>
      </c>
      <c r="M631" t="s">
        <v>68</v>
      </c>
      <c r="N631">
        <v>2</v>
      </c>
      <c r="O631" t="s">
        <v>105</v>
      </c>
      <c r="P631" s="48">
        <v>49283.24</v>
      </c>
      <c r="Q631" s="48">
        <v>8483.15</v>
      </c>
      <c r="R631" s="48">
        <v>3610.44</v>
      </c>
      <c r="S631" s="48">
        <v>1449.14</v>
      </c>
      <c r="T631" s="48">
        <v>492.83</v>
      </c>
      <c r="U631" s="48">
        <v>409.52</v>
      </c>
      <c r="V631" s="48">
        <v>587.51</v>
      </c>
      <c r="W631" s="48">
        <v>34250.65</v>
      </c>
      <c r="X631">
        <v>8</v>
      </c>
      <c r="Y631" t="s">
        <v>117</v>
      </c>
      <c r="Z631">
        <v>70.69</v>
      </c>
      <c r="AA631" t="s">
        <v>91</v>
      </c>
      <c r="AB631" t="s">
        <v>47</v>
      </c>
      <c r="AC631" t="s">
        <v>70</v>
      </c>
      <c r="AD631" t="s">
        <v>49</v>
      </c>
      <c r="AE631" t="s">
        <v>62</v>
      </c>
      <c r="AF631" s="5">
        <f>DATE(YEAR(C631),MONTH(C631),1)</f>
        <v>45689</v>
      </c>
      <c r="AG631">
        <f>E631-D631</f>
        <v>15</v>
      </c>
      <c r="AH631" s="6">
        <f t="shared" si="9"/>
        <v>69.497561442794748</v>
      </c>
    </row>
    <row r="632" spans="1:34">
      <c r="A632" t="s">
        <v>1377</v>
      </c>
      <c r="B632" t="s">
        <v>1378</v>
      </c>
      <c r="C632" s="1">
        <v>45668</v>
      </c>
      <c r="D632" s="1">
        <v>45671</v>
      </c>
      <c r="E632" s="1">
        <v>45684</v>
      </c>
      <c r="F632" t="s">
        <v>74</v>
      </c>
      <c r="G632" t="s">
        <v>75</v>
      </c>
      <c r="H632" t="s">
        <v>76</v>
      </c>
      <c r="I632" t="s">
        <v>115</v>
      </c>
      <c r="J632" t="s">
        <v>57</v>
      </c>
      <c r="K632" t="s">
        <v>41</v>
      </c>
      <c r="L632" t="s">
        <v>155</v>
      </c>
      <c r="M632" t="s">
        <v>108</v>
      </c>
      <c r="N632">
        <v>4</v>
      </c>
      <c r="O632" t="s">
        <v>69</v>
      </c>
      <c r="P632" s="48">
        <v>31282.06</v>
      </c>
      <c r="Q632" s="48">
        <v>8474.48</v>
      </c>
      <c r="R632" s="48">
        <v>2219.6</v>
      </c>
      <c r="S632" s="48">
        <v>390.07</v>
      </c>
      <c r="T632" s="48">
        <v>312.82</v>
      </c>
      <c r="U632" s="48">
        <v>828.68</v>
      </c>
      <c r="V632" s="48">
        <v>1672.76</v>
      </c>
      <c r="W632" s="48">
        <v>17383.650000000001</v>
      </c>
      <c r="X632">
        <v>0</v>
      </c>
      <c r="Y632" t="s">
        <v>45</v>
      </c>
      <c r="Z632">
        <v>70.62</v>
      </c>
      <c r="AA632" t="s">
        <v>46</v>
      </c>
      <c r="AB632" t="s">
        <v>92</v>
      </c>
      <c r="AC632" t="s">
        <v>60</v>
      </c>
      <c r="AD632" t="s">
        <v>49</v>
      </c>
      <c r="AE632" t="s">
        <v>71</v>
      </c>
      <c r="AF632" s="5">
        <f>DATE(YEAR(C632),MONTH(C632),1)</f>
        <v>45658</v>
      </c>
      <c r="AG632">
        <f>E632-D632</f>
        <v>13</v>
      </c>
      <c r="AH632" s="6">
        <f t="shared" si="9"/>
        <v>55.570668939321777</v>
      </c>
    </row>
    <row r="633" spans="1:34">
      <c r="A633" t="s">
        <v>1379</v>
      </c>
      <c r="B633" t="s">
        <v>1380</v>
      </c>
      <c r="C633" s="1">
        <v>45874</v>
      </c>
      <c r="D633" s="1">
        <v>45875</v>
      </c>
      <c r="E633" s="1">
        <v>45888</v>
      </c>
      <c r="F633" t="s">
        <v>74</v>
      </c>
      <c r="G633" t="s">
        <v>75</v>
      </c>
      <c r="H633" t="s">
        <v>76</v>
      </c>
      <c r="I633" t="s">
        <v>115</v>
      </c>
      <c r="J633" t="s">
        <v>98</v>
      </c>
      <c r="K633" t="s">
        <v>99</v>
      </c>
      <c r="L633" t="s">
        <v>116</v>
      </c>
      <c r="M633" t="s">
        <v>108</v>
      </c>
      <c r="N633">
        <v>1</v>
      </c>
      <c r="O633" t="s">
        <v>54</v>
      </c>
      <c r="P633" s="48">
        <v>39776.410000000003</v>
      </c>
      <c r="Q633" s="48">
        <v>8466.7199999999993</v>
      </c>
      <c r="R633" s="48">
        <v>2760.72</v>
      </c>
      <c r="S633" s="48">
        <v>603.38</v>
      </c>
      <c r="T633" s="48">
        <v>397.76</v>
      </c>
      <c r="U633" s="48">
        <v>651.30999999999995</v>
      </c>
      <c r="V633" s="48">
        <v>1608.54</v>
      </c>
      <c r="W633" s="48">
        <v>25287.98</v>
      </c>
      <c r="X633">
        <v>48</v>
      </c>
      <c r="Y633" t="s">
        <v>90</v>
      </c>
      <c r="Z633">
        <v>70.56</v>
      </c>
      <c r="AA633" t="s">
        <v>91</v>
      </c>
      <c r="AB633" t="s">
        <v>92</v>
      </c>
      <c r="AC633" t="s">
        <v>48</v>
      </c>
      <c r="AD633" t="s">
        <v>130</v>
      </c>
      <c r="AE633" t="s">
        <v>71</v>
      </c>
      <c r="AF633" s="5">
        <f>DATE(YEAR(C633),MONTH(C633),1)</f>
        <v>45870</v>
      </c>
      <c r="AG633">
        <f>E633-D633</f>
        <v>13</v>
      </c>
      <c r="AH633" s="6">
        <f t="shared" si="9"/>
        <v>63.5753201457849</v>
      </c>
    </row>
    <row r="634" spans="1:34">
      <c r="A634" t="s">
        <v>1381</v>
      </c>
      <c r="B634" t="s">
        <v>1382</v>
      </c>
      <c r="C634" s="1">
        <v>45946</v>
      </c>
      <c r="D634" s="1">
        <v>45949</v>
      </c>
      <c r="E634" s="1">
        <v>45968</v>
      </c>
      <c r="F634" t="s">
        <v>65</v>
      </c>
      <c r="G634" t="s">
        <v>66</v>
      </c>
      <c r="H634" t="s">
        <v>67</v>
      </c>
      <c r="I634" t="s">
        <v>87</v>
      </c>
      <c r="J634" t="s">
        <v>122</v>
      </c>
      <c r="K634" t="s">
        <v>41</v>
      </c>
      <c r="L634" t="s">
        <v>59</v>
      </c>
      <c r="M634" t="s">
        <v>108</v>
      </c>
      <c r="N634">
        <v>4</v>
      </c>
      <c r="O634" t="s">
        <v>89</v>
      </c>
      <c r="P634" s="48">
        <v>46162.080000000002</v>
      </c>
      <c r="Q634" s="48">
        <v>8459.3700000000008</v>
      </c>
      <c r="R634" s="48">
        <v>2591.7800000000002</v>
      </c>
      <c r="S634" s="48">
        <v>1007.49</v>
      </c>
      <c r="T634" s="48">
        <v>461.62</v>
      </c>
      <c r="U634" s="48">
        <v>642.36</v>
      </c>
      <c r="V634" s="48">
        <v>326.74</v>
      </c>
      <c r="W634" s="48">
        <v>32672.720000000001</v>
      </c>
      <c r="X634">
        <v>0</v>
      </c>
      <c r="Y634" t="s">
        <v>45</v>
      </c>
      <c r="Z634">
        <v>70.489999999999995</v>
      </c>
      <c r="AA634" t="s">
        <v>46</v>
      </c>
      <c r="AB634" t="s">
        <v>92</v>
      </c>
      <c r="AC634" t="s">
        <v>60</v>
      </c>
      <c r="AD634" t="s">
        <v>49</v>
      </c>
      <c r="AE634" t="s">
        <v>62</v>
      </c>
      <c r="AF634" s="5">
        <f>DATE(YEAR(C634),MONTH(C634),1)</f>
        <v>45931</v>
      </c>
      <c r="AG634">
        <f>E634-D634</f>
        <v>19</v>
      </c>
      <c r="AH634" s="6">
        <f t="shared" si="9"/>
        <v>70.778266490591406</v>
      </c>
    </row>
    <row r="635" spans="1:34">
      <c r="A635" t="s">
        <v>1383</v>
      </c>
      <c r="B635" t="s">
        <v>1384</v>
      </c>
      <c r="C635" s="1">
        <v>45883</v>
      </c>
      <c r="D635" s="1">
        <v>45886</v>
      </c>
      <c r="E635" s="1">
        <v>45914</v>
      </c>
      <c r="F635" t="s">
        <v>149</v>
      </c>
      <c r="G635" t="s">
        <v>111</v>
      </c>
      <c r="H635" t="s">
        <v>150</v>
      </c>
      <c r="I635" t="s">
        <v>56</v>
      </c>
      <c r="J635" t="s">
        <v>77</v>
      </c>
      <c r="K635" t="s">
        <v>41</v>
      </c>
      <c r="L635" t="s">
        <v>116</v>
      </c>
      <c r="M635" t="s">
        <v>43</v>
      </c>
      <c r="N635">
        <v>1</v>
      </c>
      <c r="O635" t="s">
        <v>105</v>
      </c>
      <c r="P635" s="48">
        <v>40914.449999999997</v>
      </c>
      <c r="Q635" s="48">
        <v>8449.39</v>
      </c>
      <c r="R635" s="48">
        <v>2618.9299999999998</v>
      </c>
      <c r="S635" s="48">
        <v>1189.95</v>
      </c>
      <c r="T635" s="48">
        <v>409.14</v>
      </c>
      <c r="U635" s="48">
        <v>668.72</v>
      </c>
      <c r="V635" s="48">
        <v>1180.77</v>
      </c>
      <c r="W635" s="48">
        <v>26397.55</v>
      </c>
      <c r="X635">
        <v>48</v>
      </c>
      <c r="Y635" t="s">
        <v>112</v>
      </c>
      <c r="Z635">
        <v>70.41</v>
      </c>
      <c r="AA635" t="s">
        <v>91</v>
      </c>
      <c r="AB635" t="s">
        <v>47</v>
      </c>
      <c r="AC635" t="s">
        <v>60</v>
      </c>
      <c r="AD635" t="s">
        <v>130</v>
      </c>
      <c r="AE635" t="s">
        <v>50</v>
      </c>
      <c r="AF635" s="5">
        <f>DATE(YEAR(C635),MONTH(C635),1)</f>
        <v>45870</v>
      </c>
      <c r="AG635">
        <f>E635-D635</f>
        <v>28</v>
      </c>
      <c r="AH635" s="6">
        <f t="shared" si="9"/>
        <v>64.51889246953094</v>
      </c>
    </row>
    <row r="636" spans="1:34">
      <c r="A636" t="s">
        <v>1385</v>
      </c>
      <c r="B636" t="s">
        <v>1386</v>
      </c>
      <c r="C636" s="1">
        <v>45886</v>
      </c>
      <c r="D636" s="1">
        <v>45889</v>
      </c>
      <c r="E636" s="1">
        <v>45914</v>
      </c>
      <c r="F636" t="s">
        <v>53</v>
      </c>
      <c r="G636" t="s">
        <v>54</v>
      </c>
      <c r="H636" t="s">
        <v>55</v>
      </c>
      <c r="I636" t="s">
        <v>56</v>
      </c>
      <c r="J636" t="s">
        <v>57</v>
      </c>
      <c r="K636" t="s">
        <v>58</v>
      </c>
      <c r="L636" t="s">
        <v>59</v>
      </c>
      <c r="M636" t="s">
        <v>108</v>
      </c>
      <c r="N636">
        <v>1</v>
      </c>
      <c r="O636" t="s">
        <v>80</v>
      </c>
      <c r="P636" s="48">
        <v>42605.2</v>
      </c>
      <c r="Q636" s="48">
        <v>8416.6299999999992</v>
      </c>
      <c r="R636" s="48">
        <v>1847.34</v>
      </c>
      <c r="S636" s="48">
        <v>1266.23</v>
      </c>
      <c r="T636" s="48">
        <v>426.05</v>
      </c>
      <c r="U636" s="48">
        <v>460.06</v>
      </c>
      <c r="V636" s="48">
        <v>1178.01</v>
      </c>
      <c r="W636" s="48">
        <v>29010.880000000001</v>
      </c>
      <c r="X636">
        <v>8</v>
      </c>
      <c r="Y636" t="s">
        <v>117</v>
      </c>
      <c r="Z636">
        <v>70.14</v>
      </c>
      <c r="AA636" t="s">
        <v>91</v>
      </c>
      <c r="AB636" t="s">
        <v>92</v>
      </c>
      <c r="AC636" t="s">
        <v>48</v>
      </c>
      <c r="AD636" t="s">
        <v>144</v>
      </c>
      <c r="AE636" t="s">
        <v>62</v>
      </c>
      <c r="AF636" s="5">
        <f>DATE(YEAR(C636),MONTH(C636),1)</f>
        <v>45870</v>
      </c>
      <c r="AG636">
        <f>E636-D636</f>
        <v>25</v>
      </c>
      <c r="AH636" s="6">
        <f t="shared" si="9"/>
        <v>68.092345535286782</v>
      </c>
    </row>
    <row r="637" spans="1:34">
      <c r="A637" t="s">
        <v>1387</v>
      </c>
      <c r="B637" t="s">
        <v>1388</v>
      </c>
      <c r="C637" s="1">
        <v>45890</v>
      </c>
      <c r="D637" s="1">
        <v>45893</v>
      </c>
      <c r="E637" s="1">
        <v>45921</v>
      </c>
      <c r="F637" t="s">
        <v>180</v>
      </c>
      <c r="G637" t="s">
        <v>181</v>
      </c>
      <c r="H637" t="s">
        <v>38</v>
      </c>
      <c r="I637" t="s">
        <v>115</v>
      </c>
      <c r="J637" t="s">
        <v>98</v>
      </c>
      <c r="K637" t="s">
        <v>99</v>
      </c>
      <c r="L637" t="s">
        <v>42</v>
      </c>
      <c r="M637" t="s">
        <v>79</v>
      </c>
      <c r="N637">
        <v>2</v>
      </c>
      <c r="O637" t="s">
        <v>80</v>
      </c>
      <c r="P637" s="48">
        <v>42387.839999999997</v>
      </c>
      <c r="Q637" s="48">
        <v>8401.5</v>
      </c>
      <c r="R637" s="48">
        <v>2251.9699999999998</v>
      </c>
      <c r="S637" s="48">
        <v>946.59</v>
      </c>
      <c r="T637" s="48">
        <v>423.88</v>
      </c>
      <c r="U637" s="48">
        <v>539.91999999999996</v>
      </c>
      <c r="V637" s="48">
        <v>756.01</v>
      </c>
      <c r="W637" s="48">
        <v>29067.97</v>
      </c>
      <c r="X637">
        <v>0</v>
      </c>
      <c r="Y637" t="s">
        <v>45</v>
      </c>
      <c r="Z637">
        <v>70.010000000000005</v>
      </c>
      <c r="AA637" t="s">
        <v>46</v>
      </c>
      <c r="AB637" t="s">
        <v>92</v>
      </c>
      <c r="AC637" t="s">
        <v>70</v>
      </c>
      <c r="AD637" t="s">
        <v>130</v>
      </c>
      <c r="AE637" t="s">
        <v>62</v>
      </c>
      <c r="AF637" s="5">
        <f>DATE(YEAR(C637),MONTH(C637),1)</f>
        <v>45870</v>
      </c>
      <c r="AG637">
        <f>E637-D637</f>
        <v>28</v>
      </c>
      <c r="AH637" s="6">
        <f t="shared" si="9"/>
        <v>68.576200155516304</v>
      </c>
    </row>
    <row r="638" spans="1:34">
      <c r="A638" t="s">
        <v>1389</v>
      </c>
      <c r="B638" t="s">
        <v>1390</v>
      </c>
      <c r="C638" s="1">
        <v>45877</v>
      </c>
      <c r="D638" s="1">
        <v>45881</v>
      </c>
      <c r="E638" s="1">
        <v>45892</v>
      </c>
      <c r="F638" t="s">
        <v>36</v>
      </c>
      <c r="G638" t="s">
        <v>37</v>
      </c>
      <c r="H638" t="s">
        <v>38</v>
      </c>
      <c r="I638" t="s">
        <v>122</v>
      </c>
      <c r="J638" t="s">
        <v>87</v>
      </c>
      <c r="K638" t="s">
        <v>41</v>
      </c>
      <c r="L638" t="s">
        <v>155</v>
      </c>
      <c r="M638" t="s">
        <v>68</v>
      </c>
      <c r="N638">
        <v>2</v>
      </c>
      <c r="O638" t="s">
        <v>111</v>
      </c>
      <c r="P638" s="48">
        <v>28767.61</v>
      </c>
      <c r="Q638" s="48">
        <v>8371.75</v>
      </c>
      <c r="R638" s="48">
        <v>1822</v>
      </c>
      <c r="S638" s="48">
        <v>781.31</v>
      </c>
      <c r="T638" s="48">
        <v>287.68</v>
      </c>
      <c r="U638" s="48">
        <v>712.09</v>
      </c>
      <c r="V638" s="48">
        <v>844.16</v>
      </c>
      <c r="W638" s="48">
        <v>15948.62</v>
      </c>
      <c r="X638">
        <v>4</v>
      </c>
      <c r="Y638" t="s">
        <v>135</v>
      </c>
      <c r="Z638">
        <v>69.760000000000005</v>
      </c>
      <c r="AA638" t="s">
        <v>91</v>
      </c>
      <c r="AB638" t="s">
        <v>92</v>
      </c>
      <c r="AC638" t="s">
        <v>70</v>
      </c>
      <c r="AD638" t="s">
        <v>144</v>
      </c>
      <c r="AE638" t="s">
        <v>50</v>
      </c>
      <c r="AF638" s="5">
        <f>DATE(YEAR(C638),MONTH(C638),1)</f>
        <v>45870</v>
      </c>
      <c r="AG638">
        <f>E638-D638</f>
        <v>11</v>
      </c>
      <c r="AH638" s="6">
        <f t="shared" si="9"/>
        <v>55.439502968790244</v>
      </c>
    </row>
    <row r="639" spans="1:34">
      <c r="A639" t="s">
        <v>1391</v>
      </c>
      <c r="B639" t="s">
        <v>1392</v>
      </c>
      <c r="C639" s="1">
        <v>45973</v>
      </c>
      <c r="D639" s="1">
        <v>45976</v>
      </c>
      <c r="E639" s="1">
        <v>45995</v>
      </c>
      <c r="F639" t="s">
        <v>65</v>
      </c>
      <c r="G639" t="s">
        <v>66</v>
      </c>
      <c r="H639" t="s">
        <v>67</v>
      </c>
      <c r="I639" t="s">
        <v>40</v>
      </c>
      <c r="J639" t="s">
        <v>122</v>
      </c>
      <c r="K639" t="s">
        <v>123</v>
      </c>
      <c r="L639" t="s">
        <v>59</v>
      </c>
      <c r="M639" t="s">
        <v>108</v>
      </c>
      <c r="N639">
        <v>2</v>
      </c>
      <c r="O639" t="s">
        <v>89</v>
      </c>
      <c r="P639" s="48">
        <v>43485.22</v>
      </c>
      <c r="Q639" s="48">
        <v>8368.15</v>
      </c>
      <c r="R639" s="48">
        <v>3436.11</v>
      </c>
      <c r="S639" s="48">
        <v>948.02</v>
      </c>
      <c r="T639" s="48">
        <v>434.85</v>
      </c>
      <c r="U639" s="48">
        <v>779.81</v>
      </c>
      <c r="V639" s="48">
        <v>1520.68</v>
      </c>
      <c r="W639" s="48">
        <v>27997.599999999999</v>
      </c>
      <c r="X639">
        <v>0</v>
      </c>
      <c r="Y639" t="s">
        <v>45</v>
      </c>
      <c r="Z639">
        <v>69.73</v>
      </c>
      <c r="AA639" t="s">
        <v>46</v>
      </c>
      <c r="AB639" t="s">
        <v>92</v>
      </c>
      <c r="AC639" t="s">
        <v>60</v>
      </c>
      <c r="AD639" t="s">
        <v>130</v>
      </c>
      <c r="AE639" t="s">
        <v>71</v>
      </c>
      <c r="AF639" s="5">
        <f>DATE(YEAR(C639),MONTH(C639),1)</f>
        <v>45962</v>
      </c>
      <c r="AG639">
        <f>E639-D639</f>
        <v>19</v>
      </c>
      <c r="AH639" s="6">
        <f t="shared" si="9"/>
        <v>64.384174669002476</v>
      </c>
    </row>
    <row r="640" spans="1:34">
      <c r="A640" t="s">
        <v>1393</v>
      </c>
      <c r="B640" t="s">
        <v>1394</v>
      </c>
      <c r="C640" s="1">
        <v>45987</v>
      </c>
      <c r="D640" s="1">
        <v>45988</v>
      </c>
      <c r="E640" s="1">
        <v>46014</v>
      </c>
      <c r="F640" t="s">
        <v>149</v>
      </c>
      <c r="G640" t="s">
        <v>111</v>
      </c>
      <c r="H640" t="s">
        <v>150</v>
      </c>
      <c r="I640" t="s">
        <v>57</v>
      </c>
      <c r="J640" t="s">
        <v>98</v>
      </c>
      <c r="K640" t="s">
        <v>99</v>
      </c>
      <c r="L640" t="s">
        <v>116</v>
      </c>
      <c r="M640" t="s">
        <v>79</v>
      </c>
      <c r="N640">
        <v>1</v>
      </c>
      <c r="O640" t="s">
        <v>105</v>
      </c>
      <c r="P640" s="48">
        <v>31367.5</v>
      </c>
      <c r="Q640" s="48">
        <v>8362.8700000000008</v>
      </c>
      <c r="R640" s="48">
        <v>2370.7600000000002</v>
      </c>
      <c r="S640" s="48">
        <v>564.96</v>
      </c>
      <c r="T640" s="48">
        <v>313.68</v>
      </c>
      <c r="U640" s="48">
        <v>889.82</v>
      </c>
      <c r="V640" s="48">
        <v>1236.4100000000001</v>
      </c>
      <c r="W640" s="48">
        <v>17629</v>
      </c>
      <c r="X640">
        <v>12</v>
      </c>
      <c r="Y640" t="s">
        <v>112</v>
      </c>
      <c r="Z640">
        <v>69.69</v>
      </c>
      <c r="AA640" t="s">
        <v>91</v>
      </c>
      <c r="AB640" t="s">
        <v>47</v>
      </c>
      <c r="AC640" t="s">
        <v>60</v>
      </c>
      <c r="AD640" t="s">
        <v>144</v>
      </c>
      <c r="AE640" t="s">
        <v>62</v>
      </c>
      <c r="AF640" s="5">
        <f>DATE(YEAR(C640),MONTH(C640),1)</f>
        <v>45962</v>
      </c>
      <c r="AG640">
        <f>E640-D640</f>
        <v>26</v>
      </c>
      <c r="AH640" s="6">
        <f t="shared" si="9"/>
        <v>56.201482426077945</v>
      </c>
    </row>
    <row r="641" spans="1:34">
      <c r="A641" t="s">
        <v>1395</v>
      </c>
      <c r="B641" t="s">
        <v>1396</v>
      </c>
      <c r="C641" s="1">
        <v>45793</v>
      </c>
      <c r="D641" s="1">
        <v>45797</v>
      </c>
      <c r="E641" s="1">
        <v>45822</v>
      </c>
      <c r="F641" t="s">
        <v>234</v>
      </c>
      <c r="G641" t="s">
        <v>111</v>
      </c>
      <c r="H641" t="s">
        <v>150</v>
      </c>
      <c r="I641" t="s">
        <v>86</v>
      </c>
      <c r="J641" t="s">
        <v>39</v>
      </c>
      <c r="K641" t="s">
        <v>41</v>
      </c>
      <c r="L641" t="s">
        <v>124</v>
      </c>
      <c r="M641" t="s">
        <v>79</v>
      </c>
      <c r="N641">
        <v>4</v>
      </c>
      <c r="O641" t="s">
        <v>54</v>
      </c>
      <c r="P641" s="48">
        <v>31771.93</v>
      </c>
      <c r="Q641" s="48">
        <v>8355.7999999999993</v>
      </c>
      <c r="R641" s="48">
        <v>1299.1099999999999</v>
      </c>
      <c r="S641" s="48">
        <v>499.11</v>
      </c>
      <c r="T641" s="48">
        <v>317.72000000000003</v>
      </c>
      <c r="U641" s="48">
        <v>742.63</v>
      </c>
      <c r="V641" s="48">
        <v>1456.41</v>
      </c>
      <c r="W641" s="48">
        <v>19101.150000000001</v>
      </c>
      <c r="X641">
        <v>24</v>
      </c>
      <c r="Y641" t="s">
        <v>90</v>
      </c>
      <c r="Z641">
        <v>69.63</v>
      </c>
      <c r="AA641" t="s">
        <v>91</v>
      </c>
      <c r="AB641" t="s">
        <v>47</v>
      </c>
      <c r="AC641" t="s">
        <v>48</v>
      </c>
      <c r="AD641" t="s">
        <v>130</v>
      </c>
      <c r="AE641" t="s">
        <v>50</v>
      </c>
      <c r="AF641" s="5">
        <f>DATE(YEAR(C641),MONTH(C641),1)</f>
        <v>45778</v>
      </c>
      <c r="AG641">
        <f>E641-D641</f>
        <v>25</v>
      </c>
      <c r="AH641" s="6">
        <f t="shared" si="9"/>
        <v>60.119577249477764</v>
      </c>
    </row>
    <row r="642" spans="1:34">
      <c r="A642" t="s">
        <v>1397</v>
      </c>
      <c r="B642" t="s">
        <v>1398</v>
      </c>
      <c r="C642" s="1">
        <v>45895</v>
      </c>
      <c r="D642" s="1">
        <v>45899</v>
      </c>
      <c r="E642" s="1">
        <v>45914</v>
      </c>
      <c r="F642" t="s">
        <v>53</v>
      </c>
      <c r="G642" t="s">
        <v>54</v>
      </c>
      <c r="H642" t="s">
        <v>55</v>
      </c>
      <c r="I642" t="s">
        <v>57</v>
      </c>
      <c r="J642" t="s">
        <v>98</v>
      </c>
      <c r="K642" t="s">
        <v>99</v>
      </c>
      <c r="L642" t="s">
        <v>59</v>
      </c>
      <c r="M642" t="s">
        <v>68</v>
      </c>
      <c r="N642">
        <v>2</v>
      </c>
      <c r="O642" t="s">
        <v>105</v>
      </c>
      <c r="P642" s="48">
        <v>42916.46</v>
      </c>
      <c r="Q642" s="48">
        <v>8341.52</v>
      </c>
      <c r="R642" s="48">
        <v>2413.56</v>
      </c>
      <c r="S642" s="48">
        <v>1230.9100000000001</v>
      </c>
      <c r="T642" s="48">
        <v>429.16</v>
      </c>
      <c r="U642" s="48">
        <v>545.12</v>
      </c>
      <c r="V642" s="48">
        <v>2245.54</v>
      </c>
      <c r="W642" s="48">
        <v>27710.65</v>
      </c>
      <c r="X642">
        <v>48</v>
      </c>
      <c r="Y642" t="s">
        <v>117</v>
      </c>
      <c r="Z642">
        <v>69.510000000000005</v>
      </c>
      <c r="AA642" t="s">
        <v>91</v>
      </c>
      <c r="AB642" t="s">
        <v>92</v>
      </c>
      <c r="AC642" t="s">
        <v>48</v>
      </c>
      <c r="AD642" t="s">
        <v>130</v>
      </c>
      <c r="AE642" t="s">
        <v>102</v>
      </c>
      <c r="AF642" s="5">
        <f>DATE(YEAR(C642),MONTH(C642),1)</f>
        <v>45870</v>
      </c>
      <c r="AG642">
        <f>E642-D642</f>
        <v>15</v>
      </c>
      <c r="AH642" s="6">
        <f t="shared" si="9"/>
        <v>64.568815787695442</v>
      </c>
    </row>
    <row r="643" spans="1:34">
      <c r="A643" t="s">
        <v>1399</v>
      </c>
      <c r="B643" t="s">
        <v>1400</v>
      </c>
      <c r="C643" s="1">
        <v>45833</v>
      </c>
      <c r="D643" s="1">
        <v>45834</v>
      </c>
      <c r="E643" s="1">
        <v>45855</v>
      </c>
      <c r="F643" t="s">
        <v>180</v>
      </c>
      <c r="G643" t="s">
        <v>181</v>
      </c>
      <c r="H643" t="s">
        <v>38</v>
      </c>
      <c r="I643" t="s">
        <v>40</v>
      </c>
      <c r="J643" t="s">
        <v>122</v>
      </c>
      <c r="K643" t="s">
        <v>123</v>
      </c>
      <c r="L643" t="s">
        <v>127</v>
      </c>
      <c r="M643" t="s">
        <v>68</v>
      </c>
      <c r="N643">
        <v>1</v>
      </c>
      <c r="O643" t="s">
        <v>105</v>
      </c>
      <c r="P643" s="48">
        <v>30415.03</v>
      </c>
      <c r="Q643" s="48">
        <v>8328.57</v>
      </c>
      <c r="R643" s="48">
        <v>1730.04</v>
      </c>
      <c r="S643" s="48">
        <v>905.76</v>
      </c>
      <c r="T643" s="48">
        <v>304.14999999999998</v>
      </c>
      <c r="U643" s="48">
        <v>310.16000000000003</v>
      </c>
      <c r="V643" s="48">
        <v>2145.25</v>
      </c>
      <c r="W643" s="48">
        <v>16691.099999999999</v>
      </c>
      <c r="X643">
        <v>4</v>
      </c>
      <c r="Y643" t="s">
        <v>101</v>
      </c>
      <c r="Z643">
        <v>69.400000000000006</v>
      </c>
      <c r="AA643" t="s">
        <v>91</v>
      </c>
      <c r="AB643" t="s">
        <v>92</v>
      </c>
      <c r="AC643" t="s">
        <v>70</v>
      </c>
      <c r="AD643" t="s">
        <v>49</v>
      </c>
      <c r="AE643" t="s">
        <v>50</v>
      </c>
      <c r="AF643" s="5">
        <f>DATE(YEAR(C643),MONTH(C643),1)</f>
        <v>45809</v>
      </c>
      <c r="AG643">
        <f>E643-D643</f>
        <v>21</v>
      </c>
      <c r="AH643" s="6">
        <f t="shared" ref="AH643:AH706" si="10">W643/P643*100</f>
        <v>54.877802191876846</v>
      </c>
    </row>
    <row r="644" spans="1:34">
      <c r="A644" t="s">
        <v>1401</v>
      </c>
      <c r="B644" t="s">
        <v>1402</v>
      </c>
      <c r="C644" s="1">
        <v>45735</v>
      </c>
      <c r="D644" s="1">
        <v>45739</v>
      </c>
      <c r="E644" s="1">
        <v>45750</v>
      </c>
      <c r="F644" t="s">
        <v>74</v>
      </c>
      <c r="G644" t="s">
        <v>75</v>
      </c>
      <c r="H644" t="s">
        <v>76</v>
      </c>
      <c r="I644" t="s">
        <v>57</v>
      </c>
      <c r="J644" t="s">
        <v>98</v>
      </c>
      <c r="K644" t="s">
        <v>99</v>
      </c>
      <c r="L644" t="s">
        <v>116</v>
      </c>
      <c r="M644" t="s">
        <v>43</v>
      </c>
      <c r="N644">
        <v>2</v>
      </c>
      <c r="O644" t="s">
        <v>54</v>
      </c>
      <c r="P644" s="48">
        <v>30223.15</v>
      </c>
      <c r="Q644" s="48">
        <v>8306.3700000000008</v>
      </c>
      <c r="R644" s="48">
        <v>1592.75</v>
      </c>
      <c r="S644" s="48">
        <v>450.98</v>
      </c>
      <c r="T644" s="48">
        <v>302.23</v>
      </c>
      <c r="U644" s="48">
        <v>702.09</v>
      </c>
      <c r="V644" s="48">
        <v>2373.12</v>
      </c>
      <c r="W644" s="48">
        <v>16495.61</v>
      </c>
      <c r="X644">
        <v>36</v>
      </c>
      <c r="Y644" t="s">
        <v>101</v>
      </c>
      <c r="Z644">
        <v>69.22</v>
      </c>
      <c r="AA644" t="s">
        <v>91</v>
      </c>
      <c r="AB644" t="s">
        <v>47</v>
      </c>
      <c r="AC644" t="s">
        <v>48</v>
      </c>
      <c r="AD644" t="s">
        <v>144</v>
      </c>
      <c r="AE644" t="s">
        <v>71</v>
      </c>
      <c r="AF644" s="5">
        <f>DATE(YEAR(C644),MONTH(C644),1)</f>
        <v>45717</v>
      </c>
      <c r="AG644">
        <f>E644-D644</f>
        <v>11</v>
      </c>
      <c r="AH644" s="6">
        <f t="shared" si="10"/>
        <v>54.579386993083112</v>
      </c>
    </row>
    <row r="645" spans="1:34">
      <c r="A645" t="s">
        <v>1403</v>
      </c>
      <c r="B645" t="s">
        <v>1404</v>
      </c>
      <c r="C645" s="1">
        <v>45738</v>
      </c>
      <c r="D645" s="1">
        <v>45741</v>
      </c>
      <c r="E645" s="1">
        <v>45756</v>
      </c>
      <c r="F645" t="s">
        <v>234</v>
      </c>
      <c r="G645" t="s">
        <v>111</v>
      </c>
      <c r="H645" t="s">
        <v>150</v>
      </c>
      <c r="I645" t="s">
        <v>56</v>
      </c>
      <c r="J645" t="s">
        <v>57</v>
      </c>
      <c r="K645" t="s">
        <v>58</v>
      </c>
      <c r="L645" t="s">
        <v>59</v>
      </c>
      <c r="M645" t="s">
        <v>43</v>
      </c>
      <c r="N645">
        <v>2</v>
      </c>
      <c r="O645" t="s">
        <v>105</v>
      </c>
      <c r="P645" s="48">
        <v>29965.39</v>
      </c>
      <c r="Q645" s="48">
        <v>8292.17</v>
      </c>
      <c r="R645" s="48">
        <v>1214.8900000000001</v>
      </c>
      <c r="S645" s="48">
        <v>843.89</v>
      </c>
      <c r="T645" s="48">
        <v>299.64999999999998</v>
      </c>
      <c r="U645" s="48">
        <v>851.8</v>
      </c>
      <c r="V645" s="48">
        <v>566.98</v>
      </c>
      <c r="W645" s="48">
        <v>17896.009999999998</v>
      </c>
      <c r="X645">
        <v>48</v>
      </c>
      <c r="Y645" t="s">
        <v>135</v>
      </c>
      <c r="Z645">
        <v>69.099999999999994</v>
      </c>
      <c r="AA645" t="s">
        <v>91</v>
      </c>
      <c r="AB645" t="s">
        <v>92</v>
      </c>
      <c r="AC645" t="s">
        <v>70</v>
      </c>
      <c r="AD645" t="s">
        <v>49</v>
      </c>
      <c r="AE645" t="s">
        <v>71</v>
      </c>
      <c r="AF645" s="5">
        <f>DATE(YEAR(C645),MONTH(C645),1)</f>
        <v>45717</v>
      </c>
      <c r="AG645">
        <f>E645-D645</f>
        <v>15</v>
      </c>
      <c r="AH645" s="6">
        <f t="shared" si="10"/>
        <v>59.722266254502273</v>
      </c>
    </row>
    <row r="646" spans="1:34">
      <c r="A646" t="s">
        <v>1405</v>
      </c>
      <c r="B646" t="s">
        <v>1406</v>
      </c>
      <c r="C646" s="1">
        <v>45808</v>
      </c>
      <c r="D646" s="1">
        <v>45810</v>
      </c>
      <c r="E646" s="1">
        <v>45821</v>
      </c>
      <c r="F646" t="s">
        <v>74</v>
      </c>
      <c r="G646" t="s">
        <v>75</v>
      </c>
      <c r="H646" t="s">
        <v>76</v>
      </c>
      <c r="I646" t="s">
        <v>98</v>
      </c>
      <c r="J646" t="s">
        <v>86</v>
      </c>
      <c r="K646" t="s">
        <v>41</v>
      </c>
      <c r="L646" t="s">
        <v>100</v>
      </c>
      <c r="M646" t="s">
        <v>79</v>
      </c>
      <c r="N646">
        <v>1</v>
      </c>
      <c r="O646" t="s">
        <v>80</v>
      </c>
      <c r="P646" s="48">
        <v>32430.73</v>
      </c>
      <c r="Q646" s="48">
        <v>8290.61</v>
      </c>
      <c r="R646" s="48">
        <v>1407.99</v>
      </c>
      <c r="S646" s="48">
        <v>432.86</v>
      </c>
      <c r="T646" s="48">
        <v>324.31</v>
      </c>
      <c r="U646" s="48">
        <v>464.58</v>
      </c>
      <c r="V646" s="48">
        <v>665.19</v>
      </c>
      <c r="W646" s="48">
        <v>20845.189999999999</v>
      </c>
      <c r="X646">
        <v>0</v>
      </c>
      <c r="Y646" t="s">
        <v>45</v>
      </c>
      <c r="Z646">
        <v>69.09</v>
      </c>
      <c r="AA646" t="s">
        <v>46</v>
      </c>
      <c r="AB646" t="s">
        <v>47</v>
      </c>
      <c r="AC646" t="s">
        <v>48</v>
      </c>
      <c r="AD646" t="s">
        <v>144</v>
      </c>
      <c r="AE646" t="s">
        <v>62</v>
      </c>
      <c r="AF646" s="5">
        <f>DATE(YEAR(C646),MONTH(C646),1)</f>
        <v>45778</v>
      </c>
      <c r="AG646">
        <f>E646-D646</f>
        <v>11</v>
      </c>
      <c r="AH646" s="6">
        <f t="shared" si="10"/>
        <v>64.276043123296944</v>
      </c>
    </row>
    <row r="647" spans="1:34">
      <c r="A647" t="s">
        <v>1407</v>
      </c>
      <c r="B647" t="s">
        <v>1408</v>
      </c>
      <c r="C647" s="1">
        <v>45664</v>
      </c>
      <c r="D647" s="1">
        <v>45666</v>
      </c>
      <c r="E647" s="1">
        <v>45689</v>
      </c>
      <c r="F647" t="s">
        <v>36</v>
      </c>
      <c r="G647" t="s">
        <v>37</v>
      </c>
      <c r="H647" t="s">
        <v>38</v>
      </c>
      <c r="I647" t="s">
        <v>77</v>
      </c>
      <c r="J647" t="s">
        <v>39</v>
      </c>
      <c r="K647" t="s">
        <v>41</v>
      </c>
      <c r="L647" t="s">
        <v>155</v>
      </c>
      <c r="M647" t="s">
        <v>108</v>
      </c>
      <c r="N647">
        <v>2</v>
      </c>
      <c r="O647" t="s">
        <v>89</v>
      </c>
      <c r="P647" s="48">
        <v>33445.06</v>
      </c>
      <c r="Q647" s="48">
        <v>8264.7099999999991</v>
      </c>
      <c r="R647" s="48">
        <v>2642.37</v>
      </c>
      <c r="S647" s="48">
        <v>494.33</v>
      </c>
      <c r="T647" s="48">
        <v>334.45</v>
      </c>
      <c r="U647" s="48">
        <v>144.72999999999999</v>
      </c>
      <c r="V647" s="48">
        <v>1061.52</v>
      </c>
      <c r="W647" s="48">
        <v>20502.95</v>
      </c>
      <c r="X647">
        <v>0</v>
      </c>
      <c r="Y647" t="s">
        <v>45</v>
      </c>
      <c r="Z647">
        <v>68.87</v>
      </c>
      <c r="AA647" t="s">
        <v>46</v>
      </c>
      <c r="AB647" t="s">
        <v>47</v>
      </c>
      <c r="AC647" t="s">
        <v>48</v>
      </c>
      <c r="AD647" t="s">
        <v>130</v>
      </c>
      <c r="AE647" t="s">
        <v>102</v>
      </c>
      <c r="AF647" s="5">
        <f>DATE(YEAR(C647),MONTH(C647),1)</f>
        <v>45658</v>
      </c>
      <c r="AG647">
        <f>E647-D647</f>
        <v>23</v>
      </c>
      <c r="AH647" s="6">
        <f t="shared" si="10"/>
        <v>61.303373353194765</v>
      </c>
    </row>
    <row r="648" spans="1:34">
      <c r="A648" t="s">
        <v>1409</v>
      </c>
      <c r="B648" t="s">
        <v>1410</v>
      </c>
      <c r="C648" s="1">
        <v>45906</v>
      </c>
      <c r="D648" s="1">
        <v>45910</v>
      </c>
      <c r="E648" s="1">
        <v>45935</v>
      </c>
      <c r="F648" t="s">
        <v>83</v>
      </c>
      <c r="G648" t="s">
        <v>84</v>
      </c>
      <c r="H648" t="s">
        <v>85</v>
      </c>
      <c r="I648" t="s">
        <v>57</v>
      </c>
      <c r="J648" t="s">
        <v>40</v>
      </c>
      <c r="K648" t="s">
        <v>41</v>
      </c>
      <c r="L648" t="s">
        <v>127</v>
      </c>
      <c r="M648" t="s">
        <v>68</v>
      </c>
      <c r="N648">
        <v>2</v>
      </c>
      <c r="O648" t="s">
        <v>54</v>
      </c>
      <c r="P648" s="48">
        <v>34375.42</v>
      </c>
      <c r="Q648" s="48">
        <v>8263.4599999999991</v>
      </c>
      <c r="R648" s="48">
        <v>2575.59</v>
      </c>
      <c r="S648" s="48">
        <v>720.45</v>
      </c>
      <c r="T648" s="48">
        <v>343.75</v>
      </c>
      <c r="U648" s="48">
        <v>383.84</v>
      </c>
      <c r="V648" s="48">
        <v>1310.33</v>
      </c>
      <c r="W648" s="48">
        <v>20778</v>
      </c>
      <c r="X648">
        <v>0</v>
      </c>
      <c r="Y648" t="s">
        <v>45</v>
      </c>
      <c r="Z648">
        <v>68.86</v>
      </c>
      <c r="AA648" t="s">
        <v>46</v>
      </c>
      <c r="AB648" t="s">
        <v>92</v>
      </c>
      <c r="AC648" t="s">
        <v>60</v>
      </c>
      <c r="AD648" t="s">
        <v>93</v>
      </c>
      <c r="AE648" t="s">
        <v>71</v>
      </c>
      <c r="AF648" s="5">
        <f>DATE(YEAR(C648),MONTH(C648),1)</f>
        <v>45901</v>
      </c>
      <c r="AG648">
        <f>E648-D648</f>
        <v>25</v>
      </c>
      <c r="AH648" s="6">
        <f t="shared" si="10"/>
        <v>60.444352389003541</v>
      </c>
    </row>
    <row r="649" spans="1:34">
      <c r="A649" t="s">
        <v>1411</v>
      </c>
      <c r="B649" t="s">
        <v>1412</v>
      </c>
      <c r="C649" s="1">
        <v>45805</v>
      </c>
      <c r="D649" s="1">
        <v>45806</v>
      </c>
      <c r="E649" s="1">
        <v>45824</v>
      </c>
      <c r="F649" t="s">
        <v>53</v>
      </c>
      <c r="G649" t="s">
        <v>54</v>
      </c>
      <c r="H649" t="s">
        <v>55</v>
      </c>
      <c r="I649" t="s">
        <v>57</v>
      </c>
      <c r="J649" t="s">
        <v>98</v>
      </c>
      <c r="K649" t="s">
        <v>99</v>
      </c>
      <c r="L649" t="s">
        <v>155</v>
      </c>
      <c r="M649" t="s">
        <v>79</v>
      </c>
      <c r="N649">
        <v>1</v>
      </c>
      <c r="O649" t="s">
        <v>69</v>
      </c>
      <c r="P649" s="48">
        <v>41269.730000000003</v>
      </c>
      <c r="Q649" s="48">
        <v>8256.1</v>
      </c>
      <c r="R649" s="48">
        <v>1731.39</v>
      </c>
      <c r="S649" s="48">
        <v>1139.17</v>
      </c>
      <c r="T649" s="48">
        <v>412.7</v>
      </c>
      <c r="U649" s="48">
        <v>409.73</v>
      </c>
      <c r="V649" s="48">
        <v>525.71</v>
      </c>
      <c r="W649" s="48">
        <v>28794.93</v>
      </c>
      <c r="X649">
        <v>8</v>
      </c>
      <c r="Y649" t="s">
        <v>112</v>
      </c>
      <c r="Z649">
        <v>68.8</v>
      </c>
      <c r="AA649" t="s">
        <v>91</v>
      </c>
      <c r="AB649" t="s">
        <v>47</v>
      </c>
      <c r="AC649" t="s">
        <v>48</v>
      </c>
      <c r="AD649" t="s">
        <v>61</v>
      </c>
      <c r="AE649" t="s">
        <v>50</v>
      </c>
      <c r="AF649" s="5">
        <f>DATE(YEAR(C649),MONTH(C649),1)</f>
        <v>45778</v>
      </c>
      <c r="AG649">
        <f>E649-D649</f>
        <v>18</v>
      </c>
      <c r="AH649" s="6">
        <f t="shared" si="10"/>
        <v>69.772518502059498</v>
      </c>
    </row>
    <row r="650" spans="1:34">
      <c r="A650" t="s">
        <v>1413</v>
      </c>
      <c r="B650" t="s">
        <v>1414</v>
      </c>
      <c r="C650" s="1">
        <v>45899</v>
      </c>
      <c r="D650" s="1">
        <v>45903</v>
      </c>
      <c r="E650" s="1">
        <v>45929</v>
      </c>
      <c r="F650" t="s">
        <v>234</v>
      </c>
      <c r="G650" t="s">
        <v>111</v>
      </c>
      <c r="H650" t="s">
        <v>150</v>
      </c>
      <c r="I650" t="s">
        <v>57</v>
      </c>
      <c r="J650" t="s">
        <v>98</v>
      </c>
      <c r="K650" t="s">
        <v>99</v>
      </c>
      <c r="L650" t="s">
        <v>155</v>
      </c>
      <c r="M650" t="s">
        <v>108</v>
      </c>
      <c r="N650">
        <v>1</v>
      </c>
      <c r="O650" t="s">
        <v>69</v>
      </c>
      <c r="P650" s="48">
        <v>36946.699999999997</v>
      </c>
      <c r="Q650" s="48">
        <v>8222.4699999999993</v>
      </c>
      <c r="R650" s="48">
        <v>2229.1799999999998</v>
      </c>
      <c r="S650" s="48">
        <v>699.71</v>
      </c>
      <c r="T650" s="48">
        <v>369.47</v>
      </c>
      <c r="U650" s="48">
        <v>757.65</v>
      </c>
      <c r="V650" s="48">
        <v>1020.29</v>
      </c>
      <c r="W650" s="48">
        <v>23647.93</v>
      </c>
      <c r="X650">
        <v>36</v>
      </c>
      <c r="Y650" t="s">
        <v>101</v>
      </c>
      <c r="Z650">
        <v>68.52</v>
      </c>
      <c r="AA650" t="s">
        <v>91</v>
      </c>
      <c r="AB650" t="s">
        <v>47</v>
      </c>
      <c r="AC650" t="s">
        <v>70</v>
      </c>
      <c r="AD650" t="s">
        <v>130</v>
      </c>
      <c r="AE650" t="s">
        <v>62</v>
      </c>
      <c r="AF650" s="5">
        <f>DATE(YEAR(C650),MONTH(C650),1)</f>
        <v>45870</v>
      </c>
      <c r="AG650">
        <f>E650-D650</f>
        <v>26</v>
      </c>
      <c r="AH650" s="6">
        <f t="shared" si="10"/>
        <v>64.005526880614511</v>
      </c>
    </row>
    <row r="651" spans="1:34">
      <c r="A651" t="s">
        <v>1415</v>
      </c>
      <c r="B651" t="s">
        <v>1416</v>
      </c>
      <c r="C651" s="1">
        <v>45933</v>
      </c>
      <c r="D651" s="1">
        <v>45935</v>
      </c>
      <c r="E651" s="1">
        <v>45946</v>
      </c>
      <c r="F651" t="s">
        <v>65</v>
      </c>
      <c r="G651" t="s">
        <v>66</v>
      </c>
      <c r="H651" t="s">
        <v>67</v>
      </c>
      <c r="I651" t="s">
        <v>40</v>
      </c>
      <c r="J651" t="s">
        <v>122</v>
      </c>
      <c r="K651" t="s">
        <v>123</v>
      </c>
      <c r="L651" t="s">
        <v>127</v>
      </c>
      <c r="M651" t="s">
        <v>43</v>
      </c>
      <c r="N651">
        <v>4</v>
      </c>
      <c r="O651" t="s">
        <v>80</v>
      </c>
      <c r="P651" s="48">
        <v>48909.57</v>
      </c>
      <c r="Q651" s="48">
        <v>8215.69</v>
      </c>
      <c r="R651" s="48">
        <v>2457.5</v>
      </c>
      <c r="S651" s="48">
        <v>1316.62</v>
      </c>
      <c r="T651" s="48">
        <v>489.1</v>
      </c>
      <c r="U651" s="48">
        <v>103</v>
      </c>
      <c r="V651" s="48">
        <v>1917.88</v>
      </c>
      <c r="W651" s="48">
        <v>34409.78</v>
      </c>
      <c r="X651">
        <v>0</v>
      </c>
      <c r="Y651" t="s">
        <v>45</v>
      </c>
      <c r="Z651">
        <v>68.459999999999994</v>
      </c>
      <c r="AA651" t="s">
        <v>46</v>
      </c>
      <c r="AB651" t="s">
        <v>92</v>
      </c>
      <c r="AC651" t="s">
        <v>48</v>
      </c>
      <c r="AD651" t="s">
        <v>49</v>
      </c>
      <c r="AE651" t="s">
        <v>62</v>
      </c>
      <c r="AF651" s="5">
        <f>DATE(YEAR(C651),MONTH(C651),1)</f>
        <v>45931</v>
      </c>
      <c r="AG651">
        <f>E651-D651</f>
        <v>11</v>
      </c>
      <c r="AH651" s="6">
        <f t="shared" si="10"/>
        <v>70.353879619060237</v>
      </c>
    </row>
    <row r="652" spans="1:34">
      <c r="A652" t="s">
        <v>1417</v>
      </c>
      <c r="B652" t="s">
        <v>1418</v>
      </c>
      <c r="C652" s="1">
        <v>45803</v>
      </c>
      <c r="D652" s="1">
        <v>45805</v>
      </c>
      <c r="E652" s="1">
        <v>45821</v>
      </c>
      <c r="F652" t="s">
        <v>153</v>
      </c>
      <c r="G652" t="s">
        <v>75</v>
      </c>
      <c r="H652" t="s">
        <v>154</v>
      </c>
      <c r="I652" t="s">
        <v>115</v>
      </c>
      <c r="J652" t="s">
        <v>98</v>
      </c>
      <c r="K652" t="s">
        <v>41</v>
      </c>
      <c r="L652" t="s">
        <v>127</v>
      </c>
      <c r="M652" t="s">
        <v>108</v>
      </c>
      <c r="N652">
        <v>1</v>
      </c>
      <c r="O652" t="s">
        <v>105</v>
      </c>
      <c r="P652" s="48">
        <v>32794.5</v>
      </c>
      <c r="Q652" s="48">
        <v>8207.82</v>
      </c>
      <c r="R652" s="48">
        <v>2329.06</v>
      </c>
      <c r="S652" s="48">
        <v>906.79</v>
      </c>
      <c r="T652" s="48">
        <v>327.94</v>
      </c>
      <c r="U652" s="48">
        <v>283.39999999999998</v>
      </c>
      <c r="V652" s="48">
        <v>1559.19</v>
      </c>
      <c r="W652" s="48">
        <v>19180.3</v>
      </c>
      <c r="X652">
        <v>48</v>
      </c>
      <c r="Y652" t="s">
        <v>135</v>
      </c>
      <c r="Z652">
        <v>68.400000000000006</v>
      </c>
      <c r="AA652" t="s">
        <v>91</v>
      </c>
      <c r="AB652" t="s">
        <v>47</v>
      </c>
      <c r="AC652" t="s">
        <v>70</v>
      </c>
      <c r="AD652" t="s">
        <v>144</v>
      </c>
      <c r="AE652" t="s">
        <v>62</v>
      </c>
      <c r="AF652" s="5">
        <f>DATE(YEAR(C652),MONTH(C652),1)</f>
        <v>45778</v>
      </c>
      <c r="AG652">
        <f>E652-D652</f>
        <v>16</v>
      </c>
      <c r="AH652" s="6">
        <f t="shared" si="10"/>
        <v>58.486331549497628</v>
      </c>
    </row>
    <row r="653" spans="1:34">
      <c r="A653" t="s">
        <v>1419</v>
      </c>
      <c r="B653" t="s">
        <v>1420</v>
      </c>
      <c r="C653" s="1">
        <v>45954</v>
      </c>
      <c r="D653" s="1">
        <v>45957</v>
      </c>
      <c r="E653" s="1">
        <v>45971</v>
      </c>
      <c r="F653" t="s">
        <v>180</v>
      </c>
      <c r="G653" t="s">
        <v>181</v>
      </c>
      <c r="H653" t="s">
        <v>38</v>
      </c>
      <c r="I653" t="s">
        <v>56</v>
      </c>
      <c r="J653" t="s">
        <v>57</v>
      </c>
      <c r="K653" t="s">
        <v>58</v>
      </c>
      <c r="L653" t="s">
        <v>124</v>
      </c>
      <c r="M653" t="s">
        <v>43</v>
      </c>
      <c r="N653">
        <v>2</v>
      </c>
      <c r="O653" t="s">
        <v>111</v>
      </c>
      <c r="P653" s="48">
        <v>38977.660000000003</v>
      </c>
      <c r="Q653" s="48">
        <v>8196.0400000000009</v>
      </c>
      <c r="R653" s="48">
        <v>2946.86</v>
      </c>
      <c r="S653" s="48">
        <v>1043.1099999999999</v>
      </c>
      <c r="T653" s="48">
        <v>389.78</v>
      </c>
      <c r="U653" s="48">
        <v>120.82</v>
      </c>
      <c r="V653" s="48">
        <v>1878.06</v>
      </c>
      <c r="W653" s="48">
        <v>24402.99</v>
      </c>
      <c r="X653">
        <v>24</v>
      </c>
      <c r="Y653" t="s">
        <v>117</v>
      </c>
      <c r="Z653">
        <v>68.3</v>
      </c>
      <c r="AA653" t="s">
        <v>91</v>
      </c>
      <c r="AB653" t="s">
        <v>47</v>
      </c>
      <c r="AC653" t="s">
        <v>48</v>
      </c>
      <c r="AD653" t="s">
        <v>93</v>
      </c>
      <c r="AE653" t="s">
        <v>102</v>
      </c>
      <c r="AF653" s="5">
        <f>DATE(YEAR(C653),MONTH(C653),1)</f>
        <v>45931</v>
      </c>
      <c r="AG653">
        <f>E653-D653</f>
        <v>14</v>
      </c>
      <c r="AH653" s="6">
        <f t="shared" si="10"/>
        <v>62.607632166733453</v>
      </c>
    </row>
    <row r="654" spans="1:34">
      <c r="A654" t="s">
        <v>1421</v>
      </c>
      <c r="B654" t="s">
        <v>1422</v>
      </c>
      <c r="C654" s="1">
        <v>45720</v>
      </c>
      <c r="D654" s="1">
        <v>45721</v>
      </c>
      <c r="E654" s="1">
        <v>45745</v>
      </c>
      <c r="F654" t="s">
        <v>74</v>
      </c>
      <c r="G654" t="s">
        <v>75</v>
      </c>
      <c r="H654" t="s">
        <v>76</v>
      </c>
      <c r="I654" t="s">
        <v>57</v>
      </c>
      <c r="J654" t="s">
        <v>98</v>
      </c>
      <c r="K654" t="s">
        <v>99</v>
      </c>
      <c r="L654" t="s">
        <v>59</v>
      </c>
      <c r="M654" t="s">
        <v>43</v>
      </c>
      <c r="N654">
        <v>2</v>
      </c>
      <c r="O654" t="s">
        <v>89</v>
      </c>
      <c r="P654" s="48">
        <v>42198.67</v>
      </c>
      <c r="Q654" s="48">
        <v>8186.36</v>
      </c>
      <c r="R654" s="48">
        <v>1805.82</v>
      </c>
      <c r="S654" s="48">
        <v>1121.1099999999999</v>
      </c>
      <c r="T654" s="48">
        <v>421.99</v>
      </c>
      <c r="U654" s="48">
        <v>403.97</v>
      </c>
      <c r="V654" s="48">
        <v>413.19</v>
      </c>
      <c r="W654" s="48">
        <v>29846.23</v>
      </c>
      <c r="X654">
        <v>0</v>
      </c>
      <c r="Y654" t="s">
        <v>45</v>
      </c>
      <c r="Z654">
        <v>68.22</v>
      </c>
      <c r="AA654" t="s">
        <v>46</v>
      </c>
      <c r="AB654" t="s">
        <v>47</v>
      </c>
      <c r="AC654" t="s">
        <v>48</v>
      </c>
      <c r="AD654" t="s">
        <v>49</v>
      </c>
      <c r="AE654" t="s">
        <v>71</v>
      </c>
      <c r="AF654" s="5">
        <f>DATE(YEAR(C654),MONTH(C654),1)</f>
        <v>45717</v>
      </c>
      <c r="AG654">
        <f>E654-D654</f>
        <v>24</v>
      </c>
      <c r="AH654" s="6">
        <f t="shared" si="10"/>
        <v>70.72789260893768</v>
      </c>
    </row>
    <row r="655" spans="1:34">
      <c r="A655" t="s">
        <v>1423</v>
      </c>
      <c r="B655" t="s">
        <v>1424</v>
      </c>
      <c r="C655" s="1">
        <v>45910</v>
      </c>
      <c r="D655" s="1">
        <v>45913</v>
      </c>
      <c r="E655" s="1">
        <v>45936</v>
      </c>
      <c r="F655" t="s">
        <v>65</v>
      </c>
      <c r="G655" t="s">
        <v>66</v>
      </c>
      <c r="H655" t="s">
        <v>67</v>
      </c>
      <c r="I655" t="s">
        <v>115</v>
      </c>
      <c r="J655" t="s">
        <v>98</v>
      </c>
      <c r="K655" t="s">
        <v>99</v>
      </c>
      <c r="L655" t="s">
        <v>100</v>
      </c>
      <c r="M655" t="s">
        <v>43</v>
      </c>
      <c r="N655">
        <v>4</v>
      </c>
      <c r="O655" t="s">
        <v>44</v>
      </c>
      <c r="P655" s="48">
        <v>32631.97</v>
      </c>
      <c r="Q655" s="48">
        <v>8185.73</v>
      </c>
      <c r="R655" s="48">
        <v>1921.69</v>
      </c>
      <c r="S655" s="48">
        <v>704.49</v>
      </c>
      <c r="T655" s="48">
        <v>326.32</v>
      </c>
      <c r="U655" s="48">
        <v>705.91</v>
      </c>
      <c r="V655" s="48">
        <v>1281.57</v>
      </c>
      <c r="W655" s="48">
        <v>19506.259999999998</v>
      </c>
      <c r="X655">
        <v>36</v>
      </c>
      <c r="Y655" t="s">
        <v>117</v>
      </c>
      <c r="Z655">
        <v>68.209999999999994</v>
      </c>
      <c r="AA655" t="s">
        <v>91</v>
      </c>
      <c r="AB655" t="s">
        <v>47</v>
      </c>
      <c r="AC655" t="s">
        <v>48</v>
      </c>
      <c r="AD655" t="s">
        <v>93</v>
      </c>
      <c r="AE655" t="s">
        <v>71</v>
      </c>
      <c r="AF655" s="5">
        <f>DATE(YEAR(C655),MONTH(C655),1)</f>
        <v>45901</v>
      </c>
      <c r="AG655">
        <f>E655-D655</f>
        <v>23</v>
      </c>
      <c r="AH655" s="6">
        <f t="shared" si="10"/>
        <v>59.776532032849985</v>
      </c>
    </row>
    <row r="656" spans="1:34">
      <c r="A656" t="s">
        <v>1425</v>
      </c>
      <c r="B656" t="s">
        <v>1426</v>
      </c>
      <c r="C656" s="1">
        <v>45691</v>
      </c>
      <c r="D656" s="1">
        <v>45695</v>
      </c>
      <c r="E656" s="1">
        <v>45708</v>
      </c>
      <c r="F656" t="s">
        <v>153</v>
      </c>
      <c r="G656" t="s">
        <v>75</v>
      </c>
      <c r="H656" t="s">
        <v>154</v>
      </c>
      <c r="I656" t="s">
        <v>86</v>
      </c>
      <c r="J656" t="s">
        <v>87</v>
      </c>
      <c r="K656" t="s">
        <v>88</v>
      </c>
      <c r="L656" t="s">
        <v>155</v>
      </c>
      <c r="M656" t="s">
        <v>68</v>
      </c>
      <c r="N656">
        <v>4</v>
      </c>
      <c r="O656" t="s">
        <v>69</v>
      </c>
      <c r="P656" s="48">
        <v>33545.81</v>
      </c>
      <c r="Q656" s="48">
        <v>8132.87</v>
      </c>
      <c r="R656" s="48">
        <v>1726.38</v>
      </c>
      <c r="S656" s="48">
        <v>380.14</v>
      </c>
      <c r="T656" s="48">
        <v>335.46</v>
      </c>
      <c r="U656" s="48">
        <v>594.99</v>
      </c>
      <c r="V656" s="48">
        <v>528.57000000000005</v>
      </c>
      <c r="W656" s="48">
        <v>21847.4</v>
      </c>
      <c r="X656">
        <v>0</v>
      </c>
      <c r="Y656" t="s">
        <v>45</v>
      </c>
      <c r="Z656">
        <v>67.77</v>
      </c>
      <c r="AA656" t="s">
        <v>46</v>
      </c>
      <c r="AB656" t="s">
        <v>47</v>
      </c>
      <c r="AC656" t="s">
        <v>48</v>
      </c>
      <c r="AD656" t="s">
        <v>61</v>
      </c>
      <c r="AE656" t="s">
        <v>102</v>
      </c>
      <c r="AF656" s="5">
        <f>DATE(YEAR(C656),MONTH(C656),1)</f>
        <v>45689</v>
      </c>
      <c r="AG656">
        <f>E656-D656</f>
        <v>13</v>
      </c>
      <c r="AH656" s="6">
        <f t="shared" si="10"/>
        <v>65.127060577759195</v>
      </c>
    </row>
    <row r="657" spans="1:34">
      <c r="A657" t="s">
        <v>1427</v>
      </c>
      <c r="B657" t="s">
        <v>1428</v>
      </c>
      <c r="C657" s="1">
        <v>45946</v>
      </c>
      <c r="D657" s="1">
        <v>45950</v>
      </c>
      <c r="E657" s="1">
        <v>45971</v>
      </c>
      <c r="F657" t="s">
        <v>138</v>
      </c>
      <c r="G657" t="s">
        <v>139</v>
      </c>
      <c r="H657" t="s">
        <v>76</v>
      </c>
      <c r="I657" t="s">
        <v>40</v>
      </c>
      <c r="J657" t="s">
        <v>122</v>
      </c>
      <c r="K657" t="s">
        <v>123</v>
      </c>
      <c r="L657" t="s">
        <v>127</v>
      </c>
      <c r="M657" t="s">
        <v>79</v>
      </c>
      <c r="N657">
        <v>1</v>
      </c>
      <c r="O657" t="s">
        <v>105</v>
      </c>
      <c r="P657" s="48">
        <v>27522.76</v>
      </c>
      <c r="Q657" s="48">
        <v>8114.41</v>
      </c>
      <c r="R657" s="48">
        <v>1665.48</v>
      </c>
      <c r="S657" s="48">
        <v>595.9</v>
      </c>
      <c r="T657" s="48">
        <v>275.23</v>
      </c>
      <c r="U657" s="48">
        <v>343.84</v>
      </c>
      <c r="V657" s="48">
        <v>2154.19</v>
      </c>
      <c r="W657" s="48">
        <v>14373.71</v>
      </c>
      <c r="X657">
        <v>0</v>
      </c>
      <c r="Y657" t="s">
        <v>45</v>
      </c>
      <c r="Z657">
        <v>67.62</v>
      </c>
      <c r="AA657" t="s">
        <v>46</v>
      </c>
      <c r="AB657" t="s">
        <v>47</v>
      </c>
      <c r="AC657" t="s">
        <v>60</v>
      </c>
      <c r="AD657" t="s">
        <v>130</v>
      </c>
      <c r="AE657" t="s">
        <v>50</v>
      </c>
      <c r="AF657" s="5">
        <f>DATE(YEAR(C657),MONTH(C657),1)</f>
        <v>45931</v>
      </c>
      <c r="AG657">
        <f>E657-D657</f>
        <v>21</v>
      </c>
      <c r="AH657" s="6">
        <f t="shared" si="10"/>
        <v>52.224813209140365</v>
      </c>
    </row>
    <row r="658" spans="1:34">
      <c r="A658" t="s">
        <v>1429</v>
      </c>
      <c r="B658" t="s">
        <v>1430</v>
      </c>
      <c r="C658" s="1">
        <v>45835</v>
      </c>
      <c r="D658" s="1">
        <v>45838</v>
      </c>
      <c r="E658" s="1">
        <v>45865</v>
      </c>
      <c r="F658" t="s">
        <v>234</v>
      </c>
      <c r="G658" t="s">
        <v>111</v>
      </c>
      <c r="H658" t="s">
        <v>150</v>
      </c>
      <c r="I658" t="s">
        <v>87</v>
      </c>
      <c r="J658" t="s">
        <v>122</v>
      </c>
      <c r="K658" t="s">
        <v>41</v>
      </c>
      <c r="L658" t="s">
        <v>124</v>
      </c>
      <c r="M658" t="s">
        <v>68</v>
      </c>
      <c r="N658">
        <v>2</v>
      </c>
      <c r="O658" t="s">
        <v>89</v>
      </c>
      <c r="P658" s="48">
        <v>39530.57</v>
      </c>
      <c r="Q658" s="48">
        <v>8079.28</v>
      </c>
      <c r="R658" s="48">
        <v>1716.76</v>
      </c>
      <c r="S658" s="48">
        <v>990.49</v>
      </c>
      <c r="T658" s="48">
        <v>395.31</v>
      </c>
      <c r="U658" s="48">
        <v>305.33999999999997</v>
      </c>
      <c r="V658" s="48">
        <v>348.15</v>
      </c>
      <c r="W658" s="48">
        <v>27695.24</v>
      </c>
      <c r="X658">
        <v>4</v>
      </c>
      <c r="Y658" t="s">
        <v>112</v>
      </c>
      <c r="Z658">
        <v>67.33</v>
      </c>
      <c r="AA658" t="s">
        <v>91</v>
      </c>
      <c r="AB658" t="s">
        <v>47</v>
      </c>
      <c r="AC658" t="s">
        <v>48</v>
      </c>
      <c r="AD658" t="s">
        <v>49</v>
      </c>
      <c r="AE658" t="s">
        <v>102</v>
      </c>
      <c r="AF658" s="5">
        <f>DATE(YEAR(C658),MONTH(C658),1)</f>
        <v>45809</v>
      </c>
      <c r="AG658">
        <f>E658-D658</f>
        <v>27</v>
      </c>
      <c r="AH658" s="6">
        <f t="shared" si="10"/>
        <v>70.060310286444135</v>
      </c>
    </row>
    <row r="659" spans="1:34">
      <c r="A659" t="s">
        <v>1431</v>
      </c>
      <c r="B659" t="s">
        <v>1432</v>
      </c>
      <c r="C659" s="1">
        <v>45658</v>
      </c>
      <c r="D659" s="1">
        <v>45659</v>
      </c>
      <c r="E659" s="1">
        <v>45674</v>
      </c>
      <c r="F659" t="s">
        <v>153</v>
      </c>
      <c r="G659" t="s">
        <v>75</v>
      </c>
      <c r="H659" t="s">
        <v>154</v>
      </c>
      <c r="I659" t="s">
        <v>115</v>
      </c>
      <c r="J659" t="s">
        <v>98</v>
      </c>
      <c r="K659" t="s">
        <v>99</v>
      </c>
      <c r="L659" t="s">
        <v>42</v>
      </c>
      <c r="M659" t="s">
        <v>68</v>
      </c>
      <c r="N659">
        <v>4</v>
      </c>
      <c r="O659" t="s">
        <v>44</v>
      </c>
      <c r="P659" s="48">
        <v>31772.01</v>
      </c>
      <c r="Q659" s="48">
        <v>8054.73</v>
      </c>
      <c r="R659" s="48">
        <v>2437.0300000000002</v>
      </c>
      <c r="S659" s="48">
        <v>923.71</v>
      </c>
      <c r="T659" s="48">
        <v>317.72000000000003</v>
      </c>
      <c r="U659" s="48">
        <v>861.49</v>
      </c>
      <c r="V659" s="48">
        <v>425.06</v>
      </c>
      <c r="W659" s="48">
        <v>18752.27</v>
      </c>
      <c r="X659">
        <v>0</v>
      </c>
      <c r="Y659" t="s">
        <v>45</v>
      </c>
      <c r="Z659">
        <v>67.12</v>
      </c>
      <c r="AA659" t="s">
        <v>46</v>
      </c>
      <c r="AB659" t="s">
        <v>47</v>
      </c>
      <c r="AC659" t="s">
        <v>70</v>
      </c>
      <c r="AD659" t="s">
        <v>144</v>
      </c>
      <c r="AE659" t="s">
        <v>62</v>
      </c>
      <c r="AF659" s="5">
        <f>DATE(YEAR(C659),MONTH(C659),1)</f>
        <v>45658</v>
      </c>
      <c r="AG659">
        <f>E659-D659</f>
        <v>15</v>
      </c>
      <c r="AH659" s="6">
        <f t="shared" si="10"/>
        <v>59.021352441976447</v>
      </c>
    </row>
    <row r="660" spans="1:34">
      <c r="A660" t="s">
        <v>1433</v>
      </c>
      <c r="B660" t="s">
        <v>1434</v>
      </c>
      <c r="C660" s="1">
        <v>45924</v>
      </c>
      <c r="D660" s="1">
        <v>45926</v>
      </c>
      <c r="E660" s="1">
        <v>45942</v>
      </c>
      <c r="F660" t="s">
        <v>83</v>
      </c>
      <c r="G660" t="s">
        <v>84</v>
      </c>
      <c r="H660" t="s">
        <v>85</v>
      </c>
      <c r="I660" t="s">
        <v>115</v>
      </c>
      <c r="J660" t="s">
        <v>98</v>
      </c>
      <c r="K660" t="s">
        <v>99</v>
      </c>
      <c r="L660" t="s">
        <v>116</v>
      </c>
      <c r="M660" t="s">
        <v>68</v>
      </c>
      <c r="N660">
        <v>2</v>
      </c>
      <c r="O660" t="s">
        <v>80</v>
      </c>
      <c r="P660" s="48">
        <v>31138.06</v>
      </c>
      <c r="Q660" s="48">
        <v>8039.4</v>
      </c>
      <c r="R660" s="48">
        <v>2187.3000000000002</v>
      </c>
      <c r="S660" s="48">
        <v>421.78</v>
      </c>
      <c r="T660" s="48">
        <v>311.38</v>
      </c>
      <c r="U660" s="48">
        <v>498.32</v>
      </c>
      <c r="V660" s="48">
        <v>1451.57</v>
      </c>
      <c r="W660" s="48">
        <v>18228.310000000001</v>
      </c>
      <c r="X660">
        <v>0</v>
      </c>
      <c r="Y660" t="s">
        <v>45</v>
      </c>
      <c r="Z660">
        <v>66.989999999999995</v>
      </c>
      <c r="AA660" t="s">
        <v>46</v>
      </c>
      <c r="AB660" t="s">
        <v>92</v>
      </c>
      <c r="AC660" t="s">
        <v>70</v>
      </c>
      <c r="AD660" t="s">
        <v>93</v>
      </c>
      <c r="AE660" t="s">
        <v>62</v>
      </c>
      <c r="AF660" s="5">
        <f>DATE(YEAR(C660),MONTH(C660),1)</f>
        <v>45901</v>
      </c>
      <c r="AG660">
        <f>E660-D660</f>
        <v>16</v>
      </c>
      <c r="AH660" s="6">
        <f t="shared" si="10"/>
        <v>58.540287994820481</v>
      </c>
    </row>
    <row r="661" spans="1:34">
      <c r="A661" t="s">
        <v>1435</v>
      </c>
      <c r="B661" t="s">
        <v>1436</v>
      </c>
      <c r="C661" s="1">
        <v>45738</v>
      </c>
      <c r="D661" s="1">
        <v>45740</v>
      </c>
      <c r="E661" s="1">
        <v>45761</v>
      </c>
      <c r="F661" t="s">
        <v>96</v>
      </c>
      <c r="G661" t="s">
        <v>97</v>
      </c>
      <c r="H661" t="s">
        <v>76</v>
      </c>
      <c r="I661" t="s">
        <v>40</v>
      </c>
      <c r="J661" t="s">
        <v>122</v>
      </c>
      <c r="K661" t="s">
        <v>123</v>
      </c>
      <c r="L661" t="s">
        <v>127</v>
      </c>
      <c r="M661" t="s">
        <v>79</v>
      </c>
      <c r="N661">
        <v>1</v>
      </c>
      <c r="O661" t="s">
        <v>89</v>
      </c>
      <c r="P661" s="48">
        <v>29759.15</v>
      </c>
      <c r="Q661" s="48">
        <v>7991.68</v>
      </c>
      <c r="R661" s="48">
        <v>2241.2600000000002</v>
      </c>
      <c r="S661" s="48">
        <v>878.94</v>
      </c>
      <c r="T661" s="48">
        <v>297.58999999999997</v>
      </c>
      <c r="U661" s="48">
        <v>550.94000000000005</v>
      </c>
      <c r="V661" s="48">
        <v>2412.88</v>
      </c>
      <c r="W661" s="48">
        <v>15385.86</v>
      </c>
      <c r="X661">
        <v>24</v>
      </c>
      <c r="Y661" t="s">
        <v>135</v>
      </c>
      <c r="Z661">
        <v>66.599999999999994</v>
      </c>
      <c r="AA661" t="s">
        <v>91</v>
      </c>
      <c r="AB661" t="s">
        <v>92</v>
      </c>
      <c r="AC661" t="s">
        <v>70</v>
      </c>
      <c r="AD661" t="s">
        <v>61</v>
      </c>
      <c r="AE661" t="s">
        <v>62</v>
      </c>
      <c r="AF661" s="5">
        <f>DATE(YEAR(C661),MONTH(C661),1)</f>
        <v>45717</v>
      </c>
      <c r="AG661">
        <f>E661-D661</f>
        <v>21</v>
      </c>
      <c r="AH661" s="6">
        <f t="shared" si="10"/>
        <v>51.701275070020479</v>
      </c>
    </row>
    <row r="662" spans="1:34">
      <c r="A662" t="s">
        <v>1437</v>
      </c>
      <c r="B662" t="s">
        <v>1438</v>
      </c>
      <c r="C662" s="1">
        <v>45811</v>
      </c>
      <c r="D662" s="1">
        <v>45815</v>
      </c>
      <c r="E662" s="1">
        <v>45831</v>
      </c>
      <c r="F662" t="s">
        <v>234</v>
      </c>
      <c r="G662" t="s">
        <v>111</v>
      </c>
      <c r="H662" t="s">
        <v>150</v>
      </c>
      <c r="I662" t="s">
        <v>122</v>
      </c>
      <c r="J662" t="s">
        <v>40</v>
      </c>
      <c r="K662" t="s">
        <v>41</v>
      </c>
      <c r="L662" t="s">
        <v>116</v>
      </c>
      <c r="M662" t="s">
        <v>68</v>
      </c>
      <c r="N662">
        <v>1</v>
      </c>
      <c r="O662" t="s">
        <v>80</v>
      </c>
      <c r="P662" s="48">
        <v>30068.07</v>
      </c>
      <c r="Q662" s="48">
        <v>7991.02</v>
      </c>
      <c r="R662" s="48">
        <v>1222.42</v>
      </c>
      <c r="S662" s="48">
        <v>362.49</v>
      </c>
      <c r="T662" s="48">
        <v>300.68</v>
      </c>
      <c r="U662" s="48">
        <v>398.53</v>
      </c>
      <c r="V662" s="48">
        <v>408.54</v>
      </c>
      <c r="W662" s="48">
        <v>19384.39</v>
      </c>
      <c r="X662">
        <v>36</v>
      </c>
      <c r="Y662" t="s">
        <v>117</v>
      </c>
      <c r="Z662">
        <v>66.59</v>
      </c>
      <c r="AA662" t="s">
        <v>91</v>
      </c>
      <c r="AB662" t="s">
        <v>47</v>
      </c>
      <c r="AC662" t="s">
        <v>60</v>
      </c>
      <c r="AD662" t="s">
        <v>49</v>
      </c>
      <c r="AE662" t="s">
        <v>102</v>
      </c>
      <c r="AF662" s="5">
        <f>DATE(YEAR(C662),MONTH(C662),1)</f>
        <v>45809</v>
      </c>
      <c r="AG662">
        <f>E662-D662</f>
        <v>16</v>
      </c>
      <c r="AH662" s="6">
        <f t="shared" si="10"/>
        <v>64.468354636662738</v>
      </c>
    </row>
    <row r="663" spans="1:34">
      <c r="A663" t="s">
        <v>1439</v>
      </c>
      <c r="B663" t="s">
        <v>1440</v>
      </c>
      <c r="C663" s="1">
        <v>45813</v>
      </c>
      <c r="D663" s="1">
        <v>45816</v>
      </c>
      <c r="E663" s="1">
        <v>45836</v>
      </c>
      <c r="F663" t="s">
        <v>74</v>
      </c>
      <c r="G663" t="s">
        <v>75</v>
      </c>
      <c r="H663" t="s">
        <v>76</v>
      </c>
      <c r="I663" t="s">
        <v>56</v>
      </c>
      <c r="J663" t="s">
        <v>57</v>
      </c>
      <c r="K663" t="s">
        <v>58</v>
      </c>
      <c r="L663" t="s">
        <v>59</v>
      </c>
      <c r="M663" t="s">
        <v>43</v>
      </c>
      <c r="N663">
        <v>2</v>
      </c>
      <c r="O663" t="s">
        <v>69</v>
      </c>
      <c r="P663" s="48">
        <v>43108.39</v>
      </c>
      <c r="Q663" s="48">
        <v>7968.26</v>
      </c>
      <c r="R663" s="48">
        <v>2131.9499999999998</v>
      </c>
      <c r="S663" s="48">
        <v>534.12</v>
      </c>
      <c r="T663" s="48">
        <v>431.08</v>
      </c>
      <c r="U663" s="48">
        <v>221.13</v>
      </c>
      <c r="V663" s="48">
        <v>1204.9000000000001</v>
      </c>
      <c r="W663" s="48">
        <v>30616.95</v>
      </c>
      <c r="X663">
        <v>4</v>
      </c>
      <c r="Y663" t="s">
        <v>117</v>
      </c>
      <c r="Z663">
        <v>66.400000000000006</v>
      </c>
      <c r="AA663" t="s">
        <v>91</v>
      </c>
      <c r="AB663" t="s">
        <v>47</v>
      </c>
      <c r="AC663" t="s">
        <v>60</v>
      </c>
      <c r="AD663" t="s">
        <v>61</v>
      </c>
      <c r="AE663" t="s">
        <v>102</v>
      </c>
      <c r="AF663" s="5">
        <f>DATE(YEAR(C663),MONTH(C663),1)</f>
        <v>45809</v>
      </c>
      <c r="AG663">
        <f>E663-D663</f>
        <v>20</v>
      </c>
      <c r="AH663" s="6">
        <f t="shared" si="10"/>
        <v>71.023181334306386</v>
      </c>
    </row>
    <row r="664" spans="1:34">
      <c r="A664" t="s">
        <v>1441</v>
      </c>
      <c r="B664" t="s">
        <v>1442</v>
      </c>
      <c r="C664" s="1">
        <v>45740</v>
      </c>
      <c r="D664" s="1">
        <v>45742</v>
      </c>
      <c r="E664" s="1">
        <v>45755</v>
      </c>
      <c r="F664" t="s">
        <v>120</v>
      </c>
      <c r="G664" t="s">
        <v>75</v>
      </c>
      <c r="H664" t="s">
        <v>121</v>
      </c>
      <c r="I664" t="s">
        <v>87</v>
      </c>
      <c r="J664" t="s">
        <v>56</v>
      </c>
      <c r="K664" t="s">
        <v>41</v>
      </c>
      <c r="L664" t="s">
        <v>78</v>
      </c>
      <c r="M664" t="s">
        <v>68</v>
      </c>
      <c r="N664">
        <v>1</v>
      </c>
      <c r="O664" t="s">
        <v>54</v>
      </c>
      <c r="P664" s="48">
        <v>29187.24</v>
      </c>
      <c r="Q664" s="48">
        <v>7963.21</v>
      </c>
      <c r="R664" s="48">
        <v>1334.31</v>
      </c>
      <c r="S664" s="48">
        <v>313.14999999999998</v>
      </c>
      <c r="T664" s="48">
        <v>291.87</v>
      </c>
      <c r="U664" s="48">
        <v>884.14</v>
      </c>
      <c r="V664" s="48">
        <v>957.18</v>
      </c>
      <c r="W664" s="48">
        <v>17443.38</v>
      </c>
      <c r="X664">
        <v>0</v>
      </c>
      <c r="Y664" t="s">
        <v>45</v>
      </c>
      <c r="Z664">
        <v>66.36</v>
      </c>
      <c r="AA664" t="s">
        <v>46</v>
      </c>
      <c r="AB664" t="s">
        <v>47</v>
      </c>
      <c r="AC664" t="s">
        <v>48</v>
      </c>
      <c r="AD664" t="s">
        <v>144</v>
      </c>
      <c r="AE664" t="s">
        <v>102</v>
      </c>
      <c r="AF664" s="5">
        <f>DATE(YEAR(C664),MONTH(C664),1)</f>
        <v>45717</v>
      </c>
      <c r="AG664">
        <f>E664-D664</f>
        <v>13</v>
      </c>
      <c r="AH664" s="6">
        <f t="shared" si="10"/>
        <v>59.763718666102037</v>
      </c>
    </row>
    <row r="665" spans="1:34">
      <c r="A665" t="s">
        <v>1443</v>
      </c>
      <c r="B665" t="s">
        <v>1444</v>
      </c>
      <c r="C665" s="1">
        <v>45983</v>
      </c>
      <c r="D665" s="1">
        <v>45986</v>
      </c>
      <c r="E665" s="1">
        <v>45997</v>
      </c>
      <c r="F665" t="s">
        <v>74</v>
      </c>
      <c r="G665" t="s">
        <v>75</v>
      </c>
      <c r="H665" t="s">
        <v>76</v>
      </c>
      <c r="I665" t="s">
        <v>115</v>
      </c>
      <c r="J665" t="s">
        <v>98</v>
      </c>
      <c r="K665" t="s">
        <v>99</v>
      </c>
      <c r="L665" t="s">
        <v>127</v>
      </c>
      <c r="M665" t="s">
        <v>108</v>
      </c>
      <c r="N665">
        <v>2</v>
      </c>
      <c r="O665" t="s">
        <v>89</v>
      </c>
      <c r="P665" s="48">
        <v>29510.7</v>
      </c>
      <c r="Q665" s="48">
        <v>7953.22</v>
      </c>
      <c r="R665" s="48">
        <v>1865.99</v>
      </c>
      <c r="S665" s="48">
        <v>768.48</v>
      </c>
      <c r="T665" s="48">
        <v>295.11</v>
      </c>
      <c r="U665" s="48">
        <v>586.52</v>
      </c>
      <c r="V665" s="48">
        <v>816.21</v>
      </c>
      <c r="W665" s="48">
        <v>17225.169999999998</v>
      </c>
      <c r="X665">
        <v>0</v>
      </c>
      <c r="Y665" t="s">
        <v>45</v>
      </c>
      <c r="Z665">
        <v>66.28</v>
      </c>
      <c r="AA665" t="s">
        <v>46</v>
      </c>
      <c r="AB665" t="s">
        <v>92</v>
      </c>
      <c r="AC665" t="s">
        <v>48</v>
      </c>
      <c r="AD665" t="s">
        <v>93</v>
      </c>
      <c r="AE665" t="s">
        <v>50</v>
      </c>
      <c r="AF665" s="5">
        <f>DATE(YEAR(C665),MONTH(C665),1)</f>
        <v>45962</v>
      </c>
      <c r="AG665">
        <f>E665-D665</f>
        <v>11</v>
      </c>
      <c r="AH665" s="6">
        <f t="shared" si="10"/>
        <v>58.369235565405084</v>
      </c>
    </row>
    <row r="666" spans="1:34">
      <c r="A666" t="s">
        <v>1445</v>
      </c>
      <c r="B666" t="s">
        <v>1446</v>
      </c>
      <c r="C666" s="1">
        <v>45661</v>
      </c>
      <c r="D666" s="1">
        <v>45663</v>
      </c>
      <c r="E666" s="1">
        <v>45682</v>
      </c>
      <c r="F666" t="s">
        <v>74</v>
      </c>
      <c r="G666" t="s">
        <v>75</v>
      </c>
      <c r="H666" t="s">
        <v>76</v>
      </c>
      <c r="I666" t="s">
        <v>56</v>
      </c>
      <c r="J666" t="s">
        <v>57</v>
      </c>
      <c r="K666" t="s">
        <v>58</v>
      </c>
      <c r="L666" t="s">
        <v>127</v>
      </c>
      <c r="M666" t="s">
        <v>68</v>
      </c>
      <c r="N666">
        <v>2</v>
      </c>
      <c r="O666" t="s">
        <v>105</v>
      </c>
      <c r="P666" s="48">
        <v>33615.26</v>
      </c>
      <c r="Q666" s="48">
        <v>7937.08</v>
      </c>
      <c r="R666" s="48">
        <v>2063.5700000000002</v>
      </c>
      <c r="S666" s="48">
        <v>343.93</v>
      </c>
      <c r="T666" s="48">
        <v>336.15</v>
      </c>
      <c r="U666" s="48">
        <v>352.28</v>
      </c>
      <c r="V666" s="48">
        <v>1720.22</v>
      </c>
      <c r="W666" s="48">
        <v>20862.03</v>
      </c>
      <c r="X666">
        <v>48</v>
      </c>
      <c r="Y666" t="s">
        <v>135</v>
      </c>
      <c r="Z666">
        <v>66.14</v>
      </c>
      <c r="AA666" t="s">
        <v>91</v>
      </c>
      <c r="AB666" t="s">
        <v>47</v>
      </c>
      <c r="AC666" t="s">
        <v>48</v>
      </c>
      <c r="AD666" t="s">
        <v>130</v>
      </c>
      <c r="AE666" t="s">
        <v>50</v>
      </c>
      <c r="AF666" s="5">
        <f>DATE(YEAR(C666),MONTH(C666),1)</f>
        <v>45658</v>
      </c>
      <c r="AG666">
        <f>E666-D666</f>
        <v>19</v>
      </c>
      <c r="AH666" s="6">
        <f t="shared" si="10"/>
        <v>62.061188876718489</v>
      </c>
    </row>
    <row r="667" spans="1:34">
      <c r="A667" t="s">
        <v>1447</v>
      </c>
      <c r="B667" t="s">
        <v>1448</v>
      </c>
      <c r="C667" s="1">
        <v>45795</v>
      </c>
      <c r="D667" s="1">
        <v>45798</v>
      </c>
      <c r="E667" s="1">
        <v>45825</v>
      </c>
      <c r="F667" t="s">
        <v>53</v>
      </c>
      <c r="G667" t="s">
        <v>54</v>
      </c>
      <c r="H667" t="s">
        <v>55</v>
      </c>
      <c r="I667" t="s">
        <v>115</v>
      </c>
      <c r="J667" t="s">
        <v>56</v>
      </c>
      <c r="K667" t="s">
        <v>41</v>
      </c>
      <c r="L667" t="s">
        <v>59</v>
      </c>
      <c r="M667" t="s">
        <v>108</v>
      </c>
      <c r="N667">
        <v>2</v>
      </c>
      <c r="O667" t="s">
        <v>111</v>
      </c>
      <c r="P667" s="48">
        <v>35511.47</v>
      </c>
      <c r="Q667" s="48">
        <v>7933.7</v>
      </c>
      <c r="R667" s="48">
        <v>2799.92</v>
      </c>
      <c r="S667" s="48">
        <v>922.93</v>
      </c>
      <c r="T667" s="48">
        <v>355.11</v>
      </c>
      <c r="U667" s="48">
        <v>343.58</v>
      </c>
      <c r="V667" s="48">
        <v>1370.44</v>
      </c>
      <c r="W667" s="48">
        <v>21785.79</v>
      </c>
      <c r="X667">
        <v>48</v>
      </c>
      <c r="Y667" t="s">
        <v>112</v>
      </c>
      <c r="Z667">
        <v>66.11</v>
      </c>
      <c r="AA667" t="s">
        <v>91</v>
      </c>
      <c r="AB667" t="s">
        <v>47</v>
      </c>
      <c r="AC667" t="s">
        <v>70</v>
      </c>
      <c r="AD667" t="s">
        <v>61</v>
      </c>
      <c r="AE667" t="s">
        <v>102</v>
      </c>
      <c r="AF667" s="5">
        <f>DATE(YEAR(C667),MONTH(C667),1)</f>
        <v>45778</v>
      </c>
      <c r="AG667">
        <f>E667-D667</f>
        <v>27</v>
      </c>
      <c r="AH667" s="6">
        <f t="shared" si="10"/>
        <v>61.348600888670624</v>
      </c>
    </row>
    <row r="668" spans="1:34">
      <c r="A668" t="s">
        <v>1449</v>
      </c>
      <c r="B668" t="s">
        <v>1450</v>
      </c>
      <c r="C668" s="1">
        <v>45920</v>
      </c>
      <c r="D668" s="1">
        <v>45922</v>
      </c>
      <c r="E668" s="1">
        <v>45938</v>
      </c>
      <c r="F668" t="s">
        <v>53</v>
      </c>
      <c r="G668" t="s">
        <v>54</v>
      </c>
      <c r="H668" t="s">
        <v>55</v>
      </c>
      <c r="I668" t="s">
        <v>56</v>
      </c>
      <c r="J668" t="s">
        <v>56</v>
      </c>
      <c r="K668" t="s">
        <v>41</v>
      </c>
      <c r="L668" t="s">
        <v>100</v>
      </c>
      <c r="M668" t="s">
        <v>68</v>
      </c>
      <c r="N668">
        <v>2</v>
      </c>
      <c r="O668" t="s">
        <v>89</v>
      </c>
      <c r="P668" s="48">
        <v>33500.519999999997</v>
      </c>
      <c r="Q668" s="48">
        <v>7933</v>
      </c>
      <c r="R668" s="48">
        <v>2644.3</v>
      </c>
      <c r="S668" s="48">
        <v>927.8</v>
      </c>
      <c r="T668" s="48">
        <v>335.01</v>
      </c>
      <c r="U668" s="48">
        <v>287.92</v>
      </c>
      <c r="V668" s="48">
        <v>2486.59</v>
      </c>
      <c r="W668" s="48">
        <v>18885.900000000001</v>
      </c>
      <c r="X668">
        <v>36</v>
      </c>
      <c r="Y668" t="s">
        <v>135</v>
      </c>
      <c r="Z668">
        <v>66.11</v>
      </c>
      <c r="AA668" t="s">
        <v>91</v>
      </c>
      <c r="AB668" t="s">
        <v>47</v>
      </c>
      <c r="AC668" t="s">
        <v>60</v>
      </c>
      <c r="AD668" t="s">
        <v>61</v>
      </c>
      <c r="AE668" t="s">
        <v>71</v>
      </c>
      <c r="AF668" s="5">
        <f>DATE(YEAR(C668),MONTH(C668),1)</f>
        <v>45901</v>
      </c>
      <c r="AG668">
        <f>E668-D668</f>
        <v>16</v>
      </c>
      <c r="AH668" s="6">
        <f t="shared" si="10"/>
        <v>56.37494582173651</v>
      </c>
    </row>
    <row r="669" spans="1:34">
      <c r="A669" t="s">
        <v>1451</v>
      </c>
      <c r="B669" t="s">
        <v>1452</v>
      </c>
      <c r="C669" s="1">
        <v>45898</v>
      </c>
      <c r="D669" s="1">
        <v>45899</v>
      </c>
      <c r="E669" s="1">
        <v>45917</v>
      </c>
      <c r="F669" t="s">
        <v>65</v>
      </c>
      <c r="G669" t="s">
        <v>66</v>
      </c>
      <c r="H669" t="s">
        <v>67</v>
      </c>
      <c r="I669" t="s">
        <v>40</v>
      </c>
      <c r="J669" t="s">
        <v>122</v>
      </c>
      <c r="K669" t="s">
        <v>123</v>
      </c>
      <c r="L669" t="s">
        <v>124</v>
      </c>
      <c r="M669" t="s">
        <v>43</v>
      </c>
      <c r="N669">
        <v>2</v>
      </c>
      <c r="O669" t="s">
        <v>111</v>
      </c>
      <c r="P669" s="48">
        <v>29357.94</v>
      </c>
      <c r="Q669" s="48">
        <v>7923.52</v>
      </c>
      <c r="R669" s="48">
        <v>2211.52</v>
      </c>
      <c r="S669" s="48">
        <v>424.53</v>
      </c>
      <c r="T669" s="48">
        <v>293.58</v>
      </c>
      <c r="U669" s="48">
        <v>254.35</v>
      </c>
      <c r="V669" s="48">
        <v>1776.43</v>
      </c>
      <c r="W669" s="48">
        <v>16474.009999999998</v>
      </c>
      <c r="X669">
        <v>0</v>
      </c>
      <c r="Y669" t="s">
        <v>45</v>
      </c>
      <c r="Z669">
        <v>66.03</v>
      </c>
      <c r="AA669" t="s">
        <v>46</v>
      </c>
      <c r="AB669" t="s">
        <v>47</v>
      </c>
      <c r="AC669" t="s">
        <v>60</v>
      </c>
      <c r="AD669" t="s">
        <v>144</v>
      </c>
      <c r="AE669" t="s">
        <v>71</v>
      </c>
      <c r="AF669" s="5">
        <f>DATE(YEAR(C669),MONTH(C669),1)</f>
        <v>45870</v>
      </c>
      <c r="AG669">
        <f>E669-D669</f>
        <v>18</v>
      </c>
      <c r="AH669" s="6">
        <f t="shared" si="10"/>
        <v>56.114325460165112</v>
      </c>
    </row>
    <row r="670" spans="1:34">
      <c r="A670" t="s">
        <v>1453</v>
      </c>
      <c r="B670" t="s">
        <v>1454</v>
      </c>
      <c r="C670" s="1">
        <v>45860</v>
      </c>
      <c r="D670" s="1">
        <v>45861</v>
      </c>
      <c r="E670" s="1">
        <v>45874</v>
      </c>
      <c r="F670" t="s">
        <v>96</v>
      </c>
      <c r="G670" t="s">
        <v>97</v>
      </c>
      <c r="H670" t="s">
        <v>76</v>
      </c>
      <c r="I670" t="s">
        <v>57</v>
      </c>
      <c r="J670" t="s">
        <v>98</v>
      </c>
      <c r="K670" t="s">
        <v>99</v>
      </c>
      <c r="L670" t="s">
        <v>59</v>
      </c>
      <c r="M670" t="s">
        <v>43</v>
      </c>
      <c r="N670">
        <v>2</v>
      </c>
      <c r="O670" t="s">
        <v>111</v>
      </c>
      <c r="P670" s="48">
        <v>34559.96</v>
      </c>
      <c r="Q670" s="48">
        <v>7865.44</v>
      </c>
      <c r="R670" s="48">
        <v>2510.21</v>
      </c>
      <c r="S670" s="48">
        <v>844.57</v>
      </c>
      <c r="T670" s="48">
        <v>345.6</v>
      </c>
      <c r="U670" s="48">
        <v>654.79999999999995</v>
      </c>
      <c r="V670" s="48">
        <v>2445.52</v>
      </c>
      <c r="W670" s="48">
        <v>19893.82</v>
      </c>
      <c r="X670">
        <v>4</v>
      </c>
      <c r="Y670" t="s">
        <v>135</v>
      </c>
      <c r="Z670">
        <v>65.55</v>
      </c>
      <c r="AA670" t="s">
        <v>91</v>
      </c>
      <c r="AB670" t="s">
        <v>92</v>
      </c>
      <c r="AC670" t="s">
        <v>48</v>
      </c>
      <c r="AD670" t="s">
        <v>144</v>
      </c>
      <c r="AE670" t="s">
        <v>71</v>
      </c>
      <c r="AF670" s="5">
        <f>DATE(YEAR(C670),MONTH(C670),1)</f>
        <v>45839</v>
      </c>
      <c r="AG670">
        <f>E670-D670</f>
        <v>13</v>
      </c>
      <c r="AH670" s="6">
        <f t="shared" si="10"/>
        <v>57.563203198151847</v>
      </c>
    </row>
    <row r="671" spans="1:34">
      <c r="A671" t="s">
        <v>1455</v>
      </c>
      <c r="B671" t="s">
        <v>1456</v>
      </c>
      <c r="C671" s="1">
        <v>45939</v>
      </c>
      <c r="D671" s="1">
        <v>45942</v>
      </c>
      <c r="E671" s="1">
        <v>45957</v>
      </c>
      <c r="F671" t="s">
        <v>96</v>
      </c>
      <c r="G671" t="s">
        <v>97</v>
      </c>
      <c r="H671" t="s">
        <v>76</v>
      </c>
      <c r="I671" t="s">
        <v>39</v>
      </c>
      <c r="J671" t="s">
        <v>77</v>
      </c>
      <c r="K671" t="s">
        <v>41</v>
      </c>
      <c r="L671" t="s">
        <v>124</v>
      </c>
      <c r="M671" t="s">
        <v>68</v>
      </c>
      <c r="N671">
        <v>2</v>
      </c>
      <c r="O671" t="s">
        <v>105</v>
      </c>
      <c r="P671" s="48">
        <v>27140.86</v>
      </c>
      <c r="Q671" s="48">
        <v>7813.92</v>
      </c>
      <c r="R671" s="48">
        <v>1722.26</v>
      </c>
      <c r="S671" s="48">
        <v>761.42</v>
      </c>
      <c r="T671" s="48">
        <v>271.41000000000003</v>
      </c>
      <c r="U671" s="48">
        <v>230.03</v>
      </c>
      <c r="V671" s="48">
        <v>933.99</v>
      </c>
      <c r="W671" s="48">
        <v>15407.83</v>
      </c>
      <c r="X671">
        <v>0</v>
      </c>
      <c r="Y671" t="s">
        <v>45</v>
      </c>
      <c r="Z671">
        <v>65.12</v>
      </c>
      <c r="AA671" t="s">
        <v>46</v>
      </c>
      <c r="AB671" t="s">
        <v>92</v>
      </c>
      <c r="AC671" t="s">
        <v>60</v>
      </c>
      <c r="AD671" t="s">
        <v>93</v>
      </c>
      <c r="AE671" t="s">
        <v>62</v>
      </c>
      <c r="AF671" s="5">
        <f>DATE(YEAR(C671),MONTH(C671),1)</f>
        <v>45931</v>
      </c>
      <c r="AG671">
        <f>E671-D671</f>
        <v>15</v>
      </c>
      <c r="AH671" s="6">
        <f t="shared" si="10"/>
        <v>56.769866540706516</v>
      </c>
    </row>
    <row r="672" spans="1:34">
      <c r="A672" t="s">
        <v>1457</v>
      </c>
      <c r="B672" t="s">
        <v>1458</v>
      </c>
      <c r="C672" s="1">
        <v>45852</v>
      </c>
      <c r="D672" s="1">
        <v>45856</v>
      </c>
      <c r="E672" s="1">
        <v>45879</v>
      </c>
      <c r="F672" t="s">
        <v>234</v>
      </c>
      <c r="G672" t="s">
        <v>111</v>
      </c>
      <c r="H672" t="s">
        <v>150</v>
      </c>
      <c r="I672" t="s">
        <v>115</v>
      </c>
      <c r="J672" t="s">
        <v>98</v>
      </c>
      <c r="K672" t="s">
        <v>99</v>
      </c>
      <c r="L672" t="s">
        <v>59</v>
      </c>
      <c r="M672" t="s">
        <v>68</v>
      </c>
      <c r="N672">
        <v>1</v>
      </c>
      <c r="O672" t="s">
        <v>44</v>
      </c>
      <c r="P672" s="48">
        <v>29210.67</v>
      </c>
      <c r="Q672" s="48">
        <v>7799.79</v>
      </c>
      <c r="R672" s="48">
        <v>1624.31</v>
      </c>
      <c r="S672" s="48">
        <v>437.6</v>
      </c>
      <c r="T672" s="48">
        <v>292.11</v>
      </c>
      <c r="U672" s="48">
        <v>443.3</v>
      </c>
      <c r="V672" s="48">
        <v>1372</v>
      </c>
      <c r="W672" s="48">
        <v>17241.560000000001</v>
      </c>
      <c r="X672">
        <v>0</v>
      </c>
      <c r="Y672" t="s">
        <v>45</v>
      </c>
      <c r="Z672">
        <v>65</v>
      </c>
      <c r="AA672" t="s">
        <v>46</v>
      </c>
      <c r="AB672" t="s">
        <v>92</v>
      </c>
      <c r="AC672" t="s">
        <v>60</v>
      </c>
      <c r="AD672" t="s">
        <v>144</v>
      </c>
      <c r="AE672" t="s">
        <v>50</v>
      </c>
      <c r="AF672" s="5">
        <f>DATE(YEAR(C672),MONTH(C672),1)</f>
        <v>45839</v>
      </c>
      <c r="AG672">
        <f>E672-D672</f>
        <v>23</v>
      </c>
      <c r="AH672" s="6">
        <f t="shared" si="10"/>
        <v>59.024870021810528</v>
      </c>
    </row>
    <row r="673" spans="1:34">
      <c r="A673" t="s">
        <v>1459</v>
      </c>
      <c r="B673" t="s">
        <v>1460</v>
      </c>
      <c r="C673" s="1">
        <v>45929</v>
      </c>
      <c r="D673" s="1">
        <v>45930</v>
      </c>
      <c r="E673" s="1">
        <v>45950</v>
      </c>
      <c r="F673" t="s">
        <v>120</v>
      </c>
      <c r="G673" t="s">
        <v>75</v>
      </c>
      <c r="H673" t="s">
        <v>121</v>
      </c>
      <c r="I673" t="s">
        <v>56</v>
      </c>
      <c r="J673" t="s">
        <v>57</v>
      </c>
      <c r="K673" t="s">
        <v>58</v>
      </c>
      <c r="L673" t="s">
        <v>155</v>
      </c>
      <c r="M673" t="s">
        <v>79</v>
      </c>
      <c r="N673">
        <v>4</v>
      </c>
      <c r="O673" t="s">
        <v>80</v>
      </c>
      <c r="P673" s="48">
        <v>43397.3</v>
      </c>
      <c r="Q673" s="48">
        <v>7763.74</v>
      </c>
      <c r="R673" s="48">
        <v>2810.96</v>
      </c>
      <c r="S673" s="48">
        <v>1124.78</v>
      </c>
      <c r="T673" s="48">
        <v>433.97</v>
      </c>
      <c r="U673" s="48">
        <v>121.59</v>
      </c>
      <c r="V673" s="48">
        <v>781.35</v>
      </c>
      <c r="W673" s="48">
        <v>30360.91</v>
      </c>
      <c r="X673">
        <v>24</v>
      </c>
      <c r="Y673" t="s">
        <v>112</v>
      </c>
      <c r="Z673">
        <v>64.7</v>
      </c>
      <c r="AA673" t="s">
        <v>91</v>
      </c>
      <c r="AB673" t="s">
        <v>92</v>
      </c>
      <c r="AC673" t="s">
        <v>48</v>
      </c>
      <c r="AD673" t="s">
        <v>61</v>
      </c>
      <c r="AE673" t="s">
        <v>102</v>
      </c>
      <c r="AF673" s="5">
        <f>DATE(YEAR(C673),MONTH(C673),1)</f>
        <v>45901</v>
      </c>
      <c r="AG673">
        <f>E673-D673</f>
        <v>20</v>
      </c>
      <c r="AH673" s="6">
        <f t="shared" si="10"/>
        <v>69.960366197897088</v>
      </c>
    </row>
    <row r="674" spans="1:34">
      <c r="A674" t="s">
        <v>1461</v>
      </c>
      <c r="B674" t="s">
        <v>1462</v>
      </c>
      <c r="C674" s="1">
        <v>45850</v>
      </c>
      <c r="D674" s="1">
        <v>45854</v>
      </c>
      <c r="E674" s="1">
        <v>45883</v>
      </c>
      <c r="F674" t="s">
        <v>83</v>
      </c>
      <c r="G674" t="s">
        <v>84</v>
      </c>
      <c r="H674" t="s">
        <v>85</v>
      </c>
      <c r="I674" t="s">
        <v>40</v>
      </c>
      <c r="J674" t="s">
        <v>122</v>
      </c>
      <c r="K674" t="s">
        <v>123</v>
      </c>
      <c r="L674" t="s">
        <v>127</v>
      </c>
      <c r="M674" t="s">
        <v>108</v>
      </c>
      <c r="N674">
        <v>2</v>
      </c>
      <c r="O674" t="s">
        <v>54</v>
      </c>
      <c r="P674" s="48">
        <v>28174.6</v>
      </c>
      <c r="Q674" s="48">
        <v>7728.22</v>
      </c>
      <c r="R674" s="48">
        <v>1442.73</v>
      </c>
      <c r="S674" s="48">
        <v>766.62</v>
      </c>
      <c r="T674" s="48">
        <v>281.75</v>
      </c>
      <c r="U674" s="48">
        <v>574.23</v>
      </c>
      <c r="V674" s="48">
        <v>2444.42</v>
      </c>
      <c r="W674" s="48">
        <v>14936.63</v>
      </c>
      <c r="X674">
        <v>48</v>
      </c>
      <c r="Y674" t="s">
        <v>135</v>
      </c>
      <c r="Z674">
        <v>64.400000000000006</v>
      </c>
      <c r="AA674" t="s">
        <v>91</v>
      </c>
      <c r="AB674" t="s">
        <v>47</v>
      </c>
      <c r="AC674" t="s">
        <v>60</v>
      </c>
      <c r="AD674" t="s">
        <v>144</v>
      </c>
      <c r="AE674" t="s">
        <v>50</v>
      </c>
      <c r="AF674" s="5">
        <f>DATE(YEAR(C674),MONTH(C674),1)</f>
        <v>45839</v>
      </c>
      <c r="AG674">
        <f>E674-D674</f>
        <v>29</v>
      </c>
      <c r="AH674" s="6">
        <f t="shared" si="10"/>
        <v>53.014523719946339</v>
      </c>
    </row>
    <row r="675" spans="1:34">
      <c r="A675" t="s">
        <v>1463</v>
      </c>
      <c r="B675" t="s">
        <v>1464</v>
      </c>
      <c r="C675" s="1">
        <v>46009</v>
      </c>
      <c r="D675" s="1">
        <v>46012</v>
      </c>
      <c r="E675" s="1">
        <v>46030</v>
      </c>
      <c r="F675" t="s">
        <v>149</v>
      </c>
      <c r="G675" t="s">
        <v>111</v>
      </c>
      <c r="H675" t="s">
        <v>150</v>
      </c>
      <c r="I675" t="s">
        <v>86</v>
      </c>
      <c r="J675" t="s">
        <v>87</v>
      </c>
      <c r="K675" t="s">
        <v>88</v>
      </c>
      <c r="L675" t="s">
        <v>59</v>
      </c>
      <c r="M675" t="s">
        <v>79</v>
      </c>
      <c r="N675">
        <v>2</v>
      </c>
      <c r="O675" t="s">
        <v>69</v>
      </c>
      <c r="P675" s="48">
        <v>25988.73</v>
      </c>
      <c r="Q675" s="48">
        <v>7709.04</v>
      </c>
      <c r="R675" s="48">
        <v>1214.05</v>
      </c>
      <c r="S675" s="48">
        <v>706.44</v>
      </c>
      <c r="T675" s="48">
        <v>259.89</v>
      </c>
      <c r="U675" s="48">
        <v>311.26</v>
      </c>
      <c r="V675" s="48">
        <v>2109.9899999999998</v>
      </c>
      <c r="W675" s="48">
        <v>13678.06</v>
      </c>
      <c r="X675">
        <v>0</v>
      </c>
      <c r="Y675" t="s">
        <v>45</v>
      </c>
      <c r="Z675">
        <v>64.239999999999995</v>
      </c>
      <c r="AA675" t="s">
        <v>46</v>
      </c>
      <c r="AB675" t="s">
        <v>47</v>
      </c>
      <c r="AC675" t="s">
        <v>48</v>
      </c>
      <c r="AD675" t="s">
        <v>130</v>
      </c>
      <c r="AE675" t="s">
        <v>50</v>
      </c>
      <c r="AF675" s="5">
        <f>DATE(YEAR(C675),MONTH(C675),1)</f>
        <v>45992</v>
      </c>
      <c r="AG675">
        <f>E675-D675</f>
        <v>18</v>
      </c>
      <c r="AH675" s="6">
        <f t="shared" si="10"/>
        <v>52.630736476926728</v>
      </c>
    </row>
    <row r="676" spans="1:34">
      <c r="A676" t="s">
        <v>1465</v>
      </c>
      <c r="B676" t="s">
        <v>1466</v>
      </c>
      <c r="C676" s="1">
        <v>45817</v>
      </c>
      <c r="D676" s="1">
        <v>45821</v>
      </c>
      <c r="E676" s="1">
        <v>45843</v>
      </c>
      <c r="F676" t="s">
        <v>180</v>
      </c>
      <c r="G676" t="s">
        <v>181</v>
      </c>
      <c r="H676" t="s">
        <v>38</v>
      </c>
      <c r="I676" t="s">
        <v>40</v>
      </c>
      <c r="J676" t="s">
        <v>122</v>
      </c>
      <c r="K676" t="s">
        <v>123</v>
      </c>
      <c r="L676" t="s">
        <v>59</v>
      </c>
      <c r="M676" t="s">
        <v>108</v>
      </c>
      <c r="N676">
        <v>4</v>
      </c>
      <c r="O676" t="s">
        <v>111</v>
      </c>
      <c r="P676" s="48">
        <v>39732.47</v>
      </c>
      <c r="Q676" s="48">
        <v>7686.12</v>
      </c>
      <c r="R676" s="48">
        <v>2227.3000000000002</v>
      </c>
      <c r="S676" s="48">
        <v>795.94</v>
      </c>
      <c r="T676" s="48">
        <v>397.32</v>
      </c>
      <c r="U676" s="48">
        <v>248.45</v>
      </c>
      <c r="V676" s="48">
        <v>2439.37</v>
      </c>
      <c r="W676" s="48">
        <v>25937.97</v>
      </c>
      <c r="X676">
        <v>8</v>
      </c>
      <c r="Y676" t="s">
        <v>135</v>
      </c>
      <c r="Z676">
        <v>64.05</v>
      </c>
      <c r="AA676" t="s">
        <v>91</v>
      </c>
      <c r="AB676" t="s">
        <v>47</v>
      </c>
      <c r="AC676" t="s">
        <v>60</v>
      </c>
      <c r="AD676" t="s">
        <v>130</v>
      </c>
      <c r="AE676" t="s">
        <v>50</v>
      </c>
      <c r="AF676" s="5">
        <f>DATE(YEAR(C676),MONTH(C676),1)</f>
        <v>45809</v>
      </c>
      <c r="AG676">
        <f>E676-D676</f>
        <v>22</v>
      </c>
      <c r="AH676" s="6">
        <f t="shared" si="10"/>
        <v>65.281544288588151</v>
      </c>
    </row>
    <row r="677" spans="1:34">
      <c r="A677" t="s">
        <v>1467</v>
      </c>
      <c r="B677" t="s">
        <v>1468</v>
      </c>
      <c r="C677" s="1">
        <v>45699</v>
      </c>
      <c r="D677" s="1">
        <v>45703</v>
      </c>
      <c r="E677" s="1">
        <v>45716</v>
      </c>
      <c r="F677" t="s">
        <v>153</v>
      </c>
      <c r="G677" t="s">
        <v>75</v>
      </c>
      <c r="H677" t="s">
        <v>154</v>
      </c>
      <c r="I677" t="s">
        <v>56</v>
      </c>
      <c r="J677" t="s">
        <v>98</v>
      </c>
      <c r="K677" t="s">
        <v>41</v>
      </c>
      <c r="L677" t="s">
        <v>59</v>
      </c>
      <c r="M677" t="s">
        <v>79</v>
      </c>
      <c r="N677">
        <v>2</v>
      </c>
      <c r="O677" t="s">
        <v>54</v>
      </c>
      <c r="P677" s="48">
        <v>37348.410000000003</v>
      </c>
      <c r="Q677" s="48">
        <v>7684.81</v>
      </c>
      <c r="R677" s="48">
        <v>2108.25</v>
      </c>
      <c r="S677" s="48">
        <v>952.86</v>
      </c>
      <c r="T677" s="48">
        <v>373.48</v>
      </c>
      <c r="U677" s="48">
        <v>666.1</v>
      </c>
      <c r="V677" s="48">
        <v>2469.65</v>
      </c>
      <c r="W677" s="48">
        <v>23093.26</v>
      </c>
      <c r="X677">
        <v>24</v>
      </c>
      <c r="Y677" t="s">
        <v>117</v>
      </c>
      <c r="Z677">
        <v>64.040000000000006</v>
      </c>
      <c r="AA677" t="s">
        <v>91</v>
      </c>
      <c r="AB677" t="s">
        <v>47</v>
      </c>
      <c r="AC677" t="s">
        <v>70</v>
      </c>
      <c r="AD677" t="s">
        <v>93</v>
      </c>
      <c r="AE677" t="s">
        <v>62</v>
      </c>
      <c r="AF677" s="5">
        <f>DATE(YEAR(C677),MONTH(C677),1)</f>
        <v>45689</v>
      </c>
      <c r="AG677">
        <f>E677-D677</f>
        <v>13</v>
      </c>
      <c r="AH677" s="6">
        <f t="shared" si="10"/>
        <v>61.831976247449347</v>
      </c>
    </row>
    <row r="678" spans="1:34">
      <c r="A678" t="s">
        <v>1469</v>
      </c>
      <c r="B678" t="s">
        <v>1470</v>
      </c>
      <c r="C678" s="1">
        <v>45926</v>
      </c>
      <c r="D678" s="1">
        <v>45929</v>
      </c>
      <c r="E678" s="1">
        <v>45954</v>
      </c>
      <c r="F678" t="s">
        <v>149</v>
      </c>
      <c r="G678" t="s">
        <v>111</v>
      </c>
      <c r="H678" t="s">
        <v>150</v>
      </c>
      <c r="I678" t="s">
        <v>77</v>
      </c>
      <c r="J678" t="s">
        <v>115</v>
      </c>
      <c r="K678" t="s">
        <v>41</v>
      </c>
      <c r="L678" t="s">
        <v>116</v>
      </c>
      <c r="M678" t="s">
        <v>79</v>
      </c>
      <c r="N678">
        <v>1</v>
      </c>
      <c r="O678" t="s">
        <v>80</v>
      </c>
      <c r="P678" s="48">
        <v>40537.300000000003</v>
      </c>
      <c r="Q678" s="48">
        <v>7679.41</v>
      </c>
      <c r="R678" s="48">
        <v>2557.87</v>
      </c>
      <c r="S678" s="48">
        <v>916.21</v>
      </c>
      <c r="T678" s="48">
        <v>405.37</v>
      </c>
      <c r="U678" s="48">
        <v>315.67</v>
      </c>
      <c r="V678" s="48">
        <v>1192.54</v>
      </c>
      <c r="W678" s="48">
        <v>27470.23</v>
      </c>
      <c r="X678">
        <v>24</v>
      </c>
      <c r="Y678" t="s">
        <v>135</v>
      </c>
      <c r="Z678">
        <v>64</v>
      </c>
      <c r="AA678" t="s">
        <v>91</v>
      </c>
      <c r="AB678" t="s">
        <v>92</v>
      </c>
      <c r="AC678" t="s">
        <v>48</v>
      </c>
      <c r="AD678" t="s">
        <v>49</v>
      </c>
      <c r="AE678" t="s">
        <v>62</v>
      </c>
      <c r="AF678" s="5">
        <f>DATE(YEAR(C678),MONTH(C678),1)</f>
        <v>45901</v>
      </c>
      <c r="AG678">
        <f>E678-D678</f>
        <v>25</v>
      </c>
      <c r="AH678" s="6">
        <f t="shared" si="10"/>
        <v>67.765317374368777</v>
      </c>
    </row>
    <row r="679" spans="1:34">
      <c r="A679" t="s">
        <v>1471</v>
      </c>
      <c r="B679" t="s">
        <v>1472</v>
      </c>
      <c r="C679" s="1">
        <v>45675</v>
      </c>
      <c r="D679" s="1">
        <v>45679</v>
      </c>
      <c r="E679" s="1">
        <v>45704</v>
      </c>
      <c r="F679" t="s">
        <v>149</v>
      </c>
      <c r="G679" t="s">
        <v>111</v>
      </c>
      <c r="H679" t="s">
        <v>150</v>
      </c>
      <c r="I679" t="s">
        <v>86</v>
      </c>
      <c r="J679" t="s">
        <v>77</v>
      </c>
      <c r="K679" t="s">
        <v>41</v>
      </c>
      <c r="L679" t="s">
        <v>127</v>
      </c>
      <c r="M679" t="s">
        <v>43</v>
      </c>
      <c r="N679">
        <v>2</v>
      </c>
      <c r="O679" t="s">
        <v>80</v>
      </c>
      <c r="P679" s="48">
        <v>44171.61</v>
      </c>
      <c r="Q679" s="48">
        <v>7664.56</v>
      </c>
      <c r="R679" s="48">
        <v>3378.47</v>
      </c>
      <c r="S679" s="48">
        <v>928.95</v>
      </c>
      <c r="T679" s="48">
        <v>441.72</v>
      </c>
      <c r="U679" s="48">
        <v>474.16</v>
      </c>
      <c r="V679" s="48">
        <v>1617.82</v>
      </c>
      <c r="W679" s="48">
        <v>29665.93</v>
      </c>
      <c r="X679">
        <v>12</v>
      </c>
      <c r="Y679" t="s">
        <v>117</v>
      </c>
      <c r="Z679">
        <v>63.87</v>
      </c>
      <c r="AA679" t="s">
        <v>91</v>
      </c>
      <c r="AB679" t="s">
        <v>92</v>
      </c>
      <c r="AC679" t="s">
        <v>70</v>
      </c>
      <c r="AD679" t="s">
        <v>93</v>
      </c>
      <c r="AE679" t="s">
        <v>71</v>
      </c>
      <c r="AF679" s="5">
        <f>DATE(YEAR(C679),MONTH(C679),1)</f>
        <v>45658</v>
      </c>
      <c r="AG679">
        <f>E679-D679</f>
        <v>25</v>
      </c>
      <c r="AH679" s="6">
        <f t="shared" si="10"/>
        <v>67.160626474787762</v>
      </c>
    </row>
    <row r="680" spans="1:34">
      <c r="A680" t="s">
        <v>1473</v>
      </c>
      <c r="B680" t="s">
        <v>1474</v>
      </c>
      <c r="C680" s="1">
        <v>45924</v>
      </c>
      <c r="D680" s="1">
        <v>45927</v>
      </c>
      <c r="E680" s="1">
        <v>45946</v>
      </c>
      <c r="F680" t="s">
        <v>96</v>
      </c>
      <c r="G680" t="s">
        <v>97</v>
      </c>
      <c r="H680" t="s">
        <v>76</v>
      </c>
      <c r="I680" t="s">
        <v>56</v>
      </c>
      <c r="J680" t="s">
        <v>57</v>
      </c>
      <c r="K680" t="s">
        <v>58</v>
      </c>
      <c r="L680" t="s">
        <v>127</v>
      </c>
      <c r="M680" t="s">
        <v>68</v>
      </c>
      <c r="N680">
        <v>4</v>
      </c>
      <c r="O680" t="s">
        <v>69</v>
      </c>
      <c r="P680" s="48">
        <v>44530.06</v>
      </c>
      <c r="Q680" s="48">
        <v>7654.97</v>
      </c>
      <c r="R680" s="48">
        <v>1952.45</v>
      </c>
      <c r="S680" s="48">
        <v>663.82</v>
      </c>
      <c r="T680" s="48">
        <v>445.3</v>
      </c>
      <c r="U680" s="48">
        <v>582.26</v>
      </c>
      <c r="V680" s="48">
        <v>1299.97</v>
      </c>
      <c r="W680" s="48">
        <v>31931.29</v>
      </c>
      <c r="X680">
        <v>12</v>
      </c>
      <c r="Y680" t="s">
        <v>117</v>
      </c>
      <c r="Z680">
        <v>63.79</v>
      </c>
      <c r="AA680" t="s">
        <v>91</v>
      </c>
      <c r="AB680" t="s">
        <v>47</v>
      </c>
      <c r="AC680" t="s">
        <v>48</v>
      </c>
      <c r="AD680" t="s">
        <v>61</v>
      </c>
      <c r="AE680" t="s">
        <v>102</v>
      </c>
      <c r="AF680" s="5">
        <f>DATE(YEAR(C680),MONTH(C680),1)</f>
        <v>45901</v>
      </c>
      <c r="AG680">
        <f>E680-D680</f>
        <v>19</v>
      </c>
      <c r="AH680" s="6">
        <f t="shared" si="10"/>
        <v>71.707269201972792</v>
      </c>
    </row>
    <row r="681" spans="1:34">
      <c r="A681" t="s">
        <v>1475</v>
      </c>
      <c r="B681" t="s">
        <v>1476</v>
      </c>
      <c r="C681" s="1">
        <v>45911</v>
      </c>
      <c r="D681" s="1">
        <v>45914</v>
      </c>
      <c r="E681" s="1">
        <v>45936</v>
      </c>
      <c r="F681" t="s">
        <v>149</v>
      </c>
      <c r="G681" t="s">
        <v>111</v>
      </c>
      <c r="H681" t="s">
        <v>150</v>
      </c>
      <c r="I681" t="s">
        <v>86</v>
      </c>
      <c r="J681" t="s">
        <v>87</v>
      </c>
      <c r="K681" t="s">
        <v>88</v>
      </c>
      <c r="L681" t="s">
        <v>116</v>
      </c>
      <c r="M681" t="s">
        <v>79</v>
      </c>
      <c r="N681">
        <v>1</v>
      </c>
      <c r="O681" t="s">
        <v>105</v>
      </c>
      <c r="P681" s="48">
        <v>28120.97</v>
      </c>
      <c r="Q681" s="48">
        <v>7648.89</v>
      </c>
      <c r="R681" s="48">
        <v>1374.6</v>
      </c>
      <c r="S681" s="48">
        <v>635.69000000000005</v>
      </c>
      <c r="T681" s="48">
        <v>281.20999999999998</v>
      </c>
      <c r="U681" s="48">
        <v>320.29000000000002</v>
      </c>
      <c r="V681" s="48">
        <v>442.51</v>
      </c>
      <c r="W681" s="48">
        <v>17417.78</v>
      </c>
      <c r="X681">
        <v>0</v>
      </c>
      <c r="Y681" t="s">
        <v>45</v>
      </c>
      <c r="Z681">
        <v>63.74</v>
      </c>
      <c r="AA681" t="s">
        <v>46</v>
      </c>
      <c r="AB681" t="s">
        <v>92</v>
      </c>
      <c r="AC681" t="s">
        <v>60</v>
      </c>
      <c r="AD681" t="s">
        <v>93</v>
      </c>
      <c r="AE681" t="s">
        <v>102</v>
      </c>
      <c r="AF681" s="5">
        <f>DATE(YEAR(C681),MONTH(C681),1)</f>
        <v>45901</v>
      </c>
      <c r="AG681">
        <f>E681-D681</f>
        <v>22</v>
      </c>
      <c r="AH681" s="6">
        <f t="shared" si="10"/>
        <v>61.938759580483882</v>
      </c>
    </row>
    <row r="682" spans="1:34">
      <c r="A682" t="s">
        <v>1477</v>
      </c>
      <c r="B682" t="s">
        <v>1478</v>
      </c>
      <c r="C682" s="1">
        <v>45907</v>
      </c>
      <c r="D682" s="1">
        <v>45908</v>
      </c>
      <c r="E682" s="1">
        <v>45925</v>
      </c>
      <c r="F682" t="s">
        <v>180</v>
      </c>
      <c r="G682" t="s">
        <v>181</v>
      </c>
      <c r="H682" t="s">
        <v>38</v>
      </c>
      <c r="I682" t="s">
        <v>57</v>
      </c>
      <c r="J682" t="s">
        <v>77</v>
      </c>
      <c r="K682" t="s">
        <v>41</v>
      </c>
      <c r="L682" t="s">
        <v>59</v>
      </c>
      <c r="M682" t="s">
        <v>108</v>
      </c>
      <c r="N682">
        <v>4</v>
      </c>
      <c r="O682" t="s">
        <v>89</v>
      </c>
      <c r="P682" s="48">
        <v>26427.39</v>
      </c>
      <c r="Q682" s="48">
        <v>7576.9</v>
      </c>
      <c r="R682" s="48">
        <v>1999.81</v>
      </c>
      <c r="S682" s="48">
        <v>434.65</v>
      </c>
      <c r="T682" s="48">
        <v>264.27</v>
      </c>
      <c r="U682" s="48">
        <v>425.85</v>
      </c>
      <c r="V682" s="48">
        <v>1490.62</v>
      </c>
      <c r="W682" s="48">
        <v>14235.29</v>
      </c>
      <c r="X682">
        <v>24</v>
      </c>
      <c r="Y682" t="s">
        <v>117</v>
      </c>
      <c r="Z682">
        <v>63.14</v>
      </c>
      <c r="AA682" t="s">
        <v>91</v>
      </c>
      <c r="AB682" t="s">
        <v>47</v>
      </c>
      <c r="AC682" t="s">
        <v>70</v>
      </c>
      <c r="AD682" t="s">
        <v>130</v>
      </c>
      <c r="AE682" t="s">
        <v>62</v>
      </c>
      <c r="AF682" s="5">
        <f>DATE(YEAR(C682),MONTH(C682),1)</f>
        <v>45901</v>
      </c>
      <c r="AG682">
        <f>E682-D682</f>
        <v>17</v>
      </c>
      <c r="AH682" s="6">
        <f t="shared" si="10"/>
        <v>53.865667400375152</v>
      </c>
    </row>
    <row r="683" spans="1:34">
      <c r="A683" t="s">
        <v>1479</v>
      </c>
      <c r="B683" t="s">
        <v>1480</v>
      </c>
      <c r="C683" s="1">
        <v>45800</v>
      </c>
      <c r="D683" s="1">
        <v>45802</v>
      </c>
      <c r="E683" s="1">
        <v>45815</v>
      </c>
      <c r="F683" t="s">
        <v>120</v>
      </c>
      <c r="G683" t="s">
        <v>75</v>
      </c>
      <c r="H683" t="s">
        <v>121</v>
      </c>
      <c r="I683" t="s">
        <v>115</v>
      </c>
      <c r="J683" t="s">
        <v>98</v>
      </c>
      <c r="K683" t="s">
        <v>99</v>
      </c>
      <c r="L683" t="s">
        <v>59</v>
      </c>
      <c r="M683" t="s">
        <v>79</v>
      </c>
      <c r="N683">
        <v>2</v>
      </c>
      <c r="O683" t="s">
        <v>111</v>
      </c>
      <c r="P683" s="48">
        <v>31075.46</v>
      </c>
      <c r="Q683" s="48">
        <v>7511</v>
      </c>
      <c r="R683" s="48">
        <v>1987.29</v>
      </c>
      <c r="S683" s="48">
        <v>715.37</v>
      </c>
      <c r="T683" s="48">
        <v>310.75</v>
      </c>
      <c r="U683" s="48">
        <v>851.57</v>
      </c>
      <c r="V683" s="48">
        <v>1222.81</v>
      </c>
      <c r="W683" s="48">
        <v>18476.669999999998</v>
      </c>
      <c r="X683">
        <v>4</v>
      </c>
      <c r="Y683" t="s">
        <v>90</v>
      </c>
      <c r="Z683">
        <v>62.59</v>
      </c>
      <c r="AA683" t="s">
        <v>91</v>
      </c>
      <c r="AB683" t="s">
        <v>92</v>
      </c>
      <c r="AC683" t="s">
        <v>60</v>
      </c>
      <c r="AD683" t="s">
        <v>49</v>
      </c>
      <c r="AE683" t="s">
        <v>62</v>
      </c>
      <c r="AF683" s="5">
        <f>DATE(YEAR(C683),MONTH(C683),1)</f>
        <v>45778</v>
      </c>
      <c r="AG683">
        <f>E683-D683</f>
        <v>13</v>
      </c>
      <c r="AH683" s="6">
        <f t="shared" si="10"/>
        <v>59.457430396846902</v>
      </c>
    </row>
    <row r="684" spans="1:34">
      <c r="A684" t="s">
        <v>1481</v>
      </c>
      <c r="B684" t="s">
        <v>1482</v>
      </c>
      <c r="C684" s="1">
        <v>45780</v>
      </c>
      <c r="D684" s="1">
        <v>45783</v>
      </c>
      <c r="E684" s="1">
        <v>45811</v>
      </c>
      <c r="F684" t="s">
        <v>149</v>
      </c>
      <c r="G684" t="s">
        <v>111</v>
      </c>
      <c r="H684" t="s">
        <v>150</v>
      </c>
      <c r="I684" t="s">
        <v>115</v>
      </c>
      <c r="J684" t="s">
        <v>98</v>
      </c>
      <c r="K684" t="s">
        <v>99</v>
      </c>
      <c r="L684" t="s">
        <v>42</v>
      </c>
      <c r="M684" t="s">
        <v>79</v>
      </c>
      <c r="N684">
        <v>2</v>
      </c>
      <c r="O684" t="s">
        <v>69</v>
      </c>
      <c r="P684" s="48">
        <v>27807.54</v>
      </c>
      <c r="Q684" s="48">
        <v>7490.58</v>
      </c>
      <c r="R684" s="48">
        <v>1337.68</v>
      </c>
      <c r="S684" s="48">
        <v>403.09</v>
      </c>
      <c r="T684" s="48">
        <v>278.08</v>
      </c>
      <c r="U684" s="48">
        <v>883.35</v>
      </c>
      <c r="V684" s="48">
        <v>1222.23</v>
      </c>
      <c r="W684" s="48">
        <v>16192.53</v>
      </c>
      <c r="X684">
        <v>12</v>
      </c>
      <c r="Y684" t="s">
        <v>112</v>
      </c>
      <c r="Z684">
        <v>62.42</v>
      </c>
      <c r="AA684" t="s">
        <v>91</v>
      </c>
      <c r="AB684" t="s">
        <v>47</v>
      </c>
      <c r="AC684" t="s">
        <v>60</v>
      </c>
      <c r="AD684" t="s">
        <v>93</v>
      </c>
      <c r="AE684" t="s">
        <v>102</v>
      </c>
      <c r="AF684" s="5">
        <f>DATE(YEAR(C684),MONTH(C684),1)</f>
        <v>45778</v>
      </c>
      <c r="AG684">
        <f>E684-D684</f>
        <v>28</v>
      </c>
      <c r="AH684" s="6">
        <f t="shared" si="10"/>
        <v>58.230717280277219</v>
      </c>
    </row>
    <row r="685" spans="1:34">
      <c r="A685" t="s">
        <v>1483</v>
      </c>
      <c r="B685" t="s">
        <v>1484</v>
      </c>
      <c r="C685" s="1">
        <v>45845</v>
      </c>
      <c r="D685" s="1">
        <v>45847</v>
      </c>
      <c r="E685" s="1">
        <v>45862</v>
      </c>
      <c r="F685" t="s">
        <v>74</v>
      </c>
      <c r="G685" t="s">
        <v>75</v>
      </c>
      <c r="H685" t="s">
        <v>76</v>
      </c>
      <c r="I685" t="s">
        <v>39</v>
      </c>
      <c r="J685" t="s">
        <v>56</v>
      </c>
      <c r="K685" t="s">
        <v>41</v>
      </c>
      <c r="L685" t="s">
        <v>59</v>
      </c>
      <c r="M685" t="s">
        <v>108</v>
      </c>
      <c r="N685">
        <v>1</v>
      </c>
      <c r="O685" t="s">
        <v>111</v>
      </c>
      <c r="P685" s="48">
        <v>41187.370000000003</v>
      </c>
      <c r="Q685" s="48">
        <v>7483.3</v>
      </c>
      <c r="R685" s="48">
        <v>2398.61</v>
      </c>
      <c r="S685" s="48">
        <v>507.2</v>
      </c>
      <c r="T685" s="48">
        <v>411.87</v>
      </c>
      <c r="U685" s="48">
        <v>804.16</v>
      </c>
      <c r="V685" s="48">
        <v>1631.05</v>
      </c>
      <c r="W685" s="48">
        <v>27951.18</v>
      </c>
      <c r="X685">
        <v>48</v>
      </c>
      <c r="Y685" t="s">
        <v>112</v>
      </c>
      <c r="Z685">
        <v>62.36</v>
      </c>
      <c r="AA685" t="s">
        <v>91</v>
      </c>
      <c r="AB685" t="s">
        <v>47</v>
      </c>
      <c r="AC685" t="s">
        <v>70</v>
      </c>
      <c r="AD685" t="s">
        <v>61</v>
      </c>
      <c r="AE685" t="s">
        <v>62</v>
      </c>
      <c r="AF685" s="5">
        <f>DATE(YEAR(C685),MONTH(C685),1)</f>
        <v>45839</v>
      </c>
      <c r="AG685">
        <f>E685-D685</f>
        <v>15</v>
      </c>
      <c r="AH685" s="6">
        <f t="shared" si="10"/>
        <v>67.863473681373677</v>
      </c>
    </row>
    <row r="686" spans="1:34">
      <c r="A686" t="s">
        <v>1485</v>
      </c>
      <c r="B686" t="s">
        <v>1486</v>
      </c>
      <c r="C686" s="1">
        <v>45840</v>
      </c>
      <c r="D686" s="1">
        <v>45841</v>
      </c>
      <c r="E686" s="1">
        <v>45858</v>
      </c>
      <c r="F686" t="s">
        <v>180</v>
      </c>
      <c r="G686" t="s">
        <v>181</v>
      </c>
      <c r="H686" t="s">
        <v>38</v>
      </c>
      <c r="I686" t="s">
        <v>56</v>
      </c>
      <c r="J686" t="s">
        <v>98</v>
      </c>
      <c r="K686" t="s">
        <v>41</v>
      </c>
      <c r="L686" t="s">
        <v>59</v>
      </c>
      <c r="M686" t="s">
        <v>43</v>
      </c>
      <c r="N686">
        <v>2</v>
      </c>
      <c r="O686" t="s">
        <v>105</v>
      </c>
      <c r="P686" s="48">
        <v>27588.11</v>
      </c>
      <c r="Q686" s="48">
        <v>7482.36</v>
      </c>
      <c r="R686" s="48">
        <v>2061.79</v>
      </c>
      <c r="S686" s="48">
        <v>682.89</v>
      </c>
      <c r="T686" s="48">
        <v>275.88</v>
      </c>
      <c r="U686" s="48">
        <v>508.02</v>
      </c>
      <c r="V686" s="48">
        <v>1421.94</v>
      </c>
      <c r="W686" s="48">
        <v>15155.23</v>
      </c>
      <c r="X686">
        <v>0</v>
      </c>
      <c r="Y686" t="s">
        <v>45</v>
      </c>
      <c r="Z686">
        <v>62.35</v>
      </c>
      <c r="AA686" t="s">
        <v>46</v>
      </c>
      <c r="AB686" t="s">
        <v>47</v>
      </c>
      <c r="AC686" t="s">
        <v>60</v>
      </c>
      <c r="AD686" t="s">
        <v>93</v>
      </c>
      <c r="AE686" t="s">
        <v>71</v>
      </c>
      <c r="AF686" s="5">
        <f>DATE(YEAR(C686),MONTH(C686),1)</f>
        <v>45839</v>
      </c>
      <c r="AG686">
        <f>E686-D686</f>
        <v>17</v>
      </c>
      <c r="AH686" s="6">
        <f t="shared" si="10"/>
        <v>54.933918996263245</v>
      </c>
    </row>
    <row r="687" spans="1:34">
      <c r="A687" t="s">
        <v>1487</v>
      </c>
      <c r="B687" t="s">
        <v>1488</v>
      </c>
      <c r="C687" s="1">
        <v>45925</v>
      </c>
      <c r="D687" s="1">
        <v>45926</v>
      </c>
      <c r="E687" s="1">
        <v>45946</v>
      </c>
      <c r="F687" t="s">
        <v>65</v>
      </c>
      <c r="G687" t="s">
        <v>66</v>
      </c>
      <c r="H687" t="s">
        <v>67</v>
      </c>
      <c r="I687" t="s">
        <v>40</v>
      </c>
      <c r="J687" t="s">
        <v>122</v>
      </c>
      <c r="K687" t="s">
        <v>123</v>
      </c>
      <c r="L687" t="s">
        <v>42</v>
      </c>
      <c r="M687" t="s">
        <v>43</v>
      </c>
      <c r="N687">
        <v>2</v>
      </c>
      <c r="O687" t="s">
        <v>80</v>
      </c>
      <c r="P687" s="48">
        <v>45090.49</v>
      </c>
      <c r="Q687" s="48">
        <v>7470.66</v>
      </c>
      <c r="R687" s="48">
        <v>2671.38</v>
      </c>
      <c r="S687" s="48">
        <v>750.94</v>
      </c>
      <c r="T687" s="48">
        <v>450.9</v>
      </c>
      <c r="U687" s="48">
        <v>298.82</v>
      </c>
      <c r="V687" s="48">
        <v>1631.67</v>
      </c>
      <c r="W687" s="48">
        <v>31816.12</v>
      </c>
      <c r="X687">
        <v>24</v>
      </c>
      <c r="Y687" t="s">
        <v>135</v>
      </c>
      <c r="Z687">
        <v>62.26</v>
      </c>
      <c r="AA687" t="s">
        <v>91</v>
      </c>
      <c r="AB687" t="s">
        <v>92</v>
      </c>
      <c r="AC687" t="s">
        <v>70</v>
      </c>
      <c r="AD687" t="s">
        <v>144</v>
      </c>
      <c r="AE687" t="s">
        <v>102</v>
      </c>
      <c r="AF687" s="5">
        <f>DATE(YEAR(C687),MONTH(C687),1)</f>
        <v>45901</v>
      </c>
      <c r="AG687">
        <f>E687-D687</f>
        <v>20</v>
      </c>
      <c r="AH687" s="6">
        <f t="shared" si="10"/>
        <v>70.56059936363522</v>
      </c>
    </row>
    <row r="688" spans="1:34">
      <c r="A688" t="s">
        <v>1489</v>
      </c>
      <c r="B688" t="s">
        <v>1490</v>
      </c>
      <c r="C688" s="1">
        <v>45921</v>
      </c>
      <c r="D688" s="1">
        <v>45924</v>
      </c>
      <c r="E688" s="1">
        <v>45948</v>
      </c>
      <c r="F688" t="s">
        <v>36</v>
      </c>
      <c r="G688" t="s">
        <v>37</v>
      </c>
      <c r="H688" t="s">
        <v>38</v>
      </c>
      <c r="I688" t="s">
        <v>115</v>
      </c>
      <c r="J688" t="s">
        <v>98</v>
      </c>
      <c r="K688" t="s">
        <v>99</v>
      </c>
      <c r="L688" t="s">
        <v>42</v>
      </c>
      <c r="M688" t="s">
        <v>79</v>
      </c>
      <c r="N688">
        <v>1</v>
      </c>
      <c r="O688" t="s">
        <v>69</v>
      </c>
      <c r="P688" s="48">
        <v>38308.019999999997</v>
      </c>
      <c r="Q688" s="48">
        <v>7458.87</v>
      </c>
      <c r="R688" s="48">
        <v>2532.35</v>
      </c>
      <c r="S688" s="48">
        <v>455.54</v>
      </c>
      <c r="T688" s="48">
        <v>383.08</v>
      </c>
      <c r="U688" s="48">
        <v>146.19999999999999</v>
      </c>
      <c r="V688" s="48">
        <v>882.49</v>
      </c>
      <c r="W688" s="48">
        <v>26449.49</v>
      </c>
      <c r="X688">
        <v>48</v>
      </c>
      <c r="Y688" t="s">
        <v>101</v>
      </c>
      <c r="Z688">
        <v>62.16</v>
      </c>
      <c r="AA688" t="s">
        <v>91</v>
      </c>
      <c r="AB688" t="s">
        <v>47</v>
      </c>
      <c r="AC688" t="s">
        <v>70</v>
      </c>
      <c r="AD688" t="s">
        <v>144</v>
      </c>
      <c r="AE688" t="s">
        <v>102</v>
      </c>
      <c r="AF688" s="5">
        <f>DATE(YEAR(C688),MONTH(C688),1)</f>
        <v>45901</v>
      </c>
      <c r="AG688">
        <f>E688-D688</f>
        <v>24</v>
      </c>
      <c r="AH688" s="6">
        <f t="shared" si="10"/>
        <v>69.044262794057232</v>
      </c>
    </row>
    <row r="689" spans="1:34">
      <c r="A689" t="s">
        <v>1491</v>
      </c>
      <c r="B689" t="s">
        <v>1492</v>
      </c>
      <c r="C689" s="1">
        <v>45904</v>
      </c>
      <c r="D689" s="1">
        <v>45905</v>
      </c>
      <c r="E689" s="1">
        <v>45933</v>
      </c>
      <c r="F689" t="s">
        <v>65</v>
      </c>
      <c r="G689" t="s">
        <v>66</v>
      </c>
      <c r="H689" t="s">
        <v>67</v>
      </c>
      <c r="I689" t="s">
        <v>56</v>
      </c>
      <c r="J689" t="s">
        <v>57</v>
      </c>
      <c r="K689" t="s">
        <v>58</v>
      </c>
      <c r="L689" t="s">
        <v>155</v>
      </c>
      <c r="M689" t="s">
        <v>108</v>
      </c>
      <c r="N689">
        <v>1</v>
      </c>
      <c r="O689" t="s">
        <v>80</v>
      </c>
      <c r="P689" s="48">
        <v>30782.78</v>
      </c>
      <c r="Q689" s="48">
        <v>7452.91</v>
      </c>
      <c r="R689" s="48">
        <v>2315.58</v>
      </c>
      <c r="S689" s="48">
        <v>666.64</v>
      </c>
      <c r="T689" s="48">
        <v>307.83</v>
      </c>
      <c r="U689" s="48">
        <v>551.14</v>
      </c>
      <c r="V689" s="48">
        <v>1650.41</v>
      </c>
      <c r="W689" s="48">
        <v>17838.27</v>
      </c>
      <c r="X689">
        <v>4</v>
      </c>
      <c r="Y689" t="s">
        <v>135</v>
      </c>
      <c r="Z689">
        <v>62.11</v>
      </c>
      <c r="AA689" t="s">
        <v>91</v>
      </c>
      <c r="AB689" t="s">
        <v>47</v>
      </c>
      <c r="AC689" t="s">
        <v>48</v>
      </c>
      <c r="AD689" t="s">
        <v>61</v>
      </c>
      <c r="AE689" t="s">
        <v>102</v>
      </c>
      <c r="AF689" s="5">
        <f>DATE(YEAR(C689),MONTH(C689),1)</f>
        <v>45901</v>
      </c>
      <c r="AG689">
        <f>E689-D689</f>
        <v>28</v>
      </c>
      <c r="AH689" s="6">
        <f t="shared" si="10"/>
        <v>57.948859719622469</v>
      </c>
    </row>
    <row r="690" spans="1:34">
      <c r="A690" t="s">
        <v>1493</v>
      </c>
      <c r="B690" t="s">
        <v>1494</v>
      </c>
      <c r="C690" s="1">
        <v>45710</v>
      </c>
      <c r="D690" s="1">
        <v>45713</v>
      </c>
      <c r="E690" s="1">
        <v>45728</v>
      </c>
      <c r="F690" t="s">
        <v>74</v>
      </c>
      <c r="G690" t="s">
        <v>75</v>
      </c>
      <c r="H690" t="s">
        <v>76</v>
      </c>
      <c r="I690" t="s">
        <v>57</v>
      </c>
      <c r="J690" t="s">
        <v>98</v>
      </c>
      <c r="K690" t="s">
        <v>99</v>
      </c>
      <c r="L690" t="s">
        <v>155</v>
      </c>
      <c r="M690" t="s">
        <v>68</v>
      </c>
      <c r="N690">
        <v>2</v>
      </c>
      <c r="O690" t="s">
        <v>105</v>
      </c>
      <c r="P690" s="48">
        <v>26087.22</v>
      </c>
      <c r="Q690" s="48">
        <v>7444.45</v>
      </c>
      <c r="R690" s="48">
        <v>1805.99</v>
      </c>
      <c r="S690" s="48">
        <v>469.66</v>
      </c>
      <c r="T690" s="48">
        <v>260.87</v>
      </c>
      <c r="U690" s="48">
        <v>286.08999999999997</v>
      </c>
      <c r="V690" s="48">
        <v>1168.32</v>
      </c>
      <c r="W690" s="48">
        <v>14651.84</v>
      </c>
      <c r="X690">
        <v>0</v>
      </c>
      <c r="Y690" t="s">
        <v>45</v>
      </c>
      <c r="Z690">
        <v>62.04</v>
      </c>
      <c r="AA690" t="s">
        <v>46</v>
      </c>
      <c r="AB690" t="s">
        <v>92</v>
      </c>
      <c r="AC690" t="s">
        <v>70</v>
      </c>
      <c r="AD690" t="s">
        <v>93</v>
      </c>
      <c r="AE690" t="s">
        <v>62</v>
      </c>
      <c r="AF690" s="5">
        <f>DATE(YEAR(C690),MONTH(C690),1)</f>
        <v>45689</v>
      </c>
      <c r="AG690">
        <f>E690-D690</f>
        <v>15</v>
      </c>
      <c r="AH690" s="6">
        <f t="shared" si="10"/>
        <v>56.164819401990705</v>
      </c>
    </row>
    <row r="691" spans="1:34">
      <c r="A691" t="s">
        <v>1495</v>
      </c>
      <c r="B691" t="s">
        <v>1496</v>
      </c>
      <c r="C691" s="1">
        <v>45952</v>
      </c>
      <c r="D691" s="1">
        <v>45954</v>
      </c>
      <c r="E691" s="1">
        <v>45967</v>
      </c>
      <c r="F691" t="s">
        <v>83</v>
      </c>
      <c r="G691" t="s">
        <v>84</v>
      </c>
      <c r="H691" t="s">
        <v>85</v>
      </c>
      <c r="I691" t="s">
        <v>86</v>
      </c>
      <c r="J691" t="s">
        <v>87</v>
      </c>
      <c r="K691" t="s">
        <v>88</v>
      </c>
      <c r="L691" t="s">
        <v>100</v>
      </c>
      <c r="M691" t="s">
        <v>79</v>
      </c>
      <c r="N691">
        <v>1</v>
      </c>
      <c r="O691" t="s">
        <v>80</v>
      </c>
      <c r="P691" s="48">
        <v>29588.86</v>
      </c>
      <c r="Q691" s="48">
        <v>7410.44</v>
      </c>
      <c r="R691" s="48">
        <v>2300.4899999999998</v>
      </c>
      <c r="S691" s="48">
        <v>513.01</v>
      </c>
      <c r="T691" s="48">
        <v>295.89</v>
      </c>
      <c r="U691" s="48">
        <v>812.83</v>
      </c>
      <c r="V691" s="48">
        <v>1790.47</v>
      </c>
      <c r="W691" s="48">
        <v>16465.73</v>
      </c>
      <c r="X691">
        <v>12</v>
      </c>
      <c r="Y691" t="s">
        <v>112</v>
      </c>
      <c r="Z691">
        <v>61.75</v>
      </c>
      <c r="AA691" t="s">
        <v>91</v>
      </c>
      <c r="AB691" t="s">
        <v>47</v>
      </c>
      <c r="AC691" t="s">
        <v>70</v>
      </c>
      <c r="AD691" t="s">
        <v>49</v>
      </c>
      <c r="AE691" t="s">
        <v>62</v>
      </c>
      <c r="AF691" s="5">
        <f>DATE(YEAR(C691),MONTH(C691),1)</f>
        <v>45931</v>
      </c>
      <c r="AG691">
        <f>E691-D691</f>
        <v>13</v>
      </c>
      <c r="AH691" s="6">
        <f t="shared" si="10"/>
        <v>55.648409570358567</v>
      </c>
    </row>
    <row r="692" spans="1:34">
      <c r="A692" t="s">
        <v>1497</v>
      </c>
      <c r="B692" t="s">
        <v>1498</v>
      </c>
      <c r="C692" s="1">
        <v>45904</v>
      </c>
      <c r="D692" s="1">
        <v>45905</v>
      </c>
      <c r="E692" s="1">
        <v>45925</v>
      </c>
      <c r="F692" t="s">
        <v>149</v>
      </c>
      <c r="G692" t="s">
        <v>111</v>
      </c>
      <c r="H692" t="s">
        <v>150</v>
      </c>
      <c r="I692" t="s">
        <v>40</v>
      </c>
      <c r="J692" t="s">
        <v>122</v>
      </c>
      <c r="K692" t="s">
        <v>123</v>
      </c>
      <c r="L692" t="s">
        <v>124</v>
      </c>
      <c r="M692" t="s">
        <v>68</v>
      </c>
      <c r="N692">
        <v>1</v>
      </c>
      <c r="O692" t="s">
        <v>54</v>
      </c>
      <c r="P692" s="48">
        <v>37760.550000000003</v>
      </c>
      <c r="Q692" s="48">
        <v>7410.01</v>
      </c>
      <c r="R692" s="48">
        <v>2216.38</v>
      </c>
      <c r="S692" s="48">
        <v>1030.74</v>
      </c>
      <c r="T692" s="48">
        <v>377.61</v>
      </c>
      <c r="U692" s="48">
        <v>658.9</v>
      </c>
      <c r="V692" s="48">
        <v>2334.4699999999998</v>
      </c>
      <c r="W692" s="48">
        <v>23732.44</v>
      </c>
      <c r="X692">
        <v>24</v>
      </c>
      <c r="Y692" t="s">
        <v>101</v>
      </c>
      <c r="Z692">
        <v>61.75</v>
      </c>
      <c r="AA692" t="s">
        <v>91</v>
      </c>
      <c r="AB692" t="s">
        <v>47</v>
      </c>
      <c r="AC692" t="s">
        <v>70</v>
      </c>
      <c r="AD692" t="s">
        <v>93</v>
      </c>
      <c r="AE692" t="s">
        <v>62</v>
      </c>
      <c r="AF692" s="5">
        <f>DATE(YEAR(C692),MONTH(C692),1)</f>
        <v>45901</v>
      </c>
      <c r="AG692">
        <f>E692-D692</f>
        <v>20</v>
      </c>
      <c r="AH692" s="6">
        <f t="shared" si="10"/>
        <v>62.849826075096885</v>
      </c>
    </row>
    <row r="693" spans="1:34">
      <c r="A693" t="s">
        <v>1499</v>
      </c>
      <c r="B693" t="s">
        <v>1500</v>
      </c>
      <c r="C693" s="1">
        <v>45660</v>
      </c>
      <c r="D693" s="1">
        <v>45664</v>
      </c>
      <c r="E693" s="1">
        <v>45687</v>
      </c>
      <c r="F693" t="s">
        <v>74</v>
      </c>
      <c r="G693" t="s">
        <v>75</v>
      </c>
      <c r="H693" t="s">
        <v>76</v>
      </c>
      <c r="I693" t="s">
        <v>40</v>
      </c>
      <c r="J693" t="s">
        <v>86</v>
      </c>
      <c r="K693" t="s">
        <v>41</v>
      </c>
      <c r="L693" t="s">
        <v>124</v>
      </c>
      <c r="M693" t="s">
        <v>68</v>
      </c>
      <c r="N693">
        <v>1</v>
      </c>
      <c r="O693" t="s">
        <v>80</v>
      </c>
      <c r="P693" s="48">
        <v>38542.019999999997</v>
      </c>
      <c r="Q693" s="48">
        <v>7388.01</v>
      </c>
      <c r="R693" s="48">
        <v>1796.33</v>
      </c>
      <c r="S693" s="48">
        <v>1115.52</v>
      </c>
      <c r="T693" s="48">
        <v>385.42</v>
      </c>
      <c r="U693" s="48">
        <v>794.97</v>
      </c>
      <c r="V693" s="48">
        <v>2346.71</v>
      </c>
      <c r="W693" s="48">
        <v>24715.06</v>
      </c>
      <c r="X693">
        <v>0</v>
      </c>
      <c r="Y693" t="s">
        <v>45</v>
      </c>
      <c r="Z693">
        <v>61.57</v>
      </c>
      <c r="AA693" t="s">
        <v>46</v>
      </c>
      <c r="AB693" t="s">
        <v>47</v>
      </c>
      <c r="AC693" t="s">
        <v>60</v>
      </c>
      <c r="AD693" t="s">
        <v>49</v>
      </c>
      <c r="AE693" t="s">
        <v>102</v>
      </c>
      <c r="AF693" s="5">
        <f>DATE(YEAR(C693),MONTH(C693),1)</f>
        <v>45658</v>
      </c>
      <c r="AG693">
        <f>E693-D693</f>
        <v>23</v>
      </c>
      <c r="AH693" s="6">
        <f t="shared" si="10"/>
        <v>64.124973211056414</v>
      </c>
    </row>
    <row r="694" spans="1:34">
      <c r="A694" t="s">
        <v>1501</v>
      </c>
      <c r="B694" t="s">
        <v>1502</v>
      </c>
      <c r="C694" s="1">
        <v>46008</v>
      </c>
      <c r="D694" s="1">
        <v>46012</v>
      </c>
      <c r="E694" s="1">
        <v>46034</v>
      </c>
      <c r="F694" t="s">
        <v>120</v>
      </c>
      <c r="G694" t="s">
        <v>75</v>
      </c>
      <c r="H694" t="s">
        <v>121</v>
      </c>
      <c r="I694" t="s">
        <v>115</v>
      </c>
      <c r="J694" t="s">
        <v>98</v>
      </c>
      <c r="K694" t="s">
        <v>99</v>
      </c>
      <c r="L694" t="s">
        <v>116</v>
      </c>
      <c r="M694" t="s">
        <v>68</v>
      </c>
      <c r="N694">
        <v>2</v>
      </c>
      <c r="O694" t="s">
        <v>54</v>
      </c>
      <c r="P694" s="48">
        <v>25703.64</v>
      </c>
      <c r="Q694" s="48">
        <v>7375.15</v>
      </c>
      <c r="R694" s="48">
        <v>1711.99</v>
      </c>
      <c r="S694" s="48">
        <v>371.39</v>
      </c>
      <c r="T694" s="48">
        <v>257.04000000000002</v>
      </c>
      <c r="U694" s="48">
        <v>527.14</v>
      </c>
      <c r="V694" s="48">
        <v>433.63</v>
      </c>
      <c r="W694" s="48">
        <v>15027.3</v>
      </c>
      <c r="X694">
        <v>12</v>
      </c>
      <c r="Y694" t="s">
        <v>90</v>
      </c>
      <c r="Z694">
        <v>61.46</v>
      </c>
      <c r="AA694" t="s">
        <v>91</v>
      </c>
      <c r="AB694" t="s">
        <v>92</v>
      </c>
      <c r="AC694" t="s">
        <v>70</v>
      </c>
      <c r="AD694" t="s">
        <v>93</v>
      </c>
      <c r="AE694" t="s">
        <v>50</v>
      </c>
      <c r="AF694" s="5">
        <f>DATE(YEAR(C694),MONTH(C694),1)</f>
        <v>45992</v>
      </c>
      <c r="AG694">
        <f>E694-D694</f>
        <v>22</v>
      </c>
      <c r="AH694" s="6">
        <f t="shared" si="10"/>
        <v>58.463703973445</v>
      </c>
    </row>
    <row r="695" spans="1:34">
      <c r="A695" t="s">
        <v>1503</v>
      </c>
      <c r="B695" t="s">
        <v>1504</v>
      </c>
      <c r="C695" s="1">
        <v>45846</v>
      </c>
      <c r="D695" s="1">
        <v>45847</v>
      </c>
      <c r="E695" s="1">
        <v>45872</v>
      </c>
      <c r="F695" t="s">
        <v>53</v>
      </c>
      <c r="G695" t="s">
        <v>54</v>
      </c>
      <c r="H695" t="s">
        <v>55</v>
      </c>
      <c r="I695" t="s">
        <v>86</v>
      </c>
      <c r="J695" t="s">
        <v>87</v>
      </c>
      <c r="K695" t="s">
        <v>88</v>
      </c>
      <c r="L695" t="s">
        <v>124</v>
      </c>
      <c r="M695" t="s">
        <v>43</v>
      </c>
      <c r="N695">
        <v>1</v>
      </c>
      <c r="O695" t="s">
        <v>111</v>
      </c>
      <c r="P695" s="48">
        <v>26013.02</v>
      </c>
      <c r="Q695" s="48">
        <v>7347.59</v>
      </c>
      <c r="R695" s="48">
        <v>1873.39</v>
      </c>
      <c r="S695" s="48">
        <v>495.72</v>
      </c>
      <c r="T695" s="48">
        <v>260.13</v>
      </c>
      <c r="U695" s="48">
        <v>498.49</v>
      </c>
      <c r="V695" s="48">
        <v>1225.1199999999999</v>
      </c>
      <c r="W695" s="48">
        <v>14312.58</v>
      </c>
      <c r="X695">
        <v>0</v>
      </c>
      <c r="Y695" t="s">
        <v>45</v>
      </c>
      <c r="Z695">
        <v>61.23</v>
      </c>
      <c r="AA695" t="s">
        <v>46</v>
      </c>
      <c r="AB695" t="s">
        <v>92</v>
      </c>
      <c r="AC695" t="s">
        <v>60</v>
      </c>
      <c r="AD695" t="s">
        <v>144</v>
      </c>
      <c r="AE695" t="s">
        <v>102</v>
      </c>
      <c r="AF695" s="5">
        <f>DATE(YEAR(C695),MONTH(C695),1)</f>
        <v>45839</v>
      </c>
      <c r="AG695">
        <f>E695-D695</f>
        <v>25</v>
      </c>
      <c r="AH695" s="6">
        <f t="shared" si="10"/>
        <v>55.020831875729925</v>
      </c>
    </row>
    <row r="696" spans="1:34">
      <c r="A696" t="s">
        <v>1505</v>
      </c>
      <c r="B696" t="s">
        <v>1506</v>
      </c>
      <c r="C696" s="1">
        <v>45694</v>
      </c>
      <c r="D696" s="1">
        <v>45695</v>
      </c>
      <c r="E696" s="1">
        <v>45721</v>
      </c>
      <c r="F696" t="s">
        <v>65</v>
      </c>
      <c r="G696" t="s">
        <v>66</v>
      </c>
      <c r="H696" t="s">
        <v>67</v>
      </c>
      <c r="I696" t="s">
        <v>56</v>
      </c>
      <c r="J696" t="s">
        <v>57</v>
      </c>
      <c r="K696" t="s">
        <v>58</v>
      </c>
      <c r="L696" t="s">
        <v>155</v>
      </c>
      <c r="M696" t="s">
        <v>108</v>
      </c>
      <c r="N696">
        <v>2</v>
      </c>
      <c r="O696" t="s">
        <v>105</v>
      </c>
      <c r="P696" s="48">
        <v>35098.92</v>
      </c>
      <c r="Q696" s="48">
        <v>7336.11</v>
      </c>
      <c r="R696" s="48">
        <v>1511.78</v>
      </c>
      <c r="S696" s="48">
        <v>407.57</v>
      </c>
      <c r="T696" s="48">
        <v>350.99</v>
      </c>
      <c r="U696" s="48">
        <v>304.08</v>
      </c>
      <c r="V696" s="48">
        <v>1884.68</v>
      </c>
      <c r="W696" s="48">
        <v>23303.71</v>
      </c>
      <c r="X696">
        <v>36</v>
      </c>
      <c r="Y696" t="s">
        <v>101</v>
      </c>
      <c r="Z696">
        <v>61.13</v>
      </c>
      <c r="AA696" t="s">
        <v>91</v>
      </c>
      <c r="AB696" t="s">
        <v>47</v>
      </c>
      <c r="AC696" t="s">
        <v>70</v>
      </c>
      <c r="AD696" t="s">
        <v>144</v>
      </c>
      <c r="AE696" t="s">
        <v>71</v>
      </c>
      <c r="AF696" s="5">
        <f>DATE(YEAR(C696),MONTH(C696),1)</f>
        <v>45689</v>
      </c>
      <c r="AG696">
        <f>E696-D696</f>
        <v>26</v>
      </c>
      <c r="AH696" s="6">
        <f t="shared" si="10"/>
        <v>66.394379086308064</v>
      </c>
    </row>
    <row r="697" spans="1:34">
      <c r="A697" t="s">
        <v>1507</v>
      </c>
      <c r="B697" t="s">
        <v>1508</v>
      </c>
      <c r="C697" s="1">
        <v>45662</v>
      </c>
      <c r="D697" s="1">
        <v>45664</v>
      </c>
      <c r="E697" s="1">
        <v>45681</v>
      </c>
      <c r="F697" t="s">
        <v>180</v>
      </c>
      <c r="G697" t="s">
        <v>181</v>
      </c>
      <c r="H697" t="s">
        <v>38</v>
      </c>
      <c r="I697" t="s">
        <v>115</v>
      </c>
      <c r="J697" t="s">
        <v>98</v>
      </c>
      <c r="K697" t="s">
        <v>99</v>
      </c>
      <c r="L697" t="s">
        <v>155</v>
      </c>
      <c r="M697" t="s">
        <v>108</v>
      </c>
      <c r="N697">
        <v>1</v>
      </c>
      <c r="O697" t="s">
        <v>69</v>
      </c>
      <c r="P697" s="48">
        <v>35216.54</v>
      </c>
      <c r="Q697" s="48">
        <v>7277.2</v>
      </c>
      <c r="R697" s="48">
        <v>1803.75</v>
      </c>
      <c r="S697" s="48">
        <v>359.28</v>
      </c>
      <c r="T697" s="48">
        <v>352.17</v>
      </c>
      <c r="U697" s="48">
        <v>319.81</v>
      </c>
      <c r="V697" s="48">
        <v>1188.6099999999999</v>
      </c>
      <c r="W697" s="48">
        <v>23915.72</v>
      </c>
      <c r="X697">
        <v>8</v>
      </c>
      <c r="Y697" t="s">
        <v>135</v>
      </c>
      <c r="Z697">
        <v>60.64</v>
      </c>
      <c r="AA697" t="s">
        <v>91</v>
      </c>
      <c r="AB697" t="s">
        <v>47</v>
      </c>
      <c r="AC697" t="s">
        <v>60</v>
      </c>
      <c r="AD697" t="s">
        <v>93</v>
      </c>
      <c r="AE697" t="s">
        <v>62</v>
      </c>
      <c r="AF697" s="5">
        <f>DATE(YEAR(C697),MONTH(C697),1)</f>
        <v>45658</v>
      </c>
      <c r="AG697">
        <f>E697-D697</f>
        <v>17</v>
      </c>
      <c r="AH697" s="6">
        <f t="shared" si="10"/>
        <v>67.910476156942167</v>
      </c>
    </row>
    <row r="698" spans="1:34">
      <c r="A698" t="s">
        <v>1509</v>
      </c>
      <c r="B698" t="s">
        <v>1510</v>
      </c>
      <c r="C698" s="1">
        <v>45958</v>
      </c>
      <c r="D698" s="1">
        <v>45961</v>
      </c>
      <c r="E698" s="1">
        <v>45980</v>
      </c>
      <c r="F698" t="s">
        <v>65</v>
      </c>
      <c r="G698" t="s">
        <v>66</v>
      </c>
      <c r="H698" t="s">
        <v>67</v>
      </c>
      <c r="I698" t="s">
        <v>86</v>
      </c>
      <c r="J698" t="s">
        <v>87</v>
      </c>
      <c r="K698" t="s">
        <v>88</v>
      </c>
      <c r="L698" t="s">
        <v>42</v>
      </c>
      <c r="M698" t="s">
        <v>68</v>
      </c>
      <c r="N698">
        <v>2</v>
      </c>
      <c r="O698" t="s">
        <v>80</v>
      </c>
      <c r="P698" s="48">
        <v>38466.81</v>
      </c>
      <c r="Q698" s="48">
        <v>7244.13</v>
      </c>
      <c r="R698" s="48">
        <v>1590.84</v>
      </c>
      <c r="S698" s="48">
        <v>1027.57</v>
      </c>
      <c r="T698" s="48">
        <v>384.67</v>
      </c>
      <c r="U698" s="48">
        <v>744.41</v>
      </c>
      <c r="V698" s="48">
        <v>316.41000000000003</v>
      </c>
      <c r="W698" s="48">
        <v>27158.78</v>
      </c>
      <c r="X698">
        <v>8</v>
      </c>
      <c r="Y698" t="s">
        <v>90</v>
      </c>
      <c r="Z698">
        <v>60.37</v>
      </c>
      <c r="AA698" t="s">
        <v>91</v>
      </c>
      <c r="AB698" t="s">
        <v>92</v>
      </c>
      <c r="AC698" t="s">
        <v>48</v>
      </c>
      <c r="AD698" t="s">
        <v>61</v>
      </c>
      <c r="AE698" t="s">
        <v>62</v>
      </c>
      <c r="AF698" s="5">
        <f>DATE(YEAR(C698),MONTH(C698),1)</f>
        <v>45931</v>
      </c>
      <c r="AG698">
        <f>E698-D698</f>
        <v>19</v>
      </c>
      <c r="AH698" s="6">
        <f t="shared" si="10"/>
        <v>70.603151132105836</v>
      </c>
    </row>
    <row r="699" spans="1:34">
      <c r="A699" t="s">
        <v>1511</v>
      </c>
      <c r="B699" t="s">
        <v>1512</v>
      </c>
      <c r="C699" s="1">
        <v>45932</v>
      </c>
      <c r="D699" s="1">
        <v>45934</v>
      </c>
      <c r="E699" s="1">
        <v>45951</v>
      </c>
      <c r="F699" t="s">
        <v>180</v>
      </c>
      <c r="G699" t="s">
        <v>181</v>
      </c>
      <c r="H699" t="s">
        <v>38</v>
      </c>
      <c r="I699" t="s">
        <v>40</v>
      </c>
      <c r="J699" t="s">
        <v>122</v>
      </c>
      <c r="K699" t="s">
        <v>123</v>
      </c>
      <c r="L699" t="s">
        <v>78</v>
      </c>
      <c r="M699" t="s">
        <v>79</v>
      </c>
      <c r="N699">
        <v>1</v>
      </c>
      <c r="O699" t="s">
        <v>69</v>
      </c>
      <c r="P699" s="48">
        <v>32760.79</v>
      </c>
      <c r="Q699" s="48">
        <v>7239.33</v>
      </c>
      <c r="R699" s="48">
        <v>1930.44</v>
      </c>
      <c r="S699" s="48">
        <v>592.02</v>
      </c>
      <c r="T699" s="48">
        <v>327.61</v>
      </c>
      <c r="U699" s="48">
        <v>475.7</v>
      </c>
      <c r="V699" s="48">
        <v>1161.58</v>
      </c>
      <c r="W699" s="48">
        <v>21034.11</v>
      </c>
      <c r="X699">
        <v>48</v>
      </c>
      <c r="Y699" t="s">
        <v>117</v>
      </c>
      <c r="Z699">
        <v>60.33</v>
      </c>
      <c r="AA699" t="s">
        <v>91</v>
      </c>
      <c r="AB699" t="s">
        <v>92</v>
      </c>
      <c r="AC699" t="s">
        <v>48</v>
      </c>
      <c r="AD699" t="s">
        <v>144</v>
      </c>
      <c r="AE699" t="s">
        <v>50</v>
      </c>
      <c r="AF699" s="5">
        <f>DATE(YEAR(C699),MONTH(C699),1)</f>
        <v>45931</v>
      </c>
      <c r="AG699">
        <f>E699-D699</f>
        <v>17</v>
      </c>
      <c r="AH699" s="6">
        <f t="shared" si="10"/>
        <v>64.205136689316717</v>
      </c>
    </row>
    <row r="700" spans="1:34">
      <c r="A700" t="s">
        <v>1513</v>
      </c>
      <c r="B700" t="s">
        <v>1514</v>
      </c>
      <c r="C700" s="1">
        <v>45911</v>
      </c>
      <c r="D700" s="1">
        <v>45915</v>
      </c>
      <c r="E700" s="1">
        <v>45938</v>
      </c>
      <c r="F700" t="s">
        <v>138</v>
      </c>
      <c r="G700" t="s">
        <v>139</v>
      </c>
      <c r="H700" t="s">
        <v>76</v>
      </c>
      <c r="I700" t="s">
        <v>57</v>
      </c>
      <c r="J700" t="s">
        <v>98</v>
      </c>
      <c r="K700" t="s">
        <v>99</v>
      </c>
      <c r="L700" t="s">
        <v>124</v>
      </c>
      <c r="M700" t="s">
        <v>68</v>
      </c>
      <c r="N700">
        <v>1</v>
      </c>
      <c r="O700" t="s">
        <v>44</v>
      </c>
      <c r="P700" s="48">
        <v>26107.62</v>
      </c>
      <c r="Q700" s="48">
        <v>7237.69</v>
      </c>
      <c r="R700" s="48">
        <v>1895.4</v>
      </c>
      <c r="S700" s="48">
        <v>738.76</v>
      </c>
      <c r="T700" s="48">
        <v>261.08</v>
      </c>
      <c r="U700" s="48">
        <v>868.66</v>
      </c>
      <c r="V700" s="48">
        <v>793.82</v>
      </c>
      <c r="W700" s="48">
        <v>14312.21</v>
      </c>
      <c r="X700">
        <v>4</v>
      </c>
      <c r="Y700" t="s">
        <v>112</v>
      </c>
      <c r="Z700">
        <v>60.31</v>
      </c>
      <c r="AA700" t="s">
        <v>91</v>
      </c>
      <c r="AB700" t="s">
        <v>47</v>
      </c>
      <c r="AC700" t="s">
        <v>60</v>
      </c>
      <c r="AD700" t="s">
        <v>144</v>
      </c>
      <c r="AE700" t="s">
        <v>50</v>
      </c>
      <c r="AF700" s="5">
        <f>DATE(YEAR(C700),MONTH(C700),1)</f>
        <v>45901</v>
      </c>
      <c r="AG700">
        <f>E700-D700</f>
        <v>23</v>
      </c>
      <c r="AH700" s="6">
        <f t="shared" si="10"/>
        <v>54.820048706086574</v>
      </c>
    </row>
    <row r="701" spans="1:34">
      <c r="A701" t="s">
        <v>1515</v>
      </c>
      <c r="B701" t="s">
        <v>1516</v>
      </c>
      <c r="C701" s="1">
        <v>45708</v>
      </c>
      <c r="D701" s="1">
        <v>45711</v>
      </c>
      <c r="E701" s="1">
        <v>45726</v>
      </c>
      <c r="F701" t="s">
        <v>83</v>
      </c>
      <c r="G701" t="s">
        <v>84</v>
      </c>
      <c r="H701" t="s">
        <v>85</v>
      </c>
      <c r="I701" t="s">
        <v>86</v>
      </c>
      <c r="J701" t="s">
        <v>87</v>
      </c>
      <c r="K701" t="s">
        <v>88</v>
      </c>
      <c r="L701" t="s">
        <v>124</v>
      </c>
      <c r="M701" t="s">
        <v>68</v>
      </c>
      <c r="N701">
        <v>1</v>
      </c>
      <c r="O701" t="s">
        <v>89</v>
      </c>
      <c r="P701" s="48">
        <v>27182.68</v>
      </c>
      <c r="Q701" s="48">
        <v>7233.87</v>
      </c>
      <c r="R701" s="48">
        <v>1337.18</v>
      </c>
      <c r="S701" s="48">
        <v>423.24</v>
      </c>
      <c r="T701" s="48">
        <v>271.83</v>
      </c>
      <c r="U701" s="48">
        <v>384.2</v>
      </c>
      <c r="V701" s="48">
        <v>872.07</v>
      </c>
      <c r="W701" s="48">
        <v>16660.29</v>
      </c>
      <c r="X701">
        <v>0</v>
      </c>
      <c r="Y701" t="s">
        <v>45</v>
      </c>
      <c r="Z701">
        <v>60.28</v>
      </c>
      <c r="AA701" t="s">
        <v>46</v>
      </c>
      <c r="AB701" t="s">
        <v>47</v>
      </c>
      <c r="AC701" t="s">
        <v>48</v>
      </c>
      <c r="AD701" t="s">
        <v>61</v>
      </c>
      <c r="AE701" t="s">
        <v>71</v>
      </c>
      <c r="AF701" s="5">
        <f>DATE(YEAR(C701),MONTH(C701),1)</f>
        <v>45689</v>
      </c>
      <c r="AG701">
        <f>E701-D701</f>
        <v>15</v>
      </c>
      <c r="AH701" s="6">
        <f t="shared" si="10"/>
        <v>61.290093544860177</v>
      </c>
    </row>
    <row r="702" spans="1:34">
      <c r="A702" t="s">
        <v>1517</v>
      </c>
      <c r="B702" t="s">
        <v>1518</v>
      </c>
      <c r="C702" s="1">
        <v>45745</v>
      </c>
      <c r="D702" s="1">
        <v>45749</v>
      </c>
      <c r="E702" s="1">
        <v>45770</v>
      </c>
      <c r="F702" t="s">
        <v>120</v>
      </c>
      <c r="G702" t="s">
        <v>75</v>
      </c>
      <c r="H702" t="s">
        <v>121</v>
      </c>
      <c r="I702" t="s">
        <v>56</v>
      </c>
      <c r="J702" t="s">
        <v>57</v>
      </c>
      <c r="K702" t="s">
        <v>58</v>
      </c>
      <c r="L702" t="s">
        <v>78</v>
      </c>
      <c r="M702" t="s">
        <v>68</v>
      </c>
      <c r="N702">
        <v>2</v>
      </c>
      <c r="O702" t="s">
        <v>111</v>
      </c>
      <c r="P702" s="48">
        <v>28561.45</v>
      </c>
      <c r="Q702" s="48">
        <v>7231.68</v>
      </c>
      <c r="R702" s="48">
        <v>1284.56</v>
      </c>
      <c r="S702" s="48">
        <v>837.35</v>
      </c>
      <c r="T702" s="48">
        <v>285.61</v>
      </c>
      <c r="U702" s="48">
        <v>346.56</v>
      </c>
      <c r="V702" s="48">
        <v>1003.9</v>
      </c>
      <c r="W702" s="48">
        <v>17571.79</v>
      </c>
      <c r="X702">
        <v>4</v>
      </c>
      <c r="Y702" t="s">
        <v>117</v>
      </c>
      <c r="Z702">
        <v>60.26</v>
      </c>
      <c r="AA702" t="s">
        <v>91</v>
      </c>
      <c r="AB702" t="s">
        <v>92</v>
      </c>
      <c r="AC702" t="s">
        <v>60</v>
      </c>
      <c r="AD702" t="s">
        <v>144</v>
      </c>
      <c r="AE702" t="s">
        <v>62</v>
      </c>
      <c r="AF702" s="5">
        <f>DATE(YEAR(C702),MONTH(C702),1)</f>
        <v>45717</v>
      </c>
      <c r="AG702">
        <f>E702-D702</f>
        <v>21</v>
      </c>
      <c r="AH702" s="6">
        <f t="shared" si="10"/>
        <v>61.522751821073506</v>
      </c>
    </row>
    <row r="703" spans="1:34">
      <c r="A703" t="s">
        <v>1519</v>
      </c>
      <c r="B703" t="s">
        <v>1520</v>
      </c>
      <c r="C703" s="1">
        <v>45916</v>
      </c>
      <c r="D703" s="1">
        <v>45917</v>
      </c>
      <c r="E703" s="1">
        <v>45942</v>
      </c>
      <c r="F703" t="s">
        <v>149</v>
      </c>
      <c r="G703" t="s">
        <v>111</v>
      </c>
      <c r="H703" t="s">
        <v>150</v>
      </c>
      <c r="I703" t="s">
        <v>86</v>
      </c>
      <c r="J703" t="s">
        <v>87</v>
      </c>
      <c r="K703" t="s">
        <v>88</v>
      </c>
      <c r="L703" t="s">
        <v>59</v>
      </c>
      <c r="M703" t="s">
        <v>79</v>
      </c>
      <c r="N703">
        <v>4</v>
      </c>
      <c r="O703" t="s">
        <v>54</v>
      </c>
      <c r="P703" s="48">
        <v>38601.699999999997</v>
      </c>
      <c r="Q703" s="48">
        <v>7173.09</v>
      </c>
      <c r="R703" s="48">
        <v>2587.02</v>
      </c>
      <c r="S703" s="48">
        <v>967.59</v>
      </c>
      <c r="T703" s="48">
        <v>386.02</v>
      </c>
      <c r="U703" s="48">
        <v>180.17</v>
      </c>
      <c r="V703" s="48">
        <v>1654.34</v>
      </c>
      <c r="W703" s="48">
        <v>25653.47</v>
      </c>
      <c r="X703">
        <v>12</v>
      </c>
      <c r="Y703" t="s">
        <v>90</v>
      </c>
      <c r="Z703">
        <v>59.78</v>
      </c>
      <c r="AA703" t="s">
        <v>91</v>
      </c>
      <c r="AB703" t="s">
        <v>92</v>
      </c>
      <c r="AC703" t="s">
        <v>70</v>
      </c>
      <c r="AD703" t="s">
        <v>144</v>
      </c>
      <c r="AE703" t="s">
        <v>71</v>
      </c>
      <c r="AF703" s="5">
        <f>DATE(YEAR(C703),MONTH(C703),1)</f>
        <v>45901</v>
      </c>
      <c r="AG703">
        <f>E703-D703</f>
        <v>25</v>
      </c>
      <c r="AH703" s="6">
        <f t="shared" si="10"/>
        <v>66.4568399837313</v>
      </c>
    </row>
    <row r="704" spans="1:34">
      <c r="A704" t="s">
        <v>1521</v>
      </c>
      <c r="B704" t="s">
        <v>1522</v>
      </c>
      <c r="C704" s="1">
        <v>45872</v>
      </c>
      <c r="D704" s="1">
        <v>45875</v>
      </c>
      <c r="E704" s="1">
        <v>45897</v>
      </c>
      <c r="F704" t="s">
        <v>234</v>
      </c>
      <c r="G704" t="s">
        <v>111</v>
      </c>
      <c r="H704" t="s">
        <v>150</v>
      </c>
      <c r="I704" t="s">
        <v>39</v>
      </c>
      <c r="J704" t="s">
        <v>86</v>
      </c>
      <c r="K704" t="s">
        <v>41</v>
      </c>
      <c r="L704" t="s">
        <v>78</v>
      </c>
      <c r="M704" t="s">
        <v>108</v>
      </c>
      <c r="N704">
        <v>2</v>
      </c>
      <c r="O704" t="s">
        <v>69</v>
      </c>
      <c r="P704" s="48">
        <v>27135.42</v>
      </c>
      <c r="Q704" s="48">
        <v>7159.82</v>
      </c>
      <c r="R704" s="48">
        <v>1870.45</v>
      </c>
      <c r="S704" s="48">
        <v>569.79999999999995</v>
      </c>
      <c r="T704" s="48">
        <v>271.35000000000002</v>
      </c>
      <c r="U704" s="48">
        <v>814.2</v>
      </c>
      <c r="V704" s="48">
        <v>1861.08</v>
      </c>
      <c r="W704" s="48">
        <v>14588.72</v>
      </c>
      <c r="X704">
        <v>48</v>
      </c>
      <c r="Y704" t="s">
        <v>90</v>
      </c>
      <c r="Z704">
        <v>59.67</v>
      </c>
      <c r="AA704" t="s">
        <v>91</v>
      </c>
      <c r="AB704" t="s">
        <v>47</v>
      </c>
      <c r="AC704" t="s">
        <v>70</v>
      </c>
      <c r="AD704" t="s">
        <v>61</v>
      </c>
      <c r="AE704" t="s">
        <v>62</v>
      </c>
      <c r="AF704" s="5">
        <f>DATE(YEAR(C704),MONTH(C704),1)</f>
        <v>45870</v>
      </c>
      <c r="AG704">
        <f>E704-D704</f>
        <v>22</v>
      </c>
      <c r="AH704" s="6">
        <f t="shared" si="10"/>
        <v>53.762646754684475</v>
      </c>
    </row>
    <row r="705" spans="1:34">
      <c r="A705" t="s">
        <v>1523</v>
      </c>
      <c r="B705" t="s">
        <v>1524</v>
      </c>
      <c r="C705" s="1">
        <v>45819</v>
      </c>
      <c r="D705" s="1">
        <v>45821</v>
      </c>
      <c r="E705" s="1">
        <v>45835</v>
      </c>
      <c r="F705" t="s">
        <v>153</v>
      </c>
      <c r="G705" t="s">
        <v>75</v>
      </c>
      <c r="H705" t="s">
        <v>154</v>
      </c>
      <c r="I705" t="s">
        <v>86</v>
      </c>
      <c r="J705" t="s">
        <v>87</v>
      </c>
      <c r="K705" t="s">
        <v>88</v>
      </c>
      <c r="L705" t="s">
        <v>100</v>
      </c>
      <c r="M705" t="s">
        <v>68</v>
      </c>
      <c r="N705">
        <v>2</v>
      </c>
      <c r="O705" t="s">
        <v>54</v>
      </c>
      <c r="P705" s="48">
        <v>38665.83</v>
      </c>
      <c r="Q705" s="48">
        <v>7153.05</v>
      </c>
      <c r="R705" s="48">
        <v>2100.2199999999998</v>
      </c>
      <c r="S705" s="48">
        <v>854.43</v>
      </c>
      <c r="T705" s="48">
        <v>386.66</v>
      </c>
      <c r="U705" s="48">
        <v>871.4</v>
      </c>
      <c r="V705" s="48">
        <v>321.64999999999998</v>
      </c>
      <c r="W705" s="48">
        <v>26978.42</v>
      </c>
      <c r="X705">
        <v>8</v>
      </c>
      <c r="Y705" t="s">
        <v>135</v>
      </c>
      <c r="Z705">
        <v>59.61</v>
      </c>
      <c r="AA705" t="s">
        <v>91</v>
      </c>
      <c r="AB705" t="s">
        <v>92</v>
      </c>
      <c r="AC705" t="s">
        <v>48</v>
      </c>
      <c r="AD705" t="s">
        <v>144</v>
      </c>
      <c r="AE705" t="s">
        <v>102</v>
      </c>
      <c r="AF705" s="5">
        <f>DATE(YEAR(C705),MONTH(C705),1)</f>
        <v>45809</v>
      </c>
      <c r="AG705">
        <f>E705-D705</f>
        <v>14</v>
      </c>
      <c r="AH705" s="6">
        <f t="shared" si="10"/>
        <v>69.773285611611072</v>
      </c>
    </row>
    <row r="706" spans="1:34">
      <c r="A706" t="s">
        <v>1525</v>
      </c>
      <c r="B706" t="s">
        <v>1526</v>
      </c>
      <c r="C706" s="1">
        <v>45705</v>
      </c>
      <c r="D706" s="1">
        <v>45709</v>
      </c>
      <c r="E706" s="1">
        <v>45720</v>
      </c>
      <c r="F706" t="s">
        <v>138</v>
      </c>
      <c r="G706" t="s">
        <v>139</v>
      </c>
      <c r="H706" t="s">
        <v>76</v>
      </c>
      <c r="I706" t="s">
        <v>40</v>
      </c>
      <c r="J706" t="s">
        <v>122</v>
      </c>
      <c r="K706" t="s">
        <v>123</v>
      </c>
      <c r="L706" t="s">
        <v>116</v>
      </c>
      <c r="M706" t="s">
        <v>79</v>
      </c>
      <c r="N706">
        <v>1</v>
      </c>
      <c r="O706" t="s">
        <v>111</v>
      </c>
      <c r="P706" s="48">
        <v>39394.980000000003</v>
      </c>
      <c r="Q706" s="48">
        <v>7137.51</v>
      </c>
      <c r="R706" s="48">
        <v>2942.5</v>
      </c>
      <c r="S706" s="48">
        <v>1150.5</v>
      </c>
      <c r="T706" s="48">
        <v>393.95</v>
      </c>
      <c r="U706" s="48">
        <v>471.96</v>
      </c>
      <c r="V706" s="48">
        <v>1641.81</v>
      </c>
      <c r="W706" s="48">
        <v>25656.75</v>
      </c>
      <c r="X706">
        <v>12</v>
      </c>
      <c r="Y706" t="s">
        <v>135</v>
      </c>
      <c r="Z706">
        <v>59.48</v>
      </c>
      <c r="AA706" t="s">
        <v>91</v>
      </c>
      <c r="AB706" t="s">
        <v>47</v>
      </c>
      <c r="AC706" t="s">
        <v>70</v>
      </c>
      <c r="AD706" t="s">
        <v>130</v>
      </c>
      <c r="AE706" t="s">
        <v>50</v>
      </c>
      <c r="AF706" s="5">
        <f>DATE(YEAR(C706),MONTH(C706),1)</f>
        <v>45689</v>
      </c>
      <c r="AG706">
        <f>E706-D706</f>
        <v>11</v>
      </c>
      <c r="AH706" s="6">
        <f t="shared" si="10"/>
        <v>65.126952723418057</v>
      </c>
    </row>
    <row r="707" spans="1:34">
      <c r="A707" t="s">
        <v>1527</v>
      </c>
      <c r="B707" t="s">
        <v>1528</v>
      </c>
      <c r="C707" s="1">
        <v>45674</v>
      </c>
      <c r="D707" s="1">
        <v>45676</v>
      </c>
      <c r="E707" s="1">
        <v>45703</v>
      </c>
      <c r="F707" t="s">
        <v>120</v>
      </c>
      <c r="G707" t="s">
        <v>75</v>
      </c>
      <c r="H707" t="s">
        <v>121</v>
      </c>
      <c r="I707" t="s">
        <v>57</v>
      </c>
      <c r="J707" t="s">
        <v>98</v>
      </c>
      <c r="K707" t="s">
        <v>99</v>
      </c>
      <c r="L707" t="s">
        <v>127</v>
      </c>
      <c r="M707" t="s">
        <v>79</v>
      </c>
      <c r="N707">
        <v>2</v>
      </c>
      <c r="O707" t="s">
        <v>105</v>
      </c>
      <c r="P707" s="48">
        <v>24889.05</v>
      </c>
      <c r="Q707" s="48">
        <v>7131.84</v>
      </c>
      <c r="R707" s="48">
        <v>1501.18</v>
      </c>
      <c r="S707" s="48">
        <v>718.73</v>
      </c>
      <c r="T707" s="48">
        <v>248.89</v>
      </c>
      <c r="U707" s="48">
        <v>687.47</v>
      </c>
      <c r="V707" s="48">
        <v>2282.23</v>
      </c>
      <c r="W707" s="48">
        <v>12318.71</v>
      </c>
      <c r="X707">
        <v>48</v>
      </c>
      <c r="Y707" t="s">
        <v>117</v>
      </c>
      <c r="Z707">
        <v>59.43</v>
      </c>
      <c r="AA707" t="s">
        <v>91</v>
      </c>
      <c r="AB707" t="s">
        <v>47</v>
      </c>
      <c r="AC707" t="s">
        <v>48</v>
      </c>
      <c r="AD707" t="s">
        <v>130</v>
      </c>
      <c r="AE707" t="s">
        <v>102</v>
      </c>
      <c r="AF707" s="5">
        <f>DATE(YEAR(C707),MONTH(C707),1)</f>
        <v>45658</v>
      </c>
      <c r="AG707">
        <f>E707-D707</f>
        <v>27</v>
      </c>
      <c r="AH707" s="6">
        <f t="shared" ref="AH707:AH770" si="11">W707/P707*100</f>
        <v>49.494496575803417</v>
      </c>
    </row>
    <row r="708" spans="1:34">
      <c r="A708" t="s">
        <v>1529</v>
      </c>
      <c r="B708" t="s">
        <v>1530</v>
      </c>
      <c r="C708" s="1">
        <v>45986</v>
      </c>
      <c r="D708" s="1">
        <v>45989</v>
      </c>
      <c r="E708" s="1">
        <v>46013</v>
      </c>
      <c r="F708" t="s">
        <v>153</v>
      </c>
      <c r="G708" t="s">
        <v>75</v>
      </c>
      <c r="H708" t="s">
        <v>154</v>
      </c>
      <c r="I708" t="s">
        <v>115</v>
      </c>
      <c r="J708" t="s">
        <v>98</v>
      </c>
      <c r="K708" t="s">
        <v>99</v>
      </c>
      <c r="L708" t="s">
        <v>116</v>
      </c>
      <c r="M708" t="s">
        <v>43</v>
      </c>
      <c r="N708">
        <v>2</v>
      </c>
      <c r="O708" t="s">
        <v>111</v>
      </c>
      <c r="P708" s="48">
        <v>43929.87</v>
      </c>
      <c r="Q708" s="48">
        <v>7126.65</v>
      </c>
      <c r="R708" s="48">
        <v>1835.2</v>
      </c>
      <c r="S708" s="48">
        <v>1141.68</v>
      </c>
      <c r="T708" s="48">
        <v>439.3</v>
      </c>
      <c r="U708" s="48">
        <v>601.45000000000005</v>
      </c>
      <c r="V708" s="48">
        <v>785.58</v>
      </c>
      <c r="W708" s="48">
        <v>32000.01</v>
      </c>
      <c r="X708">
        <v>4</v>
      </c>
      <c r="Y708" t="s">
        <v>117</v>
      </c>
      <c r="Z708">
        <v>59.39</v>
      </c>
      <c r="AA708" t="s">
        <v>91</v>
      </c>
      <c r="AB708" t="s">
        <v>92</v>
      </c>
      <c r="AC708" t="s">
        <v>60</v>
      </c>
      <c r="AD708" t="s">
        <v>61</v>
      </c>
      <c r="AE708" t="s">
        <v>71</v>
      </c>
      <c r="AF708" s="5">
        <f>DATE(YEAR(C708),MONTH(C708),1)</f>
        <v>45962</v>
      </c>
      <c r="AG708">
        <f>E708-D708</f>
        <v>24</v>
      </c>
      <c r="AH708" s="6">
        <f t="shared" si="11"/>
        <v>72.843397897603595</v>
      </c>
    </row>
    <row r="709" spans="1:34">
      <c r="A709" t="s">
        <v>1531</v>
      </c>
      <c r="B709" t="s">
        <v>1532</v>
      </c>
      <c r="C709" s="1">
        <v>45953</v>
      </c>
      <c r="D709" s="1">
        <v>45956</v>
      </c>
      <c r="E709" s="1">
        <v>45983</v>
      </c>
      <c r="F709" t="s">
        <v>234</v>
      </c>
      <c r="G709" t="s">
        <v>111</v>
      </c>
      <c r="H709" t="s">
        <v>150</v>
      </c>
      <c r="I709" t="s">
        <v>56</v>
      </c>
      <c r="J709" t="s">
        <v>77</v>
      </c>
      <c r="K709" t="s">
        <v>41</v>
      </c>
      <c r="L709" t="s">
        <v>78</v>
      </c>
      <c r="M709" t="s">
        <v>43</v>
      </c>
      <c r="N709">
        <v>2</v>
      </c>
      <c r="O709" t="s">
        <v>111</v>
      </c>
      <c r="P709" s="48">
        <v>43990.73</v>
      </c>
      <c r="Q709" s="48">
        <v>7125.26</v>
      </c>
      <c r="R709" s="48">
        <v>3481.64</v>
      </c>
      <c r="S709" s="48">
        <v>536.48</v>
      </c>
      <c r="T709" s="48">
        <v>439.91</v>
      </c>
      <c r="U709" s="48">
        <v>814.92</v>
      </c>
      <c r="V709" s="48">
        <v>2053.5700000000002</v>
      </c>
      <c r="W709" s="48">
        <v>29538.95</v>
      </c>
      <c r="X709">
        <v>4</v>
      </c>
      <c r="Y709" t="s">
        <v>112</v>
      </c>
      <c r="Z709">
        <v>59.38</v>
      </c>
      <c r="AA709" t="s">
        <v>91</v>
      </c>
      <c r="AB709" t="s">
        <v>47</v>
      </c>
      <c r="AC709" t="s">
        <v>70</v>
      </c>
      <c r="AD709" t="s">
        <v>144</v>
      </c>
      <c r="AE709" t="s">
        <v>71</v>
      </c>
      <c r="AF709" s="5">
        <f>DATE(YEAR(C709),MONTH(C709),1)</f>
        <v>45931</v>
      </c>
      <c r="AG709">
        <f>E709-D709</f>
        <v>27</v>
      </c>
      <c r="AH709" s="6">
        <f t="shared" si="11"/>
        <v>67.148124161613126</v>
      </c>
    </row>
    <row r="710" spans="1:34">
      <c r="A710" t="s">
        <v>1533</v>
      </c>
      <c r="B710" t="s">
        <v>1534</v>
      </c>
      <c r="C710" s="1">
        <v>45697</v>
      </c>
      <c r="D710" s="1">
        <v>45698</v>
      </c>
      <c r="E710" s="1">
        <v>45716</v>
      </c>
      <c r="F710" t="s">
        <v>138</v>
      </c>
      <c r="G710" t="s">
        <v>139</v>
      </c>
      <c r="H710" t="s">
        <v>76</v>
      </c>
      <c r="I710" t="s">
        <v>57</v>
      </c>
      <c r="J710" t="s">
        <v>56</v>
      </c>
      <c r="K710" t="s">
        <v>41</v>
      </c>
      <c r="L710" t="s">
        <v>124</v>
      </c>
      <c r="M710" t="s">
        <v>108</v>
      </c>
      <c r="N710">
        <v>2</v>
      </c>
      <c r="O710" t="s">
        <v>105</v>
      </c>
      <c r="P710" s="48">
        <v>40626.949999999997</v>
      </c>
      <c r="Q710" s="48">
        <v>7120.86</v>
      </c>
      <c r="R710" s="48">
        <v>1853.56</v>
      </c>
      <c r="S710" s="48">
        <v>994.53</v>
      </c>
      <c r="T710" s="48">
        <v>406.27</v>
      </c>
      <c r="U710" s="48">
        <v>738.73</v>
      </c>
      <c r="V710" s="48">
        <v>738.12</v>
      </c>
      <c r="W710" s="48">
        <v>28774.880000000001</v>
      </c>
      <c r="X710">
        <v>0</v>
      </c>
      <c r="Y710" t="s">
        <v>45</v>
      </c>
      <c r="Z710">
        <v>59.34</v>
      </c>
      <c r="AA710" t="s">
        <v>46</v>
      </c>
      <c r="AB710" t="s">
        <v>92</v>
      </c>
      <c r="AC710" t="s">
        <v>70</v>
      </c>
      <c r="AD710" t="s">
        <v>49</v>
      </c>
      <c r="AE710" t="s">
        <v>62</v>
      </c>
      <c r="AF710" s="5">
        <f>DATE(YEAR(C710),MONTH(C710),1)</f>
        <v>45689</v>
      </c>
      <c r="AG710">
        <f>E710-D710</f>
        <v>18</v>
      </c>
      <c r="AH710" s="6">
        <f t="shared" si="11"/>
        <v>70.827074146594811</v>
      </c>
    </row>
    <row r="711" spans="1:34">
      <c r="A711" t="s">
        <v>1535</v>
      </c>
      <c r="B711" t="s">
        <v>1536</v>
      </c>
      <c r="C711" s="1">
        <v>45691</v>
      </c>
      <c r="D711" s="1">
        <v>45694</v>
      </c>
      <c r="E711" s="1">
        <v>45719</v>
      </c>
      <c r="F711" t="s">
        <v>53</v>
      </c>
      <c r="G711" t="s">
        <v>54</v>
      </c>
      <c r="H711" t="s">
        <v>55</v>
      </c>
      <c r="I711" t="s">
        <v>86</v>
      </c>
      <c r="J711" t="s">
        <v>87</v>
      </c>
      <c r="K711" t="s">
        <v>88</v>
      </c>
      <c r="L711" t="s">
        <v>155</v>
      </c>
      <c r="M711" t="s">
        <v>43</v>
      </c>
      <c r="N711">
        <v>4</v>
      </c>
      <c r="O711" t="s">
        <v>80</v>
      </c>
      <c r="P711" s="48">
        <v>42383.23</v>
      </c>
      <c r="Q711" s="48">
        <v>7105.16</v>
      </c>
      <c r="R711" s="48">
        <v>3082.51</v>
      </c>
      <c r="S711" s="48">
        <v>565.48</v>
      </c>
      <c r="T711" s="48">
        <v>423.83</v>
      </c>
      <c r="U711" s="48">
        <v>268.58999999999997</v>
      </c>
      <c r="V711" s="48">
        <v>2477.2600000000002</v>
      </c>
      <c r="W711" s="48">
        <v>28460.400000000001</v>
      </c>
      <c r="X711">
        <v>36</v>
      </c>
      <c r="Y711" t="s">
        <v>135</v>
      </c>
      <c r="Z711">
        <v>59.21</v>
      </c>
      <c r="AA711" t="s">
        <v>91</v>
      </c>
      <c r="AB711" t="s">
        <v>92</v>
      </c>
      <c r="AC711" t="s">
        <v>70</v>
      </c>
      <c r="AD711" t="s">
        <v>61</v>
      </c>
      <c r="AE711" t="s">
        <v>71</v>
      </c>
      <c r="AF711" s="5">
        <f>DATE(YEAR(C711),MONTH(C711),1)</f>
        <v>45689</v>
      </c>
      <c r="AG711">
        <f>E711-D711</f>
        <v>25</v>
      </c>
      <c r="AH711" s="6">
        <f t="shared" si="11"/>
        <v>67.150144054617826</v>
      </c>
    </row>
    <row r="712" spans="1:34">
      <c r="A712" t="s">
        <v>1537</v>
      </c>
      <c r="B712" t="s">
        <v>1538</v>
      </c>
      <c r="C712" s="1">
        <v>45778</v>
      </c>
      <c r="D712" s="1">
        <v>45781</v>
      </c>
      <c r="E712" s="1">
        <v>45796</v>
      </c>
      <c r="F712" t="s">
        <v>65</v>
      </c>
      <c r="G712" t="s">
        <v>66</v>
      </c>
      <c r="H712" t="s">
        <v>67</v>
      </c>
      <c r="I712" t="s">
        <v>57</v>
      </c>
      <c r="J712" t="s">
        <v>98</v>
      </c>
      <c r="K712" t="s">
        <v>99</v>
      </c>
      <c r="L712" t="s">
        <v>127</v>
      </c>
      <c r="M712" t="s">
        <v>43</v>
      </c>
      <c r="N712">
        <v>4</v>
      </c>
      <c r="O712" t="s">
        <v>69</v>
      </c>
      <c r="P712" s="48">
        <v>35902.82</v>
      </c>
      <c r="Q712" s="48">
        <v>7076.97</v>
      </c>
      <c r="R712" s="48">
        <v>2034.65</v>
      </c>
      <c r="S712" s="48">
        <v>765.67</v>
      </c>
      <c r="T712" s="48">
        <v>359.03</v>
      </c>
      <c r="U712" s="48">
        <v>884.72</v>
      </c>
      <c r="V712" s="48">
        <v>1991.32</v>
      </c>
      <c r="W712" s="48">
        <v>22790.46</v>
      </c>
      <c r="X712">
        <v>8</v>
      </c>
      <c r="Y712" t="s">
        <v>112</v>
      </c>
      <c r="Z712">
        <v>58.97</v>
      </c>
      <c r="AA712" t="s">
        <v>91</v>
      </c>
      <c r="AB712" t="s">
        <v>92</v>
      </c>
      <c r="AC712" t="s">
        <v>70</v>
      </c>
      <c r="AD712" t="s">
        <v>144</v>
      </c>
      <c r="AE712" t="s">
        <v>50</v>
      </c>
      <c r="AF712" s="5">
        <f>DATE(YEAR(C712),MONTH(C712),1)</f>
        <v>45778</v>
      </c>
      <c r="AG712">
        <f>E712-D712</f>
        <v>15</v>
      </c>
      <c r="AH712" s="6">
        <f t="shared" si="11"/>
        <v>63.4781891784545</v>
      </c>
    </row>
    <row r="713" spans="1:34">
      <c r="A713" t="s">
        <v>1539</v>
      </c>
      <c r="B713" t="s">
        <v>1540</v>
      </c>
      <c r="C713" s="1">
        <v>45788</v>
      </c>
      <c r="D713" s="1">
        <v>45792</v>
      </c>
      <c r="E713" s="1">
        <v>45807</v>
      </c>
      <c r="F713" t="s">
        <v>74</v>
      </c>
      <c r="G713" t="s">
        <v>75</v>
      </c>
      <c r="H713" t="s">
        <v>76</v>
      </c>
      <c r="I713" t="s">
        <v>40</v>
      </c>
      <c r="J713" t="s">
        <v>122</v>
      </c>
      <c r="K713" t="s">
        <v>123</v>
      </c>
      <c r="L713" t="s">
        <v>42</v>
      </c>
      <c r="M713" t="s">
        <v>108</v>
      </c>
      <c r="N713">
        <v>1</v>
      </c>
      <c r="O713" t="s">
        <v>44</v>
      </c>
      <c r="P713" s="48">
        <v>31033.33</v>
      </c>
      <c r="Q713" s="48">
        <v>7059.07</v>
      </c>
      <c r="R713" s="48">
        <v>2296.66</v>
      </c>
      <c r="S713" s="48">
        <v>351.69</v>
      </c>
      <c r="T713" s="48">
        <v>310.33</v>
      </c>
      <c r="U713" s="48">
        <v>476.44</v>
      </c>
      <c r="V713" s="48">
        <v>1476.41</v>
      </c>
      <c r="W713" s="48">
        <v>19062.73</v>
      </c>
      <c r="X713">
        <v>24</v>
      </c>
      <c r="Y713" t="s">
        <v>135</v>
      </c>
      <c r="Z713">
        <v>58.83</v>
      </c>
      <c r="AA713" t="s">
        <v>91</v>
      </c>
      <c r="AB713" t="s">
        <v>92</v>
      </c>
      <c r="AC713" t="s">
        <v>60</v>
      </c>
      <c r="AD713" t="s">
        <v>49</v>
      </c>
      <c r="AE713" t="s">
        <v>71</v>
      </c>
      <c r="AF713" s="5">
        <f>DATE(YEAR(C713),MONTH(C713),1)</f>
        <v>45778</v>
      </c>
      <c r="AG713">
        <f>E713-D713</f>
        <v>15</v>
      </c>
      <c r="AH713" s="6">
        <f t="shared" si="11"/>
        <v>61.426633880411799</v>
      </c>
    </row>
    <row r="714" spans="1:34">
      <c r="A714" t="s">
        <v>1541</v>
      </c>
      <c r="B714" t="s">
        <v>1542</v>
      </c>
      <c r="C714" s="1">
        <v>45955</v>
      </c>
      <c r="D714" s="1">
        <v>45958</v>
      </c>
      <c r="E714" s="1">
        <v>45980</v>
      </c>
      <c r="F714" t="s">
        <v>53</v>
      </c>
      <c r="G714" t="s">
        <v>54</v>
      </c>
      <c r="H714" t="s">
        <v>55</v>
      </c>
      <c r="I714" t="s">
        <v>40</v>
      </c>
      <c r="J714" t="s">
        <v>40</v>
      </c>
      <c r="K714" t="s">
        <v>41</v>
      </c>
      <c r="L714" t="s">
        <v>124</v>
      </c>
      <c r="M714" t="s">
        <v>68</v>
      </c>
      <c r="N714">
        <v>2</v>
      </c>
      <c r="O714" t="s">
        <v>89</v>
      </c>
      <c r="P714" s="48">
        <v>27017.87</v>
      </c>
      <c r="Q714" s="48">
        <v>7047.67</v>
      </c>
      <c r="R714" s="48">
        <v>1719.13</v>
      </c>
      <c r="S714" s="48">
        <v>558.5</v>
      </c>
      <c r="T714" s="48">
        <v>270.18</v>
      </c>
      <c r="U714" s="48">
        <v>826.42</v>
      </c>
      <c r="V714" s="48">
        <v>1786.12</v>
      </c>
      <c r="W714" s="48">
        <v>14809.85</v>
      </c>
      <c r="X714">
        <v>0</v>
      </c>
      <c r="Y714" t="s">
        <v>45</v>
      </c>
      <c r="Z714">
        <v>58.73</v>
      </c>
      <c r="AA714" t="s">
        <v>46</v>
      </c>
      <c r="AB714" t="s">
        <v>92</v>
      </c>
      <c r="AC714" t="s">
        <v>48</v>
      </c>
      <c r="AD714" t="s">
        <v>144</v>
      </c>
      <c r="AE714" t="s">
        <v>62</v>
      </c>
      <c r="AF714" s="5">
        <f>DATE(YEAR(C714),MONTH(C714),1)</f>
        <v>45931</v>
      </c>
      <c r="AG714">
        <f>E714-D714</f>
        <v>22</v>
      </c>
      <c r="AH714" s="6">
        <f t="shared" si="11"/>
        <v>54.81501687586772</v>
      </c>
    </row>
    <row r="715" spans="1:34">
      <c r="A715" t="s">
        <v>1543</v>
      </c>
      <c r="B715" t="s">
        <v>1544</v>
      </c>
      <c r="C715" s="1">
        <v>45903</v>
      </c>
      <c r="D715" s="1">
        <v>45904</v>
      </c>
      <c r="E715" s="1">
        <v>45927</v>
      </c>
      <c r="F715" t="s">
        <v>120</v>
      </c>
      <c r="G715" t="s">
        <v>75</v>
      </c>
      <c r="H715" t="s">
        <v>121</v>
      </c>
      <c r="I715" t="s">
        <v>86</v>
      </c>
      <c r="J715" t="s">
        <v>87</v>
      </c>
      <c r="K715" t="s">
        <v>88</v>
      </c>
      <c r="L715" t="s">
        <v>127</v>
      </c>
      <c r="M715" t="s">
        <v>79</v>
      </c>
      <c r="N715">
        <v>1</v>
      </c>
      <c r="O715" t="s">
        <v>111</v>
      </c>
      <c r="P715" s="48">
        <v>26669.43</v>
      </c>
      <c r="Q715" s="48">
        <v>7043.45</v>
      </c>
      <c r="R715" s="48">
        <v>1660.62</v>
      </c>
      <c r="S715" s="48">
        <v>435.49</v>
      </c>
      <c r="T715" s="48">
        <v>266.69</v>
      </c>
      <c r="U715" s="48">
        <v>898.31</v>
      </c>
      <c r="V715" s="48">
        <v>318.35000000000002</v>
      </c>
      <c r="W715" s="48">
        <v>16046.52</v>
      </c>
      <c r="X715">
        <v>12</v>
      </c>
      <c r="Y715" t="s">
        <v>90</v>
      </c>
      <c r="Z715">
        <v>58.7</v>
      </c>
      <c r="AA715" t="s">
        <v>91</v>
      </c>
      <c r="AB715" t="s">
        <v>47</v>
      </c>
      <c r="AC715" t="s">
        <v>70</v>
      </c>
      <c r="AD715" t="s">
        <v>93</v>
      </c>
      <c r="AE715" t="s">
        <v>50</v>
      </c>
      <c r="AF715" s="5">
        <f>DATE(YEAR(C715),MONTH(C715),1)</f>
        <v>45901</v>
      </c>
      <c r="AG715">
        <f>E715-D715</f>
        <v>23</v>
      </c>
      <c r="AH715" s="6">
        <f t="shared" si="11"/>
        <v>60.168215068713508</v>
      </c>
    </row>
    <row r="716" spans="1:34">
      <c r="A716" t="s">
        <v>1545</v>
      </c>
      <c r="B716" t="s">
        <v>1546</v>
      </c>
      <c r="C716" s="1">
        <v>45766</v>
      </c>
      <c r="D716" s="1">
        <v>45768</v>
      </c>
      <c r="E716" s="1">
        <v>45779</v>
      </c>
      <c r="F716" t="s">
        <v>234</v>
      </c>
      <c r="G716" t="s">
        <v>111</v>
      </c>
      <c r="H716" t="s">
        <v>150</v>
      </c>
      <c r="I716" t="s">
        <v>98</v>
      </c>
      <c r="J716" t="s">
        <v>86</v>
      </c>
      <c r="K716" t="s">
        <v>41</v>
      </c>
      <c r="L716" t="s">
        <v>124</v>
      </c>
      <c r="M716" t="s">
        <v>68</v>
      </c>
      <c r="N716">
        <v>1</v>
      </c>
      <c r="O716" t="s">
        <v>111</v>
      </c>
      <c r="P716" s="48">
        <v>24096.05</v>
      </c>
      <c r="Q716" s="48">
        <v>7043.33</v>
      </c>
      <c r="R716" s="48">
        <v>1003.2</v>
      </c>
      <c r="S716" s="48">
        <v>671.53</v>
      </c>
      <c r="T716" s="48">
        <v>240.96</v>
      </c>
      <c r="U716" s="48">
        <v>493.6</v>
      </c>
      <c r="V716" s="48">
        <v>381.6</v>
      </c>
      <c r="W716" s="48">
        <v>14261.83</v>
      </c>
      <c r="X716">
        <v>4</v>
      </c>
      <c r="Y716" t="s">
        <v>101</v>
      </c>
      <c r="Z716">
        <v>58.69</v>
      </c>
      <c r="AA716" t="s">
        <v>91</v>
      </c>
      <c r="AB716" t="s">
        <v>47</v>
      </c>
      <c r="AC716" t="s">
        <v>70</v>
      </c>
      <c r="AD716" t="s">
        <v>93</v>
      </c>
      <c r="AE716" t="s">
        <v>71</v>
      </c>
      <c r="AF716" s="5">
        <f>DATE(YEAR(C716),MONTH(C716),1)</f>
        <v>45748</v>
      </c>
      <c r="AG716">
        <f>E716-D716</f>
        <v>11</v>
      </c>
      <c r="AH716" s="6">
        <f t="shared" si="11"/>
        <v>59.187418684805181</v>
      </c>
    </row>
    <row r="717" spans="1:34">
      <c r="A717" t="s">
        <v>1547</v>
      </c>
      <c r="B717" t="s">
        <v>1548</v>
      </c>
      <c r="C717" s="1">
        <v>45999</v>
      </c>
      <c r="D717" s="1">
        <v>46003</v>
      </c>
      <c r="E717" s="1">
        <v>46022</v>
      </c>
      <c r="F717" t="s">
        <v>96</v>
      </c>
      <c r="G717" t="s">
        <v>97</v>
      </c>
      <c r="H717" t="s">
        <v>76</v>
      </c>
      <c r="I717" t="s">
        <v>57</v>
      </c>
      <c r="J717" t="s">
        <v>98</v>
      </c>
      <c r="K717" t="s">
        <v>99</v>
      </c>
      <c r="L717" t="s">
        <v>116</v>
      </c>
      <c r="M717" t="s">
        <v>79</v>
      </c>
      <c r="N717">
        <v>2</v>
      </c>
      <c r="O717" t="s">
        <v>69</v>
      </c>
      <c r="P717" s="48">
        <v>37418.49</v>
      </c>
      <c r="Q717" s="48">
        <v>6995.86</v>
      </c>
      <c r="R717" s="48">
        <v>2719.78</v>
      </c>
      <c r="S717" s="48">
        <v>958.67</v>
      </c>
      <c r="T717" s="48">
        <v>374.18</v>
      </c>
      <c r="U717" s="48">
        <v>121.71</v>
      </c>
      <c r="V717" s="48">
        <v>717.94</v>
      </c>
      <c r="W717" s="48">
        <v>25530.35</v>
      </c>
      <c r="X717">
        <v>24</v>
      </c>
      <c r="Y717" t="s">
        <v>117</v>
      </c>
      <c r="Z717">
        <v>58.3</v>
      </c>
      <c r="AA717" t="s">
        <v>91</v>
      </c>
      <c r="AB717" t="s">
        <v>47</v>
      </c>
      <c r="AC717" t="s">
        <v>48</v>
      </c>
      <c r="AD717" t="s">
        <v>49</v>
      </c>
      <c r="AE717" t="s">
        <v>50</v>
      </c>
      <c r="AF717" s="5">
        <f>DATE(YEAR(C717),MONTH(C717),1)</f>
        <v>45992</v>
      </c>
      <c r="AG717">
        <f>E717-D717</f>
        <v>19</v>
      </c>
      <c r="AH717" s="6">
        <f t="shared" si="11"/>
        <v>68.229236401575804</v>
      </c>
    </row>
    <row r="718" spans="1:34">
      <c r="A718" t="s">
        <v>1549</v>
      </c>
      <c r="B718" t="s">
        <v>1550</v>
      </c>
      <c r="C718" s="1">
        <v>45881</v>
      </c>
      <c r="D718" s="1">
        <v>45884</v>
      </c>
      <c r="E718" s="1">
        <v>45900</v>
      </c>
      <c r="F718" t="s">
        <v>120</v>
      </c>
      <c r="G718" t="s">
        <v>75</v>
      </c>
      <c r="H718" t="s">
        <v>121</v>
      </c>
      <c r="I718" t="s">
        <v>86</v>
      </c>
      <c r="J718" t="s">
        <v>87</v>
      </c>
      <c r="K718" t="s">
        <v>88</v>
      </c>
      <c r="L718" t="s">
        <v>78</v>
      </c>
      <c r="M718" t="s">
        <v>79</v>
      </c>
      <c r="N718">
        <v>1</v>
      </c>
      <c r="O718" t="s">
        <v>111</v>
      </c>
      <c r="P718" s="48">
        <v>25573.08</v>
      </c>
      <c r="Q718" s="48">
        <v>6931.01</v>
      </c>
      <c r="R718" s="48">
        <v>1144.4100000000001</v>
      </c>
      <c r="S718" s="48">
        <v>392.91</v>
      </c>
      <c r="T718" s="48">
        <v>255.73</v>
      </c>
      <c r="U718" s="48">
        <v>559.74</v>
      </c>
      <c r="V718" s="48">
        <v>887.28</v>
      </c>
      <c r="W718" s="48">
        <v>15402</v>
      </c>
      <c r="X718">
        <v>36</v>
      </c>
      <c r="Y718" t="s">
        <v>90</v>
      </c>
      <c r="Z718">
        <v>57.76</v>
      </c>
      <c r="AA718" t="s">
        <v>91</v>
      </c>
      <c r="AB718" t="s">
        <v>47</v>
      </c>
      <c r="AC718" t="s">
        <v>60</v>
      </c>
      <c r="AD718" t="s">
        <v>93</v>
      </c>
      <c r="AE718" t="s">
        <v>62</v>
      </c>
      <c r="AF718" s="5">
        <f>DATE(YEAR(C718),MONTH(C718),1)</f>
        <v>45870</v>
      </c>
      <c r="AG718">
        <f>E718-D718</f>
        <v>16</v>
      </c>
      <c r="AH718" s="6">
        <f t="shared" si="11"/>
        <v>60.227395370444228</v>
      </c>
    </row>
    <row r="719" spans="1:34">
      <c r="A719" t="s">
        <v>1551</v>
      </c>
      <c r="B719" t="s">
        <v>1552</v>
      </c>
      <c r="C719" s="1">
        <v>45661</v>
      </c>
      <c r="D719" s="1">
        <v>45663</v>
      </c>
      <c r="E719" s="1">
        <v>45677</v>
      </c>
      <c r="F719" t="s">
        <v>180</v>
      </c>
      <c r="G719" t="s">
        <v>181</v>
      </c>
      <c r="H719" t="s">
        <v>38</v>
      </c>
      <c r="I719" t="s">
        <v>86</v>
      </c>
      <c r="J719" t="s">
        <v>86</v>
      </c>
      <c r="K719" t="s">
        <v>41</v>
      </c>
      <c r="L719" t="s">
        <v>100</v>
      </c>
      <c r="M719" t="s">
        <v>79</v>
      </c>
      <c r="N719">
        <v>1</v>
      </c>
      <c r="O719" t="s">
        <v>80</v>
      </c>
      <c r="P719" s="48">
        <v>27812.18</v>
      </c>
      <c r="Q719" s="48">
        <v>6919.33</v>
      </c>
      <c r="R719" s="48">
        <v>2088.37</v>
      </c>
      <c r="S719" s="48">
        <v>315.38</v>
      </c>
      <c r="T719" s="48">
        <v>278.12</v>
      </c>
      <c r="U719" s="48">
        <v>849.76</v>
      </c>
      <c r="V719" s="48">
        <v>1910.19</v>
      </c>
      <c r="W719" s="48">
        <v>15451.03</v>
      </c>
      <c r="X719">
        <v>0</v>
      </c>
      <c r="Y719" t="s">
        <v>45</v>
      </c>
      <c r="Z719">
        <v>57.66</v>
      </c>
      <c r="AA719" t="s">
        <v>46</v>
      </c>
      <c r="AB719" t="s">
        <v>47</v>
      </c>
      <c r="AC719" t="s">
        <v>48</v>
      </c>
      <c r="AD719" t="s">
        <v>61</v>
      </c>
      <c r="AE719" t="s">
        <v>71</v>
      </c>
      <c r="AF719" s="5">
        <f>DATE(YEAR(C719),MONTH(C719),1)</f>
        <v>45658</v>
      </c>
      <c r="AG719">
        <f>E719-D719</f>
        <v>14</v>
      </c>
      <c r="AH719" s="6">
        <f t="shared" si="11"/>
        <v>55.554904362045697</v>
      </c>
    </row>
    <row r="720" spans="1:34">
      <c r="A720" t="s">
        <v>1553</v>
      </c>
      <c r="B720" t="s">
        <v>1554</v>
      </c>
      <c r="C720" s="1">
        <v>45938</v>
      </c>
      <c r="D720" s="1">
        <v>45939</v>
      </c>
      <c r="E720" s="1">
        <v>45962</v>
      </c>
      <c r="F720" t="s">
        <v>120</v>
      </c>
      <c r="G720" t="s">
        <v>75</v>
      </c>
      <c r="H720" t="s">
        <v>121</v>
      </c>
      <c r="I720" t="s">
        <v>77</v>
      </c>
      <c r="J720" t="s">
        <v>98</v>
      </c>
      <c r="K720" t="s">
        <v>41</v>
      </c>
      <c r="L720" t="s">
        <v>127</v>
      </c>
      <c r="M720" t="s">
        <v>68</v>
      </c>
      <c r="N720">
        <v>2</v>
      </c>
      <c r="O720" t="s">
        <v>111</v>
      </c>
      <c r="P720" s="48">
        <v>38995.360000000001</v>
      </c>
      <c r="Q720" s="48">
        <v>6906.91</v>
      </c>
      <c r="R720" s="48">
        <v>1716.47</v>
      </c>
      <c r="S720" s="48">
        <v>408.67</v>
      </c>
      <c r="T720" s="48">
        <v>389.95</v>
      </c>
      <c r="U720" s="48">
        <v>843.38</v>
      </c>
      <c r="V720" s="48">
        <v>1569.47</v>
      </c>
      <c r="W720" s="48">
        <v>27160.51</v>
      </c>
      <c r="X720">
        <v>0</v>
      </c>
      <c r="Y720" t="s">
        <v>45</v>
      </c>
      <c r="Z720">
        <v>57.56</v>
      </c>
      <c r="AA720" t="s">
        <v>46</v>
      </c>
      <c r="AB720" t="s">
        <v>47</v>
      </c>
      <c r="AC720" t="s">
        <v>60</v>
      </c>
      <c r="AD720" t="s">
        <v>61</v>
      </c>
      <c r="AE720" t="s">
        <v>102</v>
      </c>
      <c r="AF720" s="5">
        <f>DATE(YEAR(C720),MONTH(C720),1)</f>
        <v>45931</v>
      </c>
      <c r="AG720">
        <f>E720-D720</f>
        <v>23</v>
      </c>
      <c r="AH720" s="6">
        <f t="shared" si="11"/>
        <v>69.650619971196576</v>
      </c>
    </row>
    <row r="721" spans="1:34">
      <c r="A721" t="s">
        <v>1555</v>
      </c>
      <c r="B721" t="s">
        <v>1556</v>
      </c>
      <c r="C721" s="1">
        <v>45805</v>
      </c>
      <c r="D721" s="1">
        <v>45809</v>
      </c>
      <c r="E721" s="1">
        <v>45829</v>
      </c>
      <c r="F721" t="s">
        <v>96</v>
      </c>
      <c r="G721" t="s">
        <v>97</v>
      </c>
      <c r="H721" t="s">
        <v>76</v>
      </c>
      <c r="I721" t="s">
        <v>57</v>
      </c>
      <c r="J721" t="s">
        <v>98</v>
      </c>
      <c r="K721" t="s">
        <v>99</v>
      </c>
      <c r="L721" t="s">
        <v>42</v>
      </c>
      <c r="M721" t="s">
        <v>79</v>
      </c>
      <c r="N721">
        <v>2</v>
      </c>
      <c r="O721" t="s">
        <v>44</v>
      </c>
      <c r="P721" s="48">
        <v>30794.560000000001</v>
      </c>
      <c r="Q721" s="48">
        <v>6877.57</v>
      </c>
      <c r="R721" s="48">
        <v>2120.31</v>
      </c>
      <c r="S721" s="48">
        <v>402.43</v>
      </c>
      <c r="T721" s="48">
        <v>307.95</v>
      </c>
      <c r="U721" s="48">
        <v>702.43</v>
      </c>
      <c r="V721" s="48">
        <v>1241.8900000000001</v>
      </c>
      <c r="W721" s="48">
        <v>19141.98</v>
      </c>
      <c r="X721">
        <v>0</v>
      </c>
      <c r="Y721" t="s">
        <v>45</v>
      </c>
      <c r="Z721">
        <v>57.31</v>
      </c>
      <c r="AA721" t="s">
        <v>46</v>
      </c>
      <c r="AB721" t="s">
        <v>47</v>
      </c>
      <c r="AC721" t="s">
        <v>70</v>
      </c>
      <c r="AD721" t="s">
        <v>49</v>
      </c>
      <c r="AE721" t="s">
        <v>102</v>
      </c>
      <c r="AF721" s="5">
        <f>DATE(YEAR(C721),MONTH(C721),1)</f>
        <v>45778</v>
      </c>
      <c r="AG721">
        <f>E721-D721</f>
        <v>20</v>
      </c>
      <c r="AH721" s="6">
        <f t="shared" si="11"/>
        <v>62.160264670123553</v>
      </c>
    </row>
    <row r="722" spans="1:34">
      <c r="A722" t="s">
        <v>1557</v>
      </c>
      <c r="B722" t="s">
        <v>1558</v>
      </c>
      <c r="C722" s="1">
        <v>45695</v>
      </c>
      <c r="D722" s="1">
        <v>45696</v>
      </c>
      <c r="E722" s="1">
        <v>45720</v>
      </c>
      <c r="F722" t="s">
        <v>149</v>
      </c>
      <c r="G722" t="s">
        <v>111</v>
      </c>
      <c r="H722" t="s">
        <v>150</v>
      </c>
      <c r="I722" t="s">
        <v>86</v>
      </c>
      <c r="J722" t="s">
        <v>87</v>
      </c>
      <c r="K722" t="s">
        <v>88</v>
      </c>
      <c r="L722" t="s">
        <v>127</v>
      </c>
      <c r="M722" t="s">
        <v>108</v>
      </c>
      <c r="N722">
        <v>1</v>
      </c>
      <c r="O722" t="s">
        <v>44</v>
      </c>
      <c r="P722" s="48">
        <v>37812.129999999997</v>
      </c>
      <c r="Q722" s="48">
        <v>6864.09</v>
      </c>
      <c r="R722" s="48">
        <v>2700.69</v>
      </c>
      <c r="S722" s="48">
        <v>925.03</v>
      </c>
      <c r="T722" s="48">
        <v>378.12</v>
      </c>
      <c r="U722" s="48">
        <v>153.38999999999999</v>
      </c>
      <c r="V722" s="48">
        <v>991.92</v>
      </c>
      <c r="W722" s="48">
        <v>25798.89</v>
      </c>
      <c r="X722">
        <v>0</v>
      </c>
      <c r="Y722" t="s">
        <v>45</v>
      </c>
      <c r="Z722">
        <v>57.2</v>
      </c>
      <c r="AA722" t="s">
        <v>46</v>
      </c>
      <c r="AB722" t="s">
        <v>92</v>
      </c>
      <c r="AC722" t="s">
        <v>60</v>
      </c>
      <c r="AD722" t="s">
        <v>61</v>
      </c>
      <c r="AE722" t="s">
        <v>62</v>
      </c>
      <c r="AF722" s="5">
        <f>DATE(YEAR(C722),MONTH(C722),1)</f>
        <v>45689</v>
      </c>
      <c r="AG722">
        <f>E722-D722</f>
        <v>24</v>
      </c>
      <c r="AH722" s="6">
        <f t="shared" si="11"/>
        <v>68.229137052051811</v>
      </c>
    </row>
    <row r="723" spans="1:34">
      <c r="A723" t="s">
        <v>1559</v>
      </c>
      <c r="B723" t="s">
        <v>1560</v>
      </c>
      <c r="C723" s="1">
        <v>45794</v>
      </c>
      <c r="D723" s="1">
        <v>45795</v>
      </c>
      <c r="E723" s="1">
        <v>45808</v>
      </c>
      <c r="F723" t="s">
        <v>65</v>
      </c>
      <c r="G723" t="s">
        <v>66</v>
      </c>
      <c r="H723" t="s">
        <v>67</v>
      </c>
      <c r="I723" t="s">
        <v>115</v>
      </c>
      <c r="J723" t="s">
        <v>98</v>
      </c>
      <c r="K723" t="s">
        <v>99</v>
      </c>
      <c r="L723" t="s">
        <v>155</v>
      </c>
      <c r="M723" t="s">
        <v>68</v>
      </c>
      <c r="N723">
        <v>2</v>
      </c>
      <c r="O723" t="s">
        <v>111</v>
      </c>
      <c r="P723" s="48">
        <v>34181.25</v>
      </c>
      <c r="Q723" s="48">
        <v>6858.24</v>
      </c>
      <c r="R723" s="48">
        <v>2708.29</v>
      </c>
      <c r="S723" s="48">
        <v>718.12</v>
      </c>
      <c r="T723" s="48">
        <v>341.81</v>
      </c>
      <c r="U723" s="48">
        <v>559.75</v>
      </c>
      <c r="V723" s="48">
        <v>1984.48</v>
      </c>
      <c r="W723" s="48">
        <v>21010.560000000001</v>
      </c>
      <c r="X723">
        <v>12</v>
      </c>
      <c r="Y723" t="s">
        <v>117</v>
      </c>
      <c r="Z723">
        <v>57.15</v>
      </c>
      <c r="AA723" t="s">
        <v>91</v>
      </c>
      <c r="AB723" t="s">
        <v>47</v>
      </c>
      <c r="AC723" t="s">
        <v>48</v>
      </c>
      <c r="AD723" t="s">
        <v>93</v>
      </c>
      <c r="AE723" t="s">
        <v>62</v>
      </c>
      <c r="AF723" s="5">
        <f>DATE(YEAR(C723),MONTH(C723),1)</f>
        <v>45778</v>
      </c>
      <c r="AG723">
        <f>E723-D723</f>
        <v>13</v>
      </c>
      <c r="AH723" s="6">
        <f t="shared" si="11"/>
        <v>61.468085573230944</v>
      </c>
    </row>
    <row r="724" spans="1:34">
      <c r="A724" t="s">
        <v>1561</v>
      </c>
      <c r="B724" t="s">
        <v>1562</v>
      </c>
      <c r="C724" s="1">
        <v>45769</v>
      </c>
      <c r="D724" s="1">
        <v>45770</v>
      </c>
      <c r="E724" s="1">
        <v>45789</v>
      </c>
      <c r="F724" t="s">
        <v>149</v>
      </c>
      <c r="G724" t="s">
        <v>111</v>
      </c>
      <c r="H724" t="s">
        <v>150</v>
      </c>
      <c r="I724" t="s">
        <v>86</v>
      </c>
      <c r="J724" t="s">
        <v>122</v>
      </c>
      <c r="K724" t="s">
        <v>41</v>
      </c>
      <c r="L724" t="s">
        <v>59</v>
      </c>
      <c r="M724" t="s">
        <v>68</v>
      </c>
      <c r="N724">
        <v>1</v>
      </c>
      <c r="O724" t="s">
        <v>89</v>
      </c>
      <c r="P724" s="48">
        <v>23268.74</v>
      </c>
      <c r="Q724" s="48">
        <v>6847.1</v>
      </c>
      <c r="R724" s="48">
        <v>1410.76</v>
      </c>
      <c r="S724" s="48">
        <v>696.78</v>
      </c>
      <c r="T724" s="48">
        <v>232.69</v>
      </c>
      <c r="U724" s="48">
        <v>628.20000000000005</v>
      </c>
      <c r="V724" s="48">
        <v>2276.4499999999998</v>
      </c>
      <c r="W724" s="48">
        <v>11176.76</v>
      </c>
      <c r="X724">
        <v>8</v>
      </c>
      <c r="Y724" t="s">
        <v>117</v>
      </c>
      <c r="Z724">
        <v>57.06</v>
      </c>
      <c r="AA724" t="s">
        <v>91</v>
      </c>
      <c r="AB724" t="s">
        <v>47</v>
      </c>
      <c r="AC724" t="s">
        <v>70</v>
      </c>
      <c r="AD724" t="s">
        <v>144</v>
      </c>
      <c r="AE724" t="s">
        <v>62</v>
      </c>
      <c r="AF724" s="5">
        <f>DATE(YEAR(C724),MONTH(C724),1)</f>
        <v>45748</v>
      </c>
      <c r="AG724">
        <f>E724-D724</f>
        <v>19</v>
      </c>
      <c r="AH724" s="6">
        <f t="shared" si="11"/>
        <v>48.03337009223533</v>
      </c>
    </row>
    <row r="725" spans="1:34">
      <c r="A725" t="s">
        <v>1563</v>
      </c>
      <c r="B725" t="s">
        <v>1564</v>
      </c>
      <c r="C725" s="1">
        <v>45968</v>
      </c>
      <c r="D725" s="1">
        <v>45971</v>
      </c>
      <c r="E725" s="1">
        <v>45986</v>
      </c>
      <c r="F725" t="s">
        <v>65</v>
      </c>
      <c r="G725" t="s">
        <v>66</v>
      </c>
      <c r="H725" t="s">
        <v>67</v>
      </c>
      <c r="I725" t="s">
        <v>56</v>
      </c>
      <c r="J725" t="s">
        <v>57</v>
      </c>
      <c r="K725" t="s">
        <v>58</v>
      </c>
      <c r="L725" t="s">
        <v>42</v>
      </c>
      <c r="M725" t="s">
        <v>108</v>
      </c>
      <c r="N725">
        <v>1</v>
      </c>
      <c r="O725" t="s">
        <v>80</v>
      </c>
      <c r="P725" s="48">
        <v>28911.79</v>
      </c>
      <c r="Q725" s="48">
        <v>6837.37</v>
      </c>
      <c r="R725" s="48">
        <v>1622.31</v>
      </c>
      <c r="S725" s="48">
        <v>814.49</v>
      </c>
      <c r="T725" s="48">
        <v>289.12</v>
      </c>
      <c r="U725" s="48">
        <v>166.23</v>
      </c>
      <c r="V725" s="48">
        <v>2165.2199999999998</v>
      </c>
      <c r="W725" s="48">
        <v>17017.05</v>
      </c>
      <c r="X725">
        <v>0</v>
      </c>
      <c r="Y725" t="s">
        <v>45</v>
      </c>
      <c r="Z725">
        <v>56.98</v>
      </c>
      <c r="AA725" t="s">
        <v>46</v>
      </c>
      <c r="AB725" t="s">
        <v>47</v>
      </c>
      <c r="AC725" t="s">
        <v>70</v>
      </c>
      <c r="AD725" t="s">
        <v>61</v>
      </c>
      <c r="AE725" t="s">
        <v>102</v>
      </c>
      <c r="AF725" s="5">
        <f>DATE(YEAR(C725),MONTH(C725),1)</f>
        <v>45962</v>
      </c>
      <c r="AG725">
        <f>E725-D725</f>
        <v>15</v>
      </c>
      <c r="AH725" s="6">
        <f t="shared" si="11"/>
        <v>58.858514121747561</v>
      </c>
    </row>
    <row r="726" spans="1:34">
      <c r="A726" t="s">
        <v>1565</v>
      </c>
      <c r="B726" t="s">
        <v>1566</v>
      </c>
      <c r="C726" s="1">
        <v>45982</v>
      </c>
      <c r="D726" s="1">
        <v>45985</v>
      </c>
      <c r="E726" s="1">
        <v>45995</v>
      </c>
      <c r="F726" t="s">
        <v>149</v>
      </c>
      <c r="G726" t="s">
        <v>111</v>
      </c>
      <c r="H726" t="s">
        <v>150</v>
      </c>
      <c r="I726" t="s">
        <v>122</v>
      </c>
      <c r="J726" t="s">
        <v>39</v>
      </c>
      <c r="K726" t="s">
        <v>41</v>
      </c>
      <c r="L726" t="s">
        <v>42</v>
      </c>
      <c r="M726" t="s">
        <v>43</v>
      </c>
      <c r="N726">
        <v>1</v>
      </c>
      <c r="O726" t="s">
        <v>80</v>
      </c>
      <c r="P726" s="48">
        <v>23148.720000000001</v>
      </c>
      <c r="Q726" s="48">
        <v>6833.19</v>
      </c>
      <c r="R726" s="48">
        <v>1341.31</v>
      </c>
      <c r="S726" s="48">
        <v>634.09</v>
      </c>
      <c r="T726" s="48">
        <v>231.49</v>
      </c>
      <c r="U726" s="48">
        <v>490.29</v>
      </c>
      <c r="V726" s="48">
        <v>2104.25</v>
      </c>
      <c r="W726" s="48">
        <v>11514.1</v>
      </c>
      <c r="X726">
        <v>12</v>
      </c>
      <c r="Y726" t="s">
        <v>135</v>
      </c>
      <c r="Z726">
        <v>56.94</v>
      </c>
      <c r="AA726" t="s">
        <v>91</v>
      </c>
      <c r="AB726" t="s">
        <v>47</v>
      </c>
      <c r="AC726" t="s">
        <v>70</v>
      </c>
      <c r="AD726" t="s">
        <v>144</v>
      </c>
      <c r="AE726" t="s">
        <v>50</v>
      </c>
      <c r="AF726" s="5">
        <f>DATE(YEAR(C726),MONTH(C726),1)</f>
        <v>45962</v>
      </c>
      <c r="AG726">
        <f>E726-D726</f>
        <v>10</v>
      </c>
      <c r="AH726" s="6">
        <f t="shared" si="11"/>
        <v>49.73968323086546</v>
      </c>
    </row>
    <row r="727" spans="1:34">
      <c r="A727" t="s">
        <v>1567</v>
      </c>
      <c r="B727" t="s">
        <v>1568</v>
      </c>
      <c r="C727" s="1">
        <v>45717</v>
      </c>
      <c r="D727" s="1">
        <v>45719</v>
      </c>
      <c r="E727" s="1">
        <v>45746</v>
      </c>
      <c r="F727" t="s">
        <v>36</v>
      </c>
      <c r="G727" t="s">
        <v>37</v>
      </c>
      <c r="H727" t="s">
        <v>38</v>
      </c>
      <c r="I727" t="s">
        <v>115</v>
      </c>
      <c r="J727" t="s">
        <v>98</v>
      </c>
      <c r="K727" t="s">
        <v>99</v>
      </c>
      <c r="L727" t="s">
        <v>42</v>
      </c>
      <c r="M727" t="s">
        <v>108</v>
      </c>
      <c r="N727">
        <v>2</v>
      </c>
      <c r="O727" t="s">
        <v>54</v>
      </c>
      <c r="P727" s="48">
        <v>25796.73</v>
      </c>
      <c r="Q727" s="48">
        <v>6825.72</v>
      </c>
      <c r="R727" s="48">
        <v>1416.73</v>
      </c>
      <c r="S727" s="48">
        <v>400.59</v>
      </c>
      <c r="T727" s="48">
        <v>257.97000000000003</v>
      </c>
      <c r="U727" s="48">
        <v>115.16</v>
      </c>
      <c r="V727" s="48">
        <v>1571.09</v>
      </c>
      <c r="W727" s="48">
        <v>15209.47</v>
      </c>
      <c r="X727">
        <v>8</v>
      </c>
      <c r="Y727" t="s">
        <v>112</v>
      </c>
      <c r="Z727">
        <v>56.88</v>
      </c>
      <c r="AA727" t="s">
        <v>91</v>
      </c>
      <c r="AB727" t="s">
        <v>92</v>
      </c>
      <c r="AC727" t="s">
        <v>48</v>
      </c>
      <c r="AD727" t="s">
        <v>93</v>
      </c>
      <c r="AE727" t="s">
        <v>102</v>
      </c>
      <c r="AF727" s="5">
        <f>DATE(YEAR(C727),MONTH(C727),1)</f>
        <v>45717</v>
      </c>
      <c r="AG727">
        <f>E727-D727</f>
        <v>27</v>
      </c>
      <c r="AH727" s="6">
        <f t="shared" si="11"/>
        <v>58.958906807180597</v>
      </c>
    </row>
    <row r="728" spans="1:34">
      <c r="A728" t="s">
        <v>1569</v>
      </c>
      <c r="B728" t="s">
        <v>1570</v>
      </c>
      <c r="C728" s="1">
        <v>45706</v>
      </c>
      <c r="D728" s="1">
        <v>45707</v>
      </c>
      <c r="E728" s="1">
        <v>45728</v>
      </c>
      <c r="F728" t="s">
        <v>53</v>
      </c>
      <c r="G728" t="s">
        <v>54</v>
      </c>
      <c r="H728" t="s">
        <v>55</v>
      </c>
      <c r="I728" t="s">
        <v>86</v>
      </c>
      <c r="J728" t="s">
        <v>87</v>
      </c>
      <c r="K728" t="s">
        <v>88</v>
      </c>
      <c r="L728" t="s">
        <v>78</v>
      </c>
      <c r="M728" t="s">
        <v>79</v>
      </c>
      <c r="N728">
        <v>2</v>
      </c>
      <c r="O728" t="s">
        <v>54</v>
      </c>
      <c r="P728" s="48">
        <v>37694.519999999997</v>
      </c>
      <c r="Q728" s="48">
        <v>6781.23</v>
      </c>
      <c r="R728" s="48">
        <v>1888.26</v>
      </c>
      <c r="S728" s="48">
        <v>1117.3599999999999</v>
      </c>
      <c r="T728" s="48">
        <v>376.95</v>
      </c>
      <c r="U728" s="48">
        <v>113.16</v>
      </c>
      <c r="V728" s="48">
        <v>2474.19</v>
      </c>
      <c r="W728" s="48">
        <v>24943.37</v>
      </c>
      <c r="X728">
        <v>0</v>
      </c>
      <c r="Y728" t="s">
        <v>45</v>
      </c>
      <c r="Z728">
        <v>56.51</v>
      </c>
      <c r="AA728" t="s">
        <v>46</v>
      </c>
      <c r="AB728" t="s">
        <v>92</v>
      </c>
      <c r="AC728" t="s">
        <v>60</v>
      </c>
      <c r="AD728" t="s">
        <v>144</v>
      </c>
      <c r="AE728" t="s">
        <v>71</v>
      </c>
      <c r="AF728" s="5">
        <f>DATE(YEAR(C728),MONTH(C728),1)</f>
        <v>45689</v>
      </c>
      <c r="AG728">
        <f>E728-D728</f>
        <v>21</v>
      </c>
      <c r="AH728" s="6">
        <f t="shared" si="11"/>
        <v>66.172403840133796</v>
      </c>
    </row>
    <row r="729" spans="1:34">
      <c r="A729" t="s">
        <v>1571</v>
      </c>
      <c r="B729" t="s">
        <v>1572</v>
      </c>
      <c r="C729" s="1">
        <v>45982</v>
      </c>
      <c r="D729" s="1">
        <v>45985</v>
      </c>
      <c r="E729" s="1">
        <v>46010</v>
      </c>
      <c r="F729" t="s">
        <v>138</v>
      </c>
      <c r="G729" t="s">
        <v>139</v>
      </c>
      <c r="H729" t="s">
        <v>76</v>
      </c>
      <c r="I729" t="s">
        <v>57</v>
      </c>
      <c r="J729" t="s">
        <v>98</v>
      </c>
      <c r="K729" t="s">
        <v>99</v>
      </c>
      <c r="L729" t="s">
        <v>42</v>
      </c>
      <c r="M729" t="s">
        <v>43</v>
      </c>
      <c r="N729">
        <v>1</v>
      </c>
      <c r="O729" t="s">
        <v>105</v>
      </c>
      <c r="P729" s="48">
        <v>26836.43</v>
      </c>
      <c r="Q729" s="48">
        <v>6748.24</v>
      </c>
      <c r="R729" s="48">
        <v>1935.05</v>
      </c>
      <c r="S729" s="48">
        <v>402.13</v>
      </c>
      <c r="T729" s="48">
        <v>268.36</v>
      </c>
      <c r="U729" s="48">
        <v>741.08</v>
      </c>
      <c r="V729" s="48">
        <v>2063.0300000000002</v>
      </c>
      <c r="W729" s="48">
        <v>14678.54</v>
      </c>
      <c r="X729">
        <v>0</v>
      </c>
      <c r="Y729" t="s">
        <v>45</v>
      </c>
      <c r="Z729">
        <v>56.24</v>
      </c>
      <c r="AA729" t="s">
        <v>46</v>
      </c>
      <c r="AB729" t="s">
        <v>92</v>
      </c>
      <c r="AC729" t="s">
        <v>48</v>
      </c>
      <c r="AD729" t="s">
        <v>130</v>
      </c>
      <c r="AE729" t="s">
        <v>50</v>
      </c>
      <c r="AF729" s="5">
        <f>DATE(YEAR(C729),MONTH(C729),1)</f>
        <v>45962</v>
      </c>
      <c r="AG729">
        <f>E729-D729</f>
        <v>25</v>
      </c>
      <c r="AH729" s="6">
        <f t="shared" si="11"/>
        <v>54.696321381048072</v>
      </c>
    </row>
    <row r="730" spans="1:34">
      <c r="A730" t="s">
        <v>1573</v>
      </c>
      <c r="B730" t="s">
        <v>1574</v>
      </c>
      <c r="C730" s="1">
        <v>45915</v>
      </c>
      <c r="D730" s="1">
        <v>45918</v>
      </c>
      <c r="E730" s="1">
        <v>45941</v>
      </c>
      <c r="F730" t="s">
        <v>180</v>
      </c>
      <c r="G730" t="s">
        <v>181</v>
      </c>
      <c r="H730" t="s">
        <v>38</v>
      </c>
      <c r="I730" t="s">
        <v>40</v>
      </c>
      <c r="J730" t="s">
        <v>122</v>
      </c>
      <c r="K730" t="s">
        <v>123</v>
      </c>
      <c r="L730" t="s">
        <v>124</v>
      </c>
      <c r="M730" t="s">
        <v>79</v>
      </c>
      <c r="N730">
        <v>2</v>
      </c>
      <c r="O730" t="s">
        <v>105</v>
      </c>
      <c r="P730" s="48">
        <v>28197.45</v>
      </c>
      <c r="Q730" s="48">
        <v>6742.64</v>
      </c>
      <c r="R730" s="48">
        <v>2086.64</v>
      </c>
      <c r="S730" s="48">
        <v>649.77</v>
      </c>
      <c r="T730" s="48">
        <v>281.97000000000003</v>
      </c>
      <c r="U730" s="48">
        <v>348.22</v>
      </c>
      <c r="V730" s="48">
        <v>1668.84</v>
      </c>
      <c r="W730" s="48">
        <v>16419.37</v>
      </c>
      <c r="X730">
        <v>36</v>
      </c>
      <c r="Y730" t="s">
        <v>90</v>
      </c>
      <c r="Z730">
        <v>56.19</v>
      </c>
      <c r="AA730" t="s">
        <v>91</v>
      </c>
      <c r="AB730" t="s">
        <v>47</v>
      </c>
      <c r="AC730" t="s">
        <v>60</v>
      </c>
      <c r="AD730" t="s">
        <v>61</v>
      </c>
      <c r="AE730" t="s">
        <v>62</v>
      </c>
      <c r="AF730" s="5">
        <f>DATE(YEAR(C730),MONTH(C730),1)</f>
        <v>45901</v>
      </c>
      <c r="AG730">
        <f>E730-D730</f>
        <v>23</v>
      </c>
      <c r="AH730" s="6">
        <f t="shared" si="11"/>
        <v>58.229981789133411</v>
      </c>
    </row>
    <row r="731" spans="1:34">
      <c r="A731" t="s">
        <v>1575</v>
      </c>
      <c r="B731" t="s">
        <v>1576</v>
      </c>
      <c r="C731" s="1">
        <v>45727</v>
      </c>
      <c r="D731" s="1">
        <v>45731</v>
      </c>
      <c r="E731" s="1">
        <v>45755</v>
      </c>
      <c r="F731" t="s">
        <v>153</v>
      </c>
      <c r="G731" t="s">
        <v>75</v>
      </c>
      <c r="H731" t="s">
        <v>154</v>
      </c>
      <c r="I731" t="s">
        <v>56</v>
      </c>
      <c r="J731" t="s">
        <v>57</v>
      </c>
      <c r="K731" t="s">
        <v>58</v>
      </c>
      <c r="L731" t="s">
        <v>42</v>
      </c>
      <c r="M731" t="s">
        <v>68</v>
      </c>
      <c r="N731">
        <v>2</v>
      </c>
      <c r="O731" t="s">
        <v>80</v>
      </c>
      <c r="P731" s="48">
        <v>33045.47</v>
      </c>
      <c r="Q731" s="48">
        <v>6700.6</v>
      </c>
      <c r="R731" s="48">
        <v>2580.29</v>
      </c>
      <c r="S731" s="48">
        <v>956.89</v>
      </c>
      <c r="T731" s="48">
        <v>330.45</v>
      </c>
      <c r="U731" s="48">
        <v>627.88</v>
      </c>
      <c r="V731" s="48">
        <v>1209.8699999999999</v>
      </c>
      <c r="W731" s="48">
        <v>20639.490000000002</v>
      </c>
      <c r="X731">
        <v>36</v>
      </c>
      <c r="Y731" t="s">
        <v>112</v>
      </c>
      <c r="Z731">
        <v>55.84</v>
      </c>
      <c r="AA731" t="s">
        <v>91</v>
      </c>
      <c r="AB731" t="s">
        <v>47</v>
      </c>
      <c r="AC731" t="s">
        <v>70</v>
      </c>
      <c r="AD731" t="s">
        <v>61</v>
      </c>
      <c r="AE731" t="s">
        <v>102</v>
      </c>
      <c r="AF731" s="5">
        <f>DATE(YEAR(C731),MONTH(C731),1)</f>
        <v>45717</v>
      </c>
      <c r="AG731">
        <f>E731-D731</f>
        <v>24</v>
      </c>
      <c r="AH731" s="6">
        <f t="shared" si="11"/>
        <v>62.457849744609476</v>
      </c>
    </row>
    <row r="732" spans="1:34">
      <c r="A732" t="s">
        <v>1577</v>
      </c>
      <c r="B732" t="s">
        <v>1578</v>
      </c>
      <c r="C732" s="1">
        <v>45952</v>
      </c>
      <c r="D732" s="1">
        <v>45956</v>
      </c>
      <c r="E732" s="1">
        <v>45968</v>
      </c>
      <c r="F732" t="s">
        <v>138</v>
      </c>
      <c r="G732" t="s">
        <v>139</v>
      </c>
      <c r="H732" t="s">
        <v>76</v>
      </c>
      <c r="I732" t="s">
        <v>115</v>
      </c>
      <c r="J732" t="s">
        <v>98</v>
      </c>
      <c r="K732" t="s">
        <v>99</v>
      </c>
      <c r="L732" t="s">
        <v>124</v>
      </c>
      <c r="M732" t="s">
        <v>79</v>
      </c>
      <c r="N732">
        <v>2</v>
      </c>
      <c r="O732" t="s">
        <v>111</v>
      </c>
      <c r="P732" s="48">
        <v>33589.019999999997</v>
      </c>
      <c r="Q732" s="48">
        <v>6692.26</v>
      </c>
      <c r="R732" s="48">
        <v>2552.4699999999998</v>
      </c>
      <c r="S732" s="48">
        <v>553.53</v>
      </c>
      <c r="T732" s="48">
        <v>335.89</v>
      </c>
      <c r="U732" s="48">
        <v>162.11000000000001</v>
      </c>
      <c r="V732" s="48">
        <v>704.13</v>
      </c>
      <c r="W732" s="48">
        <v>22588.63</v>
      </c>
      <c r="X732">
        <v>4</v>
      </c>
      <c r="Y732" t="s">
        <v>90</v>
      </c>
      <c r="Z732">
        <v>55.77</v>
      </c>
      <c r="AA732" t="s">
        <v>91</v>
      </c>
      <c r="AB732" t="s">
        <v>47</v>
      </c>
      <c r="AC732" t="s">
        <v>60</v>
      </c>
      <c r="AD732" t="s">
        <v>93</v>
      </c>
      <c r="AE732" t="s">
        <v>50</v>
      </c>
      <c r="AF732" s="5">
        <f>DATE(YEAR(C732),MONTH(C732),1)</f>
        <v>45931</v>
      </c>
      <c r="AG732">
        <f>E732-D732</f>
        <v>12</v>
      </c>
      <c r="AH732" s="6">
        <f t="shared" si="11"/>
        <v>67.250041829145374</v>
      </c>
    </row>
    <row r="733" spans="1:34">
      <c r="A733" t="s">
        <v>1579</v>
      </c>
      <c r="B733" t="s">
        <v>1580</v>
      </c>
      <c r="C733" s="1">
        <v>45921</v>
      </c>
      <c r="D733" s="1">
        <v>45923</v>
      </c>
      <c r="E733" s="1">
        <v>45936</v>
      </c>
      <c r="F733" t="s">
        <v>53</v>
      </c>
      <c r="G733" t="s">
        <v>54</v>
      </c>
      <c r="H733" t="s">
        <v>55</v>
      </c>
      <c r="I733" t="s">
        <v>57</v>
      </c>
      <c r="J733" t="s">
        <v>98</v>
      </c>
      <c r="K733" t="s">
        <v>99</v>
      </c>
      <c r="L733" t="s">
        <v>155</v>
      </c>
      <c r="M733" t="s">
        <v>108</v>
      </c>
      <c r="N733">
        <v>1</v>
      </c>
      <c r="O733" t="s">
        <v>69</v>
      </c>
      <c r="P733" s="48">
        <v>34053.050000000003</v>
      </c>
      <c r="Q733" s="48">
        <v>6666.03</v>
      </c>
      <c r="R733" s="48">
        <v>1785.82</v>
      </c>
      <c r="S733" s="48">
        <v>403.59</v>
      </c>
      <c r="T733" s="48">
        <v>340.53</v>
      </c>
      <c r="U733" s="48">
        <v>604.26</v>
      </c>
      <c r="V733" s="48">
        <v>1331.16</v>
      </c>
      <c r="W733" s="48">
        <v>22921.66</v>
      </c>
      <c r="X733">
        <v>36</v>
      </c>
      <c r="Y733" t="s">
        <v>117</v>
      </c>
      <c r="Z733">
        <v>55.55</v>
      </c>
      <c r="AA733" t="s">
        <v>91</v>
      </c>
      <c r="AB733" t="s">
        <v>47</v>
      </c>
      <c r="AC733" t="s">
        <v>60</v>
      </c>
      <c r="AD733" t="s">
        <v>61</v>
      </c>
      <c r="AE733" t="s">
        <v>50</v>
      </c>
      <c r="AF733" s="5">
        <f>DATE(YEAR(C733),MONTH(C733),1)</f>
        <v>45901</v>
      </c>
      <c r="AG733">
        <f>E733-D733</f>
        <v>13</v>
      </c>
      <c r="AH733" s="6">
        <f t="shared" si="11"/>
        <v>67.311621132321477</v>
      </c>
    </row>
    <row r="734" spans="1:34">
      <c r="A734" t="s">
        <v>1581</v>
      </c>
      <c r="B734" t="s">
        <v>1582</v>
      </c>
      <c r="C734" s="1">
        <v>45817</v>
      </c>
      <c r="D734" s="1">
        <v>45820</v>
      </c>
      <c r="E734" s="1">
        <v>45843</v>
      </c>
      <c r="F734" t="s">
        <v>234</v>
      </c>
      <c r="G734" t="s">
        <v>111</v>
      </c>
      <c r="H734" t="s">
        <v>150</v>
      </c>
      <c r="I734" t="s">
        <v>86</v>
      </c>
      <c r="J734" t="s">
        <v>87</v>
      </c>
      <c r="K734" t="s">
        <v>88</v>
      </c>
      <c r="L734" t="s">
        <v>42</v>
      </c>
      <c r="M734" t="s">
        <v>43</v>
      </c>
      <c r="N734">
        <v>1</v>
      </c>
      <c r="O734" t="s">
        <v>44</v>
      </c>
      <c r="P734" s="48">
        <v>37570.58</v>
      </c>
      <c r="Q734" s="48">
        <v>6634.06</v>
      </c>
      <c r="R734" s="48">
        <v>2894.77</v>
      </c>
      <c r="S734" s="48">
        <v>1019.53</v>
      </c>
      <c r="T734" s="48">
        <v>375.71</v>
      </c>
      <c r="U734" s="48">
        <v>786.21</v>
      </c>
      <c r="V734" s="48">
        <v>1415.98</v>
      </c>
      <c r="W734" s="48">
        <v>24444.32</v>
      </c>
      <c r="X734">
        <v>0</v>
      </c>
      <c r="Y734" t="s">
        <v>45</v>
      </c>
      <c r="Z734">
        <v>55.28</v>
      </c>
      <c r="AA734" t="s">
        <v>46</v>
      </c>
      <c r="AB734" t="s">
        <v>92</v>
      </c>
      <c r="AC734" t="s">
        <v>48</v>
      </c>
      <c r="AD734" t="s">
        <v>61</v>
      </c>
      <c r="AE734" t="s">
        <v>50</v>
      </c>
      <c r="AF734" s="5">
        <f>DATE(YEAR(C734),MONTH(C734),1)</f>
        <v>45809</v>
      </c>
      <c r="AG734">
        <f>E734-D734</f>
        <v>23</v>
      </c>
      <c r="AH734" s="6">
        <f t="shared" si="11"/>
        <v>65.062397226766251</v>
      </c>
    </row>
    <row r="735" spans="1:34">
      <c r="A735" t="s">
        <v>1583</v>
      </c>
      <c r="B735" t="s">
        <v>1584</v>
      </c>
      <c r="C735" s="1">
        <v>45703</v>
      </c>
      <c r="D735" s="1">
        <v>45707</v>
      </c>
      <c r="E735" s="1">
        <v>45727</v>
      </c>
      <c r="F735" t="s">
        <v>138</v>
      </c>
      <c r="G735" t="s">
        <v>139</v>
      </c>
      <c r="H735" t="s">
        <v>76</v>
      </c>
      <c r="I735" t="s">
        <v>86</v>
      </c>
      <c r="J735" t="s">
        <v>87</v>
      </c>
      <c r="K735" t="s">
        <v>88</v>
      </c>
      <c r="L735" t="s">
        <v>59</v>
      </c>
      <c r="M735" t="s">
        <v>79</v>
      </c>
      <c r="N735">
        <v>1</v>
      </c>
      <c r="O735" t="s">
        <v>54</v>
      </c>
      <c r="P735" s="48">
        <v>28130.98</v>
      </c>
      <c r="Q735" s="48">
        <v>6623.02</v>
      </c>
      <c r="R735" s="48">
        <v>1758.53</v>
      </c>
      <c r="S735" s="48">
        <v>648.27</v>
      </c>
      <c r="T735" s="48">
        <v>281.31</v>
      </c>
      <c r="U735" s="48">
        <v>412.96</v>
      </c>
      <c r="V735" s="48">
        <v>1683.02</v>
      </c>
      <c r="W735" s="48">
        <v>16723.87</v>
      </c>
      <c r="X735">
        <v>48</v>
      </c>
      <c r="Y735" t="s">
        <v>101</v>
      </c>
      <c r="Z735">
        <v>55.19</v>
      </c>
      <c r="AA735" t="s">
        <v>91</v>
      </c>
      <c r="AB735" t="s">
        <v>92</v>
      </c>
      <c r="AC735" t="s">
        <v>60</v>
      </c>
      <c r="AD735" t="s">
        <v>61</v>
      </c>
      <c r="AE735" t="s">
        <v>50</v>
      </c>
      <c r="AF735" s="5">
        <f>DATE(YEAR(C735),MONTH(C735),1)</f>
        <v>45689</v>
      </c>
      <c r="AG735">
        <f>E735-D735</f>
        <v>20</v>
      </c>
      <c r="AH735" s="6">
        <f t="shared" si="11"/>
        <v>59.450008495971339</v>
      </c>
    </row>
    <row r="736" spans="1:34">
      <c r="A736" t="s">
        <v>1585</v>
      </c>
      <c r="B736" t="s">
        <v>1586</v>
      </c>
      <c r="C736" s="1">
        <v>45869</v>
      </c>
      <c r="D736" s="1">
        <v>45873</v>
      </c>
      <c r="E736" s="1">
        <v>45888</v>
      </c>
      <c r="F736" t="s">
        <v>74</v>
      </c>
      <c r="G736" t="s">
        <v>75</v>
      </c>
      <c r="H736" t="s">
        <v>76</v>
      </c>
      <c r="I736" t="s">
        <v>86</v>
      </c>
      <c r="J736" t="s">
        <v>87</v>
      </c>
      <c r="K736" t="s">
        <v>88</v>
      </c>
      <c r="L736" t="s">
        <v>155</v>
      </c>
      <c r="M736" t="s">
        <v>108</v>
      </c>
      <c r="N736">
        <v>2</v>
      </c>
      <c r="O736" t="s">
        <v>54</v>
      </c>
      <c r="P736" s="48">
        <v>36985.370000000003</v>
      </c>
      <c r="Q736" s="48">
        <v>6612.15</v>
      </c>
      <c r="R736" s="48">
        <v>1637.85</v>
      </c>
      <c r="S736" s="48">
        <v>680.94</v>
      </c>
      <c r="T736" s="48">
        <v>369.85</v>
      </c>
      <c r="U736" s="48">
        <v>851.69</v>
      </c>
      <c r="V736" s="48">
        <v>397.04</v>
      </c>
      <c r="W736" s="48">
        <v>26435.85</v>
      </c>
      <c r="X736">
        <v>0</v>
      </c>
      <c r="Y736" t="s">
        <v>45</v>
      </c>
      <c r="Z736">
        <v>55.1</v>
      </c>
      <c r="AA736" t="s">
        <v>46</v>
      </c>
      <c r="AB736" t="s">
        <v>92</v>
      </c>
      <c r="AC736" t="s">
        <v>48</v>
      </c>
      <c r="AD736" t="s">
        <v>93</v>
      </c>
      <c r="AE736" t="s">
        <v>102</v>
      </c>
      <c r="AF736" s="5">
        <f>DATE(YEAR(C736),MONTH(C736),1)</f>
        <v>45839</v>
      </c>
      <c r="AG736">
        <f>E736-D736</f>
        <v>15</v>
      </c>
      <c r="AH736" s="6">
        <f t="shared" si="11"/>
        <v>71.476505439853639</v>
      </c>
    </row>
    <row r="737" spans="1:34">
      <c r="A737" t="s">
        <v>1587</v>
      </c>
      <c r="B737" t="s">
        <v>1588</v>
      </c>
      <c r="C737" s="1">
        <v>45799</v>
      </c>
      <c r="D737" s="1">
        <v>45801</v>
      </c>
      <c r="E737" s="1">
        <v>45828</v>
      </c>
      <c r="F737" t="s">
        <v>83</v>
      </c>
      <c r="G737" t="s">
        <v>84</v>
      </c>
      <c r="H737" t="s">
        <v>85</v>
      </c>
      <c r="I737" t="s">
        <v>115</v>
      </c>
      <c r="J737" t="s">
        <v>98</v>
      </c>
      <c r="K737" t="s">
        <v>99</v>
      </c>
      <c r="L737" t="s">
        <v>124</v>
      </c>
      <c r="M737" t="s">
        <v>68</v>
      </c>
      <c r="N737">
        <v>1</v>
      </c>
      <c r="O737" t="s">
        <v>111</v>
      </c>
      <c r="P737" s="48">
        <v>23631.03</v>
      </c>
      <c r="Q737" s="48">
        <v>6567.62</v>
      </c>
      <c r="R737" s="48">
        <v>1603.16</v>
      </c>
      <c r="S737" s="48">
        <v>333.37</v>
      </c>
      <c r="T737" s="48">
        <v>236.31</v>
      </c>
      <c r="U737" s="48">
        <v>374.09</v>
      </c>
      <c r="V737" s="48">
        <v>1037.1199999999999</v>
      </c>
      <c r="W737" s="48">
        <v>13479.36</v>
      </c>
      <c r="X737">
        <v>48</v>
      </c>
      <c r="Y737" t="s">
        <v>112</v>
      </c>
      <c r="Z737">
        <v>54.73</v>
      </c>
      <c r="AA737" t="s">
        <v>91</v>
      </c>
      <c r="AB737" t="s">
        <v>47</v>
      </c>
      <c r="AC737" t="s">
        <v>70</v>
      </c>
      <c r="AD737" t="s">
        <v>49</v>
      </c>
      <c r="AE737" t="s">
        <v>71</v>
      </c>
      <c r="AF737" s="5">
        <f>DATE(YEAR(C737),MONTH(C737),1)</f>
        <v>45778</v>
      </c>
      <c r="AG737">
        <f>E737-D737</f>
        <v>27</v>
      </c>
      <c r="AH737" s="6">
        <f t="shared" si="11"/>
        <v>57.040933044391217</v>
      </c>
    </row>
    <row r="738" spans="1:34">
      <c r="A738" t="s">
        <v>1589</v>
      </c>
      <c r="B738" t="s">
        <v>1590</v>
      </c>
      <c r="C738" s="1">
        <v>45670</v>
      </c>
      <c r="D738" s="1">
        <v>45671</v>
      </c>
      <c r="E738" s="1">
        <v>45683</v>
      </c>
      <c r="F738" t="s">
        <v>153</v>
      </c>
      <c r="G738" t="s">
        <v>75</v>
      </c>
      <c r="H738" t="s">
        <v>154</v>
      </c>
      <c r="I738" t="s">
        <v>57</v>
      </c>
      <c r="J738" t="s">
        <v>98</v>
      </c>
      <c r="K738" t="s">
        <v>99</v>
      </c>
      <c r="L738" t="s">
        <v>42</v>
      </c>
      <c r="M738" t="s">
        <v>43</v>
      </c>
      <c r="N738">
        <v>4</v>
      </c>
      <c r="O738" t="s">
        <v>89</v>
      </c>
      <c r="P738" s="48">
        <v>28074.82</v>
      </c>
      <c r="Q738" s="48">
        <v>6551.31</v>
      </c>
      <c r="R738" s="48">
        <v>2137.7800000000002</v>
      </c>
      <c r="S738" s="48">
        <v>408.72</v>
      </c>
      <c r="T738" s="48">
        <v>280.75</v>
      </c>
      <c r="U738" s="48">
        <v>607.08000000000004</v>
      </c>
      <c r="V738" s="48">
        <v>2402.2199999999998</v>
      </c>
      <c r="W738" s="48">
        <v>15686.96</v>
      </c>
      <c r="X738">
        <v>8</v>
      </c>
      <c r="Y738" t="s">
        <v>101</v>
      </c>
      <c r="Z738">
        <v>54.59</v>
      </c>
      <c r="AA738" t="s">
        <v>91</v>
      </c>
      <c r="AB738" t="s">
        <v>92</v>
      </c>
      <c r="AC738" t="s">
        <v>60</v>
      </c>
      <c r="AD738" t="s">
        <v>130</v>
      </c>
      <c r="AE738" t="s">
        <v>50</v>
      </c>
      <c r="AF738" s="5">
        <f>DATE(YEAR(C738),MONTH(C738),1)</f>
        <v>45658</v>
      </c>
      <c r="AG738">
        <f>E738-D738</f>
        <v>12</v>
      </c>
      <c r="AH738" s="6">
        <f t="shared" si="11"/>
        <v>55.875549691859106</v>
      </c>
    </row>
    <row r="739" spans="1:34">
      <c r="A739" t="s">
        <v>1591</v>
      </c>
      <c r="B739" t="s">
        <v>1592</v>
      </c>
      <c r="C739" s="1">
        <v>45808</v>
      </c>
      <c r="D739" s="1">
        <v>45809</v>
      </c>
      <c r="E739" s="1">
        <v>45838</v>
      </c>
      <c r="F739" t="s">
        <v>83</v>
      </c>
      <c r="G739" t="s">
        <v>84</v>
      </c>
      <c r="H739" t="s">
        <v>85</v>
      </c>
      <c r="I739" t="s">
        <v>122</v>
      </c>
      <c r="J739" t="s">
        <v>39</v>
      </c>
      <c r="K739" t="s">
        <v>41</v>
      </c>
      <c r="L739" t="s">
        <v>155</v>
      </c>
      <c r="M739" t="s">
        <v>108</v>
      </c>
      <c r="N739">
        <v>2</v>
      </c>
      <c r="O739" t="s">
        <v>89</v>
      </c>
      <c r="P739" s="48">
        <v>30303.39</v>
      </c>
      <c r="Q739" s="48">
        <v>6546.17</v>
      </c>
      <c r="R739" s="48">
        <v>1887.15</v>
      </c>
      <c r="S739" s="48">
        <v>339.01</v>
      </c>
      <c r="T739" s="48">
        <v>303.02999999999997</v>
      </c>
      <c r="U739" s="48">
        <v>820.44</v>
      </c>
      <c r="V739" s="48">
        <v>2359.17</v>
      </c>
      <c r="W739" s="48">
        <v>18048.419999999998</v>
      </c>
      <c r="X739">
        <v>48</v>
      </c>
      <c r="Y739" t="s">
        <v>90</v>
      </c>
      <c r="Z739">
        <v>54.55</v>
      </c>
      <c r="AA739" t="s">
        <v>91</v>
      </c>
      <c r="AB739" t="s">
        <v>47</v>
      </c>
      <c r="AC739" t="s">
        <v>48</v>
      </c>
      <c r="AD739" t="s">
        <v>61</v>
      </c>
      <c r="AE739" t="s">
        <v>71</v>
      </c>
      <c r="AF739" s="5">
        <f>DATE(YEAR(C739),MONTH(C739),1)</f>
        <v>45778</v>
      </c>
      <c r="AG739">
        <f>E739-D739</f>
        <v>29</v>
      </c>
      <c r="AH739" s="6">
        <f t="shared" si="11"/>
        <v>59.559079033731862</v>
      </c>
    </row>
    <row r="740" spans="1:34">
      <c r="A740" t="s">
        <v>1593</v>
      </c>
      <c r="B740" t="s">
        <v>1594</v>
      </c>
      <c r="C740" s="1">
        <v>46000</v>
      </c>
      <c r="D740" s="1">
        <v>46003</v>
      </c>
      <c r="E740" s="1">
        <v>46031</v>
      </c>
      <c r="F740" t="s">
        <v>96</v>
      </c>
      <c r="G740" t="s">
        <v>97</v>
      </c>
      <c r="H740" t="s">
        <v>76</v>
      </c>
      <c r="I740" t="s">
        <v>40</v>
      </c>
      <c r="J740" t="s">
        <v>122</v>
      </c>
      <c r="K740" t="s">
        <v>123</v>
      </c>
      <c r="L740" t="s">
        <v>124</v>
      </c>
      <c r="M740" t="s">
        <v>68</v>
      </c>
      <c r="N740">
        <v>1</v>
      </c>
      <c r="O740" t="s">
        <v>69</v>
      </c>
      <c r="P740" s="48">
        <v>27684.53</v>
      </c>
      <c r="Q740" s="48">
        <v>6530.29</v>
      </c>
      <c r="R740" s="48">
        <v>1717.65</v>
      </c>
      <c r="S740" s="48">
        <v>440.89</v>
      </c>
      <c r="T740" s="48">
        <v>276.85000000000002</v>
      </c>
      <c r="U740" s="48">
        <v>184.51</v>
      </c>
      <c r="V740" s="48">
        <v>2248.27</v>
      </c>
      <c r="W740" s="48">
        <v>16286.07</v>
      </c>
      <c r="X740">
        <v>0</v>
      </c>
      <c r="Y740" t="s">
        <v>45</v>
      </c>
      <c r="Z740">
        <v>54.42</v>
      </c>
      <c r="AA740" t="s">
        <v>46</v>
      </c>
      <c r="AB740" t="s">
        <v>47</v>
      </c>
      <c r="AC740" t="s">
        <v>48</v>
      </c>
      <c r="AD740" t="s">
        <v>144</v>
      </c>
      <c r="AE740" t="s">
        <v>50</v>
      </c>
      <c r="AF740" s="5">
        <f>DATE(YEAR(C740),MONTH(C740),1)</f>
        <v>45992</v>
      </c>
      <c r="AG740">
        <f>E740-D740</f>
        <v>28</v>
      </c>
      <c r="AH740" s="6">
        <f t="shared" si="11"/>
        <v>58.827330642781369</v>
      </c>
    </row>
    <row r="741" spans="1:34">
      <c r="A741" t="s">
        <v>1595</v>
      </c>
      <c r="B741" t="s">
        <v>1596</v>
      </c>
      <c r="C741" s="1">
        <v>45876</v>
      </c>
      <c r="D741" s="1">
        <v>45880</v>
      </c>
      <c r="E741" s="1">
        <v>45894</v>
      </c>
      <c r="F741" t="s">
        <v>65</v>
      </c>
      <c r="G741" t="s">
        <v>66</v>
      </c>
      <c r="H741" t="s">
        <v>67</v>
      </c>
      <c r="I741" t="s">
        <v>115</v>
      </c>
      <c r="J741" t="s">
        <v>57</v>
      </c>
      <c r="K741" t="s">
        <v>41</v>
      </c>
      <c r="L741" t="s">
        <v>59</v>
      </c>
      <c r="M741" t="s">
        <v>43</v>
      </c>
      <c r="N741">
        <v>2</v>
      </c>
      <c r="O741" t="s">
        <v>54</v>
      </c>
      <c r="P741" s="48">
        <v>35961.760000000002</v>
      </c>
      <c r="Q741" s="48">
        <v>6530.28</v>
      </c>
      <c r="R741" s="48">
        <v>1842.34</v>
      </c>
      <c r="S741" s="48">
        <v>479.42</v>
      </c>
      <c r="T741" s="48">
        <v>359.62</v>
      </c>
      <c r="U741" s="48">
        <v>489.46</v>
      </c>
      <c r="V741" s="48">
        <v>2446.52</v>
      </c>
      <c r="W741" s="48">
        <v>23814.12</v>
      </c>
      <c r="X741">
        <v>0</v>
      </c>
      <c r="Y741" t="s">
        <v>45</v>
      </c>
      <c r="Z741">
        <v>54.42</v>
      </c>
      <c r="AA741" t="s">
        <v>46</v>
      </c>
      <c r="AB741" t="s">
        <v>47</v>
      </c>
      <c r="AC741" t="s">
        <v>60</v>
      </c>
      <c r="AD741" t="s">
        <v>61</v>
      </c>
      <c r="AE741" t="s">
        <v>71</v>
      </c>
      <c r="AF741" s="5">
        <f>DATE(YEAR(C741),MONTH(C741),1)</f>
        <v>45870</v>
      </c>
      <c r="AG741">
        <f>E741-D741</f>
        <v>14</v>
      </c>
      <c r="AH741" s="6">
        <f t="shared" si="11"/>
        <v>66.220674405257128</v>
      </c>
    </row>
    <row r="742" spans="1:34">
      <c r="A742" t="s">
        <v>1597</v>
      </c>
      <c r="B742" t="s">
        <v>1598</v>
      </c>
      <c r="C742" s="1">
        <v>46008</v>
      </c>
      <c r="D742" s="1">
        <v>46011</v>
      </c>
      <c r="E742" s="1">
        <v>46037</v>
      </c>
      <c r="F742" t="s">
        <v>65</v>
      </c>
      <c r="G742" t="s">
        <v>66</v>
      </c>
      <c r="H742" t="s">
        <v>67</v>
      </c>
      <c r="I742" t="s">
        <v>57</v>
      </c>
      <c r="J742" t="s">
        <v>77</v>
      </c>
      <c r="K742" t="s">
        <v>41</v>
      </c>
      <c r="L742" t="s">
        <v>100</v>
      </c>
      <c r="M742" t="s">
        <v>108</v>
      </c>
      <c r="N742">
        <v>1</v>
      </c>
      <c r="O742" t="s">
        <v>80</v>
      </c>
      <c r="P742" s="48">
        <v>31209.62</v>
      </c>
      <c r="Q742" s="48">
        <v>6496.76</v>
      </c>
      <c r="R742" s="48">
        <v>1525.34</v>
      </c>
      <c r="S742" s="48">
        <v>584.07000000000005</v>
      </c>
      <c r="T742" s="48">
        <v>312.10000000000002</v>
      </c>
      <c r="U742" s="48">
        <v>498.79</v>
      </c>
      <c r="V742" s="48">
        <v>1868</v>
      </c>
      <c r="W742" s="48">
        <v>19924.560000000001</v>
      </c>
      <c r="X742">
        <v>24</v>
      </c>
      <c r="Y742" t="s">
        <v>101</v>
      </c>
      <c r="Z742">
        <v>54.14</v>
      </c>
      <c r="AA742" t="s">
        <v>91</v>
      </c>
      <c r="AB742" t="s">
        <v>47</v>
      </c>
      <c r="AC742" t="s">
        <v>48</v>
      </c>
      <c r="AD742" t="s">
        <v>93</v>
      </c>
      <c r="AE742" t="s">
        <v>62</v>
      </c>
      <c r="AF742" s="5">
        <f>DATE(YEAR(C742),MONTH(C742),1)</f>
        <v>45992</v>
      </c>
      <c r="AG742">
        <f>E742-D742</f>
        <v>26</v>
      </c>
      <c r="AH742" s="6">
        <f t="shared" si="11"/>
        <v>63.841084896259559</v>
      </c>
    </row>
    <row r="743" spans="1:34">
      <c r="A743" t="s">
        <v>1599</v>
      </c>
      <c r="B743" t="s">
        <v>1600</v>
      </c>
      <c r="C743" s="1">
        <v>45752</v>
      </c>
      <c r="D743" s="1">
        <v>45753</v>
      </c>
      <c r="E743" s="1">
        <v>45769</v>
      </c>
      <c r="F743" t="s">
        <v>74</v>
      </c>
      <c r="G743" t="s">
        <v>75</v>
      </c>
      <c r="H743" t="s">
        <v>76</v>
      </c>
      <c r="I743" t="s">
        <v>98</v>
      </c>
      <c r="J743" t="s">
        <v>56</v>
      </c>
      <c r="K743" t="s">
        <v>41</v>
      </c>
      <c r="L743" t="s">
        <v>59</v>
      </c>
      <c r="M743" t="s">
        <v>43</v>
      </c>
      <c r="N743">
        <v>1</v>
      </c>
      <c r="O743" t="s">
        <v>44</v>
      </c>
      <c r="P743" s="48">
        <v>35074.949999999997</v>
      </c>
      <c r="Q743" s="48">
        <v>6471.78</v>
      </c>
      <c r="R743" s="48">
        <v>2384.25</v>
      </c>
      <c r="S743" s="48">
        <v>487.16</v>
      </c>
      <c r="T743" s="48">
        <v>350.75</v>
      </c>
      <c r="U743" s="48">
        <v>357.57</v>
      </c>
      <c r="V743" s="48">
        <v>2340.84</v>
      </c>
      <c r="W743" s="48">
        <v>22682.6</v>
      </c>
      <c r="X743">
        <v>0</v>
      </c>
      <c r="Y743" t="s">
        <v>45</v>
      </c>
      <c r="Z743">
        <v>53.93</v>
      </c>
      <c r="AA743" t="s">
        <v>46</v>
      </c>
      <c r="AB743" t="s">
        <v>47</v>
      </c>
      <c r="AC743" t="s">
        <v>70</v>
      </c>
      <c r="AD743" t="s">
        <v>144</v>
      </c>
      <c r="AE743" t="s">
        <v>50</v>
      </c>
      <c r="AF743" s="5">
        <f>DATE(YEAR(C743),MONTH(C743),1)</f>
        <v>45748</v>
      </c>
      <c r="AG743">
        <f>E743-D743</f>
        <v>16</v>
      </c>
      <c r="AH743" s="6">
        <f t="shared" si="11"/>
        <v>64.668944645680185</v>
      </c>
    </row>
    <row r="744" spans="1:34">
      <c r="A744" t="s">
        <v>1601</v>
      </c>
      <c r="B744" t="s">
        <v>1602</v>
      </c>
      <c r="C744" s="1">
        <v>45969</v>
      </c>
      <c r="D744" s="1">
        <v>45971</v>
      </c>
      <c r="E744" s="1">
        <v>45986</v>
      </c>
      <c r="F744" t="s">
        <v>234</v>
      </c>
      <c r="G744" t="s">
        <v>111</v>
      </c>
      <c r="H744" t="s">
        <v>150</v>
      </c>
      <c r="I744" t="s">
        <v>115</v>
      </c>
      <c r="J744" t="s">
        <v>77</v>
      </c>
      <c r="K744" t="s">
        <v>41</v>
      </c>
      <c r="L744" t="s">
        <v>155</v>
      </c>
      <c r="M744" t="s">
        <v>79</v>
      </c>
      <c r="N744">
        <v>1</v>
      </c>
      <c r="O744" t="s">
        <v>111</v>
      </c>
      <c r="P744" s="48">
        <v>29813.14</v>
      </c>
      <c r="Q744" s="48">
        <v>6465.27</v>
      </c>
      <c r="R744" s="48">
        <v>2180.38</v>
      </c>
      <c r="S744" s="48">
        <v>317.92</v>
      </c>
      <c r="T744" s="48">
        <v>298.13</v>
      </c>
      <c r="U744" s="48">
        <v>850.62</v>
      </c>
      <c r="V744" s="48">
        <v>369.64</v>
      </c>
      <c r="W744" s="48">
        <v>19331.18</v>
      </c>
      <c r="X744">
        <v>12</v>
      </c>
      <c r="Y744" t="s">
        <v>117</v>
      </c>
      <c r="Z744">
        <v>53.88</v>
      </c>
      <c r="AA744" t="s">
        <v>91</v>
      </c>
      <c r="AB744" t="s">
        <v>92</v>
      </c>
      <c r="AC744" t="s">
        <v>48</v>
      </c>
      <c r="AD744" t="s">
        <v>144</v>
      </c>
      <c r="AE744" t="s">
        <v>71</v>
      </c>
      <c r="AF744" s="5">
        <f>DATE(YEAR(C744),MONTH(C744),1)</f>
        <v>45962</v>
      </c>
      <c r="AG744">
        <f>E744-D744</f>
        <v>15</v>
      </c>
      <c r="AH744" s="6">
        <f t="shared" si="11"/>
        <v>64.841140517235019</v>
      </c>
    </row>
    <row r="745" spans="1:34">
      <c r="A745" t="s">
        <v>1603</v>
      </c>
      <c r="B745" t="s">
        <v>1604</v>
      </c>
      <c r="C745" s="1">
        <v>45897</v>
      </c>
      <c r="D745" s="1">
        <v>45899</v>
      </c>
      <c r="E745" s="1">
        <v>45924</v>
      </c>
      <c r="F745" t="s">
        <v>65</v>
      </c>
      <c r="G745" t="s">
        <v>66</v>
      </c>
      <c r="H745" t="s">
        <v>67</v>
      </c>
      <c r="I745" t="s">
        <v>86</v>
      </c>
      <c r="J745" t="s">
        <v>86</v>
      </c>
      <c r="K745" t="s">
        <v>41</v>
      </c>
      <c r="L745" t="s">
        <v>155</v>
      </c>
      <c r="M745" t="s">
        <v>79</v>
      </c>
      <c r="N745">
        <v>2</v>
      </c>
      <c r="O745" t="s">
        <v>105</v>
      </c>
      <c r="P745" s="48">
        <v>31347.52</v>
      </c>
      <c r="Q745" s="48">
        <v>6440.96</v>
      </c>
      <c r="R745" s="48">
        <v>1746.82</v>
      </c>
      <c r="S745" s="48">
        <v>925.15</v>
      </c>
      <c r="T745" s="48">
        <v>313.48</v>
      </c>
      <c r="U745" s="48">
        <v>841.33</v>
      </c>
      <c r="V745" s="48">
        <v>1255.08</v>
      </c>
      <c r="W745" s="48">
        <v>19824.7</v>
      </c>
      <c r="X745">
        <v>48</v>
      </c>
      <c r="Y745" t="s">
        <v>135</v>
      </c>
      <c r="Z745">
        <v>53.67</v>
      </c>
      <c r="AA745" t="s">
        <v>91</v>
      </c>
      <c r="AB745" t="s">
        <v>47</v>
      </c>
      <c r="AC745" t="s">
        <v>60</v>
      </c>
      <c r="AD745" t="s">
        <v>144</v>
      </c>
      <c r="AE745" t="s">
        <v>62</v>
      </c>
      <c r="AF745" s="5">
        <f>DATE(YEAR(C745),MONTH(C745),1)</f>
        <v>45870</v>
      </c>
      <c r="AG745">
        <f>E745-D745</f>
        <v>25</v>
      </c>
      <c r="AH745" s="6">
        <f t="shared" si="11"/>
        <v>63.241685466665309</v>
      </c>
    </row>
    <row r="746" spans="1:34">
      <c r="A746" t="s">
        <v>1605</v>
      </c>
      <c r="B746" t="s">
        <v>1606</v>
      </c>
      <c r="C746" s="1">
        <v>45954</v>
      </c>
      <c r="D746" s="1">
        <v>45958</v>
      </c>
      <c r="E746" s="1">
        <v>45971</v>
      </c>
      <c r="F746" t="s">
        <v>138</v>
      </c>
      <c r="G746" t="s">
        <v>139</v>
      </c>
      <c r="H746" t="s">
        <v>76</v>
      </c>
      <c r="I746" t="s">
        <v>40</v>
      </c>
      <c r="J746" t="s">
        <v>122</v>
      </c>
      <c r="K746" t="s">
        <v>123</v>
      </c>
      <c r="L746" t="s">
        <v>100</v>
      </c>
      <c r="M746" t="s">
        <v>68</v>
      </c>
      <c r="N746">
        <v>2</v>
      </c>
      <c r="O746" t="s">
        <v>111</v>
      </c>
      <c r="P746" s="48">
        <v>26048.14</v>
      </c>
      <c r="Q746" s="48">
        <v>6434.89</v>
      </c>
      <c r="R746" s="48">
        <v>1845.9</v>
      </c>
      <c r="S746" s="48">
        <v>720.25</v>
      </c>
      <c r="T746" s="48">
        <v>260.48</v>
      </c>
      <c r="U746" s="48">
        <v>291.92</v>
      </c>
      <c r="V746" s="48">
        <v>1796.4</v>
      </c>
      <c r="W746" s="48">
        <v>14698.3</v>
      </c>
      <c r="X746">
        <v>12</v>
      </c>
      <c r="Y746" t="s">
        <v>112</v>
      </c>
      <c r="Z746">
        <v>53.62</v>
      </c>
      <c r="AA746" t="s">
        <v>91</v>
      </c>
      <c r="AB746" t="s">
        <v>47</v>
      </c>
      <c r="AC746" t="s">
        <v>48</v>
      </c>
      <c r="AD746" t="s">
        <v>93</v>
      </c>
      <c r="AE746" t="s">
        <v>62</v>
      </c>
      <c r="AF746" s="5">
        <f>DATE(YEAR(C746),MONTH(C746),1)</f>
        <v>45931</v>
      </c>
      <c r="AG746">
        <f>E746-D746</f>
        <v>13</v>
      </c>
      <c r="AH746" s="6">
        <f t="shared" si="11"/>
        <v>56.427445491309548</v>
      </c>
    </row>
    <row r="747" spans="1:34">
      <c r="A747" t="s">
        <v>1607</v>
      </c>
      <c r="B747" t="s">
        <v>1608</v>
      </c>
      <c r="C747" s="1">
        <v>45730</v>
      </c>
      <c r="D747" s="1">
        <v>45731</v>
      </c>
      <c r="E747" s="1">
        <v>45759</v>
      </c>
      <c r="F747" t="s">
        <v>138</v>
      </c>
      <c r="G747" t="s">
        <v>139</v>
      </c>
      <c r="H747" t="s">
        <v>76</v>
      </c>
      <c r="I747" t="s">
        <v>115</v>
      </c>
      <c r="J747" t="s">
        <v>98</v>
      </c>
      <c r="K747" t="s">
        <v>99</v>
      </c>
      <c r="L747" t="s">
        <v>59</v>
      </c>
      <c r="M747" t="s">
        <v>68</v>
      </c>
      <c r="N747">
        <v>1</v>
      </c>
      <c r="O747" t="s">
        <v>80</v>
      </c>
      <c r="P747" s="48">
        <v>28409.74</v>
      </c>
      <c r="Q747" s="48">
        <v>6430.08</v>
      </c>
      <c r="R747" s="48">
        <v>1628.26</v>
      </c>
      <c r="S747" s="48">
        <v>802.71</v>
      </c>
      <c r="T747" s="48">
        <v>284.10000000000002</v>
      </c>
      <c r="U747" s="48">
        <v>125.37</v>
      </c>
      <c r="V747" s="48">
        <v>1921.35</v>
      </c>
      <c r="W747" s="48">
        <v>17217.87</v>
      </c>
      <c r="X747">
        <v>24</v>
      </c>
      <c r="Y747" t="s">
        <v>112</v>
      </c>
      <c r="Z747">
        <v>53.58</v>
      </c>
      <c r="AA747" t="s">
        <v>91</v>
      </c>
      <c r="AB747" t="s">
        <v>47</v>
      </c>
      <c r="AC747" t="s">
        <v>60</v>
      </c>
      <c r="AD747" t="s">
        <v>144</v>
      </c>
      <c r="AE747" t="s">
        <v>102</v>
      </c>
      <c r="AF747" s="5">
        <f>DATE(YEAR(C747),MONTH(C747),1)</f>
        <v>45717</v>
      </c>
      <c r="AG747">
        <f>E747-D747</f>
        <v>28</v>
      </c>
      <c r="AH747" s="6">
        <f t="shared" si="11"/>
        <v>60.605517685131929</v>
      </c>
    </row>
    <row r="748" spans="1:34">
      <c r="A748" t="s">
        <v>1609</v>
      </c>
      <c r="B748" t="s">
        <v>1610</v>
      </c>
      <c r="C748" s="1">
        <v>45800</v>
      </c>
      <c r="D748" s="1">
        <v>45802</v>
      </c>
      <c r="E748" s="1">
        <v>45814</v>
      </c>
      <c r="F748" t="s">
        <v>83</v>
      </c>
      <c r="G748" t="s">
        <v>84</v>
      </c>
      <c r="H748" t="s">
        <v>85</v>
      </c>
      <c r="I748" t="s">
        <v>57</v>
      </c>
      <c r="J748" t="s">
        <v>39</v>
      </c>
      <c r="K748" t="s">
        <v>41</v>
      </c>
      <c r="L748" t="s">
        <v>124</v>
      </c>
      <c r="M748" t="s">
        <v>43</v>
      </c>
      <c r="N748">
        <v>1</v>
      </c>
      <c r="O748" t="s">
        <v>80</v>
      </c>
      <c r="P748" s="48">
        <v>23834.57</v>
      </c>
      <c r="Q748" s="48">
        <v>6417.03</v>
      </c>
      <c r="R748" s="48">
        <v>1838.16</v>
      </c>
      <c r="S748" s="48">
        <v>595.65</v>
      </c>
      <c r="T748" s="48">
        <v>238.35</v>
      </c>
      <c r="U748" s="48">
        <v>205.67</v>
      </c>
      <c r="V748" s="48">
        <v>1766.65</v>
      </c>
      <c r="W748" s="48">
        <v>12773.06</v>
      </c>
      <c r="X748">
        <v>12</v>
      </c>
      <c r="Y748" t="s">
        <v>135</v>
      </c>
      <c r="Z748">
        <v>53.48</v>
      </c>
      <c r="AA748" t="s">
        <v>91</v>
      </c>
      <c r="AB748" t="s">
        <v>92</v>
      </c>
      <c r="AC748" t="s">
        <v>70</v>
      </c>
      <c r="AD748" t="s">
        <v>49</v>
      </c>
      <c r="AE748" t="s">
        <v>102</v>
      </c>
      <c r="AF748" s="5">
        <f>DATE(YEAR(C748),MONTH(C748),1)</f>
        <v>45778</v>
      </c>
      <c r="AG748">
        <f>E748-D748</f>
        <v>12</v>
      </c>
      <c r="AH748" s="6">
        <f t="shared" si="11"/>
        <v>53.590478032538449</v>
      </c>
    </row>
    <row r="749" spans="1:34">
      <c r="A749" t="s">
        <v>1611</v>
      </c>
      <c r="B749" t="s">
        <v>1612</v>
      </c>
      <c r="C749" s="1">
        <v>45874</v>
      </c>
      <c r="D749" s="1">
        <v>45876</v>
      </c>
      <c r="E749" s="1">
        <v>45903</v>
      </c>
      <c r="F749" t="s">
        <v>83</v>
      </c>
      <c r="G749" t="s">
        <v>84</v>
      </c>
      <c r="H749" t="s">
        <v>85</v>
      </c>
      <c r="I749" t="s">
        <v>77</v>
      </c>
      <c r="J749" t="s">
        <v>40</v>
      </c>
      <c r="K749" t="s">
        <v>41</v>
      </c>
      <c r="L749" t="s">
        <v>127</v>
      </c>
      <c r="M749" t="s">
        <v>43</v>
      </c>
      <c r="N749">
        <v>2</v>
      </c>
      <c r="O749" t="s">
        <v>111</v>
      </c>
      <c r="P749" s="48">
        <v>23379.03</v>
      </c>
      <c r="Q749" s="48">
        <v>6401.14</v>
      </c>
      <c r="R749" s="48">
        <v>984.33</v>
      </c>
      <c r="S749" s="48">
        <v>317.10000000000002</v>
      </c>
      <c r="T749" s="48">
        <v>233.79</v>
      </c>
      <c r="U749" s="48">
        <v>845.61</v>
      </c>
      <c r="V749" s="48">
        <v>2062.17</v>
      </c>
      <c r="W749" s="48">
        <v>12534.89</v>
      </c>
      <c r="X749">
        <v>8</v>
      </c>
      <c r="Y749" t="s">
        <v>135</v>
      </c>
      <c r="Z749">
        <v>53.34</v>
      </c>
      <c r="AA749" t="s">
        <v>91</v>
      </c>
      <c r="AB749" t="s">
        <v>92</v>
      </c>
      <c r="AC749" t="s">
        <v>60</v>
      </c>
      <c r="AD749" t="s">
        <v>49</v>
      </c>
      <c r="AE749" t="s">
        <v>50</v>
      </c>
      <c r="AF749" s="5">
        <f>DATE(YEAR(C749),MONTH(C749),1)</f>
        <v>45870</v>
      </c>
      <c r="AG749">
        <f>E749-D749</f>
        <v>27</v>
      </c>
      <c r="AH749" s="6">
        <f t="shared" si="11"/>
        <v>53.61595412641158</v>
      </c>
    </row>
    <row r="750" spans="1:34">
      <c r="A750" t="s">
        <v>1613</v>
      </c>
      <c r="B750" t="s">
        <v>1614</v>
      </c>
      <c r="C750" s="1">
        <v>45742</v>
      </c>
      <c r="D750" s="1">
        <v>45745</v>
      </c>
      <c r="E750" s="1">
        <v>45770</v>
      </c>
      <c r="F750" t="s">
        <v>53</v>
      </c>
      <c r="G750" t="s">
        <v>54</v>
      </c>
      <c r="H750" t="s">
        <v>55</v>
      </c>
      <c r="I750" t="s">
        <v>56</v>
      </c>
      <c r="J750" t="s">
        <v>57</v>
      </c>
      <c r="K750" t="s">
        <v>58</v>
      </c>
      <c r="L750" t="s">
        <v>116</v>
      </c>
      <c r="M750" t="s">
        <v>108</v>
      </c>
      <c r="N750">
        <v>1</v>
      </c>
      <c r="O750" t="s">
        <v>80</v>
      </c>
      <c r="P750" s="48">
        <v>27584.58</v>
      </c>
      <c r="Q750" s="48">
        <v>6381.23</v>
      </c>
      <c r="R750" s="48">
        <v>1256.3</v>
      </c>
      <c r="S750" s="48">
        <v>482.65</v>
      </c>
      <c r="T750" s="48">
        <v>275.85000000000002</v>
      </c>
      <c r="U750" s="48">
        <v>886.35</v>
      </c>
      <c r="V750" s="48">
        <v>490.12</v>
      </c>
      <c r="W750" s="48">
        <v>17812.080000000002</v>
      </c>
      <c r="X750">
        <v>48</v>
      </c>
      <c r="Y750" t="s">
        <v>135</v>
      </c>
      <c r="Z750">
        <v>53.18</v>
      </c>
      <c r="AA750" t="s">
        <v>91</v>
      </c>
      <c r="AB750" t="s">
        <v>92</v>
      </c>
      <c r="AC750" t="s">
        <v>48</v>
      </c>
      <c r="AD750" t="s">
        <v>49</v>
      </c>
      <c r="AE750" t="s">
        <v>62</v>
      </c>
      <c r="AF750" s="5">
        <f>DATE(YEAR(C750),MONTH(C750),1)</f>
        <v>45717</v>
      </c>
      <c r="AG750">
        <f>E750-D750</f>
        <v>25</v>
      </c>
      <c r="AH750" s="6">
        <f t="shared" si="11"/>
        <v>64.572598168977009</v>
      </c>
    </row>
    <row r="751" spans="1:34">
      <c r="A751" t="s">
        <v>1615</v>
      </c>
      <c r="B751" t="s">
        <v>1616</v>
      </c>
      <c r="C751" s="1">
        <v>45986</v>
      </c>
      <c r="D751" s="1">
        <v>45988</v>
      </c>
      <c r="E751" s="1">
        <v>46011</v>
      </c>
      <c r="F751" t="s">
        <v>96</v>
      </c>
      <c r="G751" t="s">
        <v>97</v>
      </c>
      <c r="H751" t="s">
        <v>76</v>
      </c>
      <c r="I751" t="s">
        <v>56</v>
      </c>
      <c r="J751" t="s">
        <v>57</v>
      </c>
      <c r="K751" t="s">
        <v>58</v>
      </c>
      <c r="L751" t="s">
        <v>155</v>
      </c>
      <c r="M751" t="s">
        <v>68</v>
      </c>
      <c r="N751">
        <v>2</v>
      </c>
      <c r="O751" t="s">
        <v>111</v>
      </c>
      <c r="P751" s="48">
        <v>27178.61</v>
      </c>
      <c r="Q751" s="48">
        <v>6374.89</v>
      </c>
      <c r="R751" s="48">
        <v>2088.77</v>
      </c>
      <c r="S751" s="48">
        <v>405.13</v>
      </c>
      <c r="T751" s="48">
        <v>271.79000000000002</v>
      </c>
      <c r="U751" s="48">
        <v>341.09</v>
      </c>
      <c r="V751" s="48">
        <v>1559.25</v>
      </c>
      <c r="W751" s="48">
        <v>16137.69</v>
      </c>
      <c r="X751">
        <v>24</v>
      </c>
      <c r="Y751" t="s">
        <v>90</v>
      </c>
      <c r="Z751">
        <v>53.12</v>
      </c>
      <c r="AA751" t="s">
        <v>91</v>
      </c>
      <c r="AB751" t="s">
        <v>47</v>
      </c>
      <c r="AC751" t="s">
        <v>70</v>
      </c>
      <c r="AD751" t="s">
        <v>61</v>
      </c>
      <c r="AE751" t="s">
        <v>50</v>
      </c>
      <c r="AF751" s="5">
        <f>DATE(YEAR(C751),MONTH(C751),1)</f>
        <v>45962</v>
      </c>
      <c r="AG751">
        <f>E751-D751</f>
        <v>23</v>
      </c>
      <c r="AH751" s="6">
        <f t="shared" si="11"/>
        <v>59.376436101772676</v>
      </c>
    </row>
    <row r="752" spans="1:34">
      <c r="A752" t="s">
        <v>1617</v>
      </c>
      <c r="B752" t="s">
        <v>1618</v>
      </c>
      <c r="C752" s="1">
        <v>45761</v>
      </c>
      <c r="D752" s="1">
        <v>45763</v>
      </c>
      <c r="E752" s="1">
        <v>45779</v>
      </c>
      <c r="F752" t="s">
        <v>234</v>
      </c>
      <c r="G752" t="s">
        <v>111</v>
      </c>
      <c r="H752" t="s">
        <v>150</v>
      </c>
      <c r="I752" t="s">
        <v>39</v>
      </c>
      <c r="J752" t="s">
        <v>40</v>
      </c>
      <c r="K752" t="s">
        <v>41</v>
      </c>
      <c r="L752" t="s">
        <v>59</v>
      </c>
      <c r="M752" t="s">
        <v>43</v>
      </c>
      <c r="N752">
        <v>1</v>
      </c>
      <c r="O752" t="s">
        <v>44</v>
      </c>
      <c r="P752" s="48">
        <v>34895.68</v>
      </c>
      <c r="Q752" s="48">
        <v>6373.62</v>
      </c>
      <c r="R752" s="48">
        <v>2495.14</v>
      </c>
      <c r="S752" s="48">
        <v>696.51</v>
      </c>
      <c r="T752" s="48">
        <v>348.96</v>
      </c>
      <c r="U752" s="48">
        <v>850.33</v>
      </c>
      <c r="V752" s="48">
        <v>539.79999999999995</v>
      </c>
      <c r="W752" s="48">
        <v>23591.32</v>
      </c>
      <c r="X752">
        <v>0</v>
      </c>
      <c r="Y752" t="s">
        <v>45</v>
      </c>
      <c r="Z752">
        <v>53.11</v>
      </c>
      <c r="AA752" t="s">
        <v>46</v>
      </c>
      <c r="AB752" t="s">
        <v>47</v>
      </c>
      <c r="AC752" t="s">
        <v>60</v>
      </c>
      <c r="AD752" t="s">
        <v>130</v>
      </c>
      <c r="AE752" t="s">
        <v>62</v>
      </c>
      <c r="AF752" s="5">
        <f>DATE(YEAR(C752),MONTH(C752),1)</f>
        <v>45748</v>
      </c>
      <c r="AG752">
        <f>E752-D752</f>
        <v>16</v>
      </c>
      <c r="AH752" s="6">
        <f t="shared" si="11"/>
        <v>67.605273776008943</v>
      </c>
    </row>
    <row r="753" spans="1:34">
      <c r="A753" t="s">
        <v>1619</v>
      </c>
      <c r="B753" t="s">
        <v>1620</v>
      </c>
      <c r="C753" s="1">
        <v>46010</v>
      </c>
      <c r="D753" s="1">
        <v>46014</v>
      </c>
      <c r="E753" s="1">
        <v>46031</v>
      </c>
      <c r="F753" t="s">
        <v>96</v>
      </c>
      <c r="G753" t="s">
        <v>97</v>
      </c>
      <c r="H753" t="s">
        <v>76</v>
      </c>
      <c r="I753" t="s">
        <v>115</v>
      </c>
      <c r="J753" t="s">
        <v>98</v>
      </c>
      <c r="K753" t="s">
        <v>99</v>
      </c>
      <c r="L753" t="s">
        <v>59</v>
      </c>
      <c r="M753" t="s">
        <v>68</v>
      </c>
      <c r="N753">
        <v>1</v>
      </c>
      <c r="O753" t="s">
        <v>111</v>
      </c>
      <c r="P753" s="48">
        <v>27046.23</v>
      </c>
      <c r="Q753" s="48">
        <v>6373.31</v>
      </c>
      <c r="R753" s="48">
        <v>1257.77</v>
      </c>
      <c r="S753" s="48">
        <v>557.16999999999996</v>
      </c>
      <c r="T753" s="48">
        <v>270.45999999999998</v>
      </c>
      <c r="U753" s="48">
        <v>636.26</v>
      </c>
      <c r="V753" s="48">
        <v>1321.79</v>
      </c>
      <c r="W753" s="48">
        <v>16629.47</v>
      </c>
      <c r="X753">
        <v>0</v>
      </c>
      <c r="Y753" t="s">
        <v>45</v>
      </c>
      <c r="Z753">
        <v>53.11</v>
      </c>
      <c r="AA753" t="s">
        <v>46</v>
      </c>
      <c r="AB753" t="s">
        <v>47</v>
      </c>
      <c r="AC753" t="s">
        <v>70</v>
      </c>
      <c r="AD753" t="s">
        <v>130</v>
      </c>
      <c r="AE753" t="s">
        <v>62</v>
      </c>
      <c r="AF753" s="5">
        <f>DATE(YEAR(C753),MONTH(C753),1)</f>
        <v>45992</v>
      </c>
      <c r="AG753">
        <f>E753-D753</f>
        <v>17</v>
      </c>
      <c r="AH753" s="6">
        <f t="shared" si="11"/>
        <v>61.485353041810264</v>
      </c>
    </row>
    <row r="754" spans="1:34">
      <c r="A754" t="s">
        <v>1621</v>
      </c>
      <c r="B754" t="s">
        <v>1622</v>
      </c>
      <c r="C754" s="1">
        <v>45762</v>
      </c>
      <c r="D754" s="1">
        <v>45765</v>
      </c>
      <c r="E754" s="1">
        <v>45777</v>
      </c>
      <c r="F754" t="s">
        <v>234</v>
      </c>
      <c r="G754" t="s">
        <v>111</v>
      </c>
      <c r="H754" t="s">
        <v>150</v>
      </c>
      <c r="I754" t="s">
        <v>57</v>
      </c>
      <c r="J754" t="s">
        <v>98</v>
      </c>
      <c r="K754" t="s">
        <v>99</v>
      </c>
      <c r="L754" t="s">
        <v>42</v>
      </c>
      <c r="M754" t="s">
        <v>43</v>
      </c>
      <c r="N754">
        <v>1</v>
      </c>
      <c r="O754" t="s">
        <v>89</v>
      </c>
      <c r="P754" s="48">
        <v>29940.25</v>
      </c>
      <c r="Q754" s="48">
        <v>6362.72</v>
      </c>
      <c r="R754" s="48">
        <v>2307.3200000000002</v>
      </c>
      <c r="S754" s="48">
        <v>665.38</v>
      </c>
      <c r="T754" s="48">
        <v>299.39999999999998</v>
      </c>
      <c r="U754" s="48">
        <v>551.85</v>
      </c>
      <c r="V754" s="48">
        <v>814.86</v>
      </c>
      <c r="W754" s="48">
        <v>18938.72</v>
      </c>
      <c r="X754">
        <v>24</v>
      </c>
      <c r="Y754" t="s">
        <v>90</v>
      </c>
      <c r="Z754">
        <v>53.02</v>
      </c>
      <c r="AA754" t="s">
        <v>91</v>
      </c>
      <c r="AB754" t="s">
        <v>47</v>
      </c>
      <c r="AC754" t="s">
        <v>60</v>
      </c>
      <c r="AD754" t="s">
        <v>144</v>
      </c>
      <c r="AE754" t="s">
        <v>50</v>
      </c>
      <c r="AF754" s="5">
        <f>DATE(YEAR(C754),MONTH(C754),1)</f>
        <v>45748</v>
      </c>
      <c r="AG754">
        <f>E754-D754</f>
        <v>12</v>
      </c>
      <c r="AH754" s="6">
        <f t="shared" si="11"/>
        <v>63.255049640534068</v>
      </c>
    </row>
    <row r="755" spans="1:34">
      <c r="A755" t="s">
        <v>1623</v>
      </c>
      <c r="B755" t="s">
        <v>1624</v>
      </c>
      <c r="C755" s="1">
        <v>45852</v>
      </c>
      <c r="D755" s="1">
        <v>45854</v>
      </c>
      <c r="E755" s="1">
        <v>45880</v>
      </c>
      <c r="F755" t="s">
        <v>138</v>
      </c>
      <c r="G755" t="s">
        <v>139</v>
      </c>
      <c r="H755" t="s">
        <v>76</v>
      </c>
      <c r="I755" t="s">
        <v>40</v>
      </c>
      <c r="J755" t="s">
        <v>122</v>
      </c>
      <c r="K755" t="s">
        <v>123</v>
      </c>
      <c r="L755" t="s">
        <v>116</v>
      </c>
      <c r="M755" t="s">
        <v>108</v>
      </c>
      <c r="N755">
        <v>1</v>
      </c>
      <c r="O755" t="s">
        <v>44</v>
      </c>
      <c r="P755" s="48">
        <v>32850.49</v>
      </c>
      <c r="Q755" s="48">
        <v>6358.6</v>
      </c>
      <c r="R755" s="48">
        <v>1483.34</v>
      </c>
      <c r="S755" s="48">
        <v>454.49</v>
      </c>
      <c r="T755" s="48">
        <v>328.5</v>
      </c>
      <c r="U755" s="48">
        <v>120.75</v>
      </c>
      <c r="V755" s="48">
        <v>898.89</v>
      </c>
      <c r="W755" s="48">
        <v>23205.919999999998</v>
      </c>
      <c r="X755">
        <v>0</v>
      </c>
      <c r="Y755" t="s">
        <v>45</v>
      </c>
      <c r="Z755">
        <v>52.99</v>
      </c>
      <c r="AA755" t="s">
        <v>46</v>
      </c>
      <c r="AB755" t="s">
        <v>92</v>
      </c>
      <c r="AC755" t="s">
        <v>48</v>
      </c>
      <c r="AD755" t="s">
        <v>130</v>
      </c>
      <c r="AE755" t="s">
        <v>102</v>
      </c>
      <c r="AF755" s="5">
        <f>DATE(YEAR(C755),MONTH(C755),1)</f>
        <v>45839</v>
      </c>
      <c r="AG755">
        <f>E755-D755</f>
        <v>26</v>
      </c>
      <c r="AH755" s="6">
        <f t="shared" si="11"/>
        <v>70.641016313607494</v>
      </c>
    </row>
    <row r="756" spans="1:34">
      <c r="A756" t="s">
        <v>1625</v>
      </c>
      <c r="B756" t="s">
        <v>1626</v>
      </c>
      <c r="C756" s="1">
        <v>45673</v>
      </c>
      <c r="D756" s="1">
        <v>45677</v>
      </c>
      <c r="E756" s="1">
        <v>45703</v>
      </c>
      <c r="F756" t="s">
        <v>120</v>
      </c>
      <c r="G756" t="s">
        <v>75</v>
      </c>
      <c r="H756" t="s">
        <v>121</v>
      </c>
      <c r="I756" t="s">
        <v>56</v>
      </c>
      <c r="J756" t="s">
        <v>98</v>
      </c>
      <c r="K756" t="s">
        <v>41</v>
      </c>
      <c r="L756" t="s">
        <v>127</v>
      </c>
      <c r="M756" t="s">
        <v>79</v>
      </c>
      <c r="N756">
        <v>4</v>
      </c>
      <c r="O756" t="s">
        <v>44</v>
      </c>
      <c r="P756" s="48">
        <v>38008.959999999999</v>
      </c>
      <c r="Q756" s="48">
        <v>6344.28</v>
      </c>
      <c r="R756" s="48">
        <v>2665.04</v>
      </c>
      <c r="S756" s="48">
        <v>460.16</v>
      </c>
      <c r="T756" s="48">
        <v>380.09</v>
      </c>
      <c r="U756" s="48">
        <v>244.67</v>
      </c>
      <c r="V756" s="48">
        <v>767.22</v>
      </c>
      <c r="W756" s="48">
        <v>27147.5</v>
      </c>
      <c r="X756">
        <v>0</v>
      </c>
      <c r="Y756" t="s">
        <v>45</v>
      </c>
      <c r="Z756">
        <v>52.87</v>
      </c>
      <c r="AA756" t="s">
        <v>46</v>
      </c>
      <c r="AB756" t="s">
        <v>92</v>
      </c>
      <c r="AC756" t="s">
        <v>60</v>
      </c>
      <c r="AD756" t="s">
        <v>49</v>
      </c>
      <c r="AE756" t="s">
        <v>50</v>
      </c>
      <c r="AF756" s="5">
        <f>DATE(YEAR(C756),MONTH(C756),1)</f>
        <v>45658</v>
      </c>
      <c r="AG756">
        <f>E756-D756</f>
        <v>26</v>
      </c>
      <c r="AH756" s="6">
        <f t="shared" si="11"/>
        <v>71.423948458468743</v>
      </c>
    </row>
    <row r="757" spans="1:34">
      <c r="A757" t="s">
        <v>1627</v>
      </c>
      <c r="B757" t="s">
        <v>1628</v>
      </c>
      <c r="C757" s="1">
        <v>45872</v>
      </c>
      <c r="D757" s="1">
        <v>45875</v>
      </c>
      <c r="E757" s="1">
        <v>45899</v>
      </c>
      <c r="F757" t="s">
        <v>65</v>
      </c>
      <c r="G757" t="s">
        <v>66</v>
      </c>
      <c r="H757" t="s">
        <v>67</v>
      </c>
      <c r="I757" t="s">
        <v>40</v>
      </c>
      <c r="J757" t="s">
        <v>122</v>
      </c>
      <c r="K757" t="s">
        <v>123</v>
      </c>
      <c r="L757" t="s">
        <v>42</v>
      </c>
      <c r="M757" t="s">
        <v>68</v>
      </c>
      <c r="N757">
        <v>2</v>
      </c>
      <c r="O757" t="s">
        <v>105</v>
      </c>
      <c r="P757" s="48">
        <v>34965.339999999997</v>
      </c>
      <c r="Q757" s="48">
        <v>6336.44</v>
      </c>
      <c r="R757" s="48">
        <v>2663.92</v>
      </c>
      <c r="S757" s="48">
        <v>1026.1500000000001</v>
      </c>
      <c r="T757" s="48">
        <v>349.65</v>
      </c>
      <c r="U757" s="48">
        <v>481.47</v>
      </c>
      <c r="V757" s="48">
        <v>2226.09</v>
      </c>
      <c r="W757" s="48">
        <v>21881.62</v>
      </c>
      <c r="X757">
        <v>0</v>
      </c>
      <c r="Y757" t="s">
        <v>45</v>
      </c>
      <c r="Z757">
        <v>52.8</v>
      </c>
      <c r="AA757" t="s">
        <v>46</v>
      </c>
      <c r="AB757" t="s">
        <v>47</v>
      </c>
      <c r="AC757" t="s">
        <v>48</v>
      </c>
      <c r="AD757" t="s">
        <v>61</v>
      </c>
      <c r="AE757" t="s">
        <v>71</v>
      </c>
      <c r="AF757" s="5">
        <f>DATE(YEAR(C757),MONTH(C757),1)</f>
        <v>45870</v>
      </c>
      <c r="AG757">
        <f>E757-D757</f>
        <v>24</v>
      </c>
      <c r="AH757" s="6">
        <f t="shared" si="11"/>
        <v>62.580887244339692</v>
      </c>
    </row>
    <row r="758" spans="1:34">
      <c r="A758" t="s">
        <v>1629</v>
      </c>
      <c r="B758" t="s">
        <v>1630</v>
      </c>
      <c r="C758" s="1">
        <v>45662</v>
      </c>
      <c r="D758" s="1">
        <v>45664</v>
      </c>
      <c r="E758" s="1">
        <v>45674</v>
      </c>
      <c r="F758" t="s">
        <v>120</v>
      </c>
      <c r="G758" t="s">
        <v>75</v>
      </c>
      <c r="H758" t="s">
        <v>121</v>
      </c>
      <c r="I758" t="s">
        <v>56</v>
      </c>
      <c r="J758" t="s">
        <v>57</v>
      </c>
      <c r="K758" t="s">
        <v>58</v>
      </c>
      <c r="L758" t="s">
        <v>100</v>
      </c>
      <c r="M758" t="s">
        <v>79</v>
      </c>
      <c r="N758">
        <v>1</v>
      </c>
      <c r="O758" t="s">
        <v>54</v>
      </c>
      <c r="P758" s="48">
        <v>30557.77</v>
      </c>
      <c r="Q758" s="48">
        <v>6327.7</v>
      </c>
      <c r="R758" s="48">
        <v>1296.25</v>
      </c>
      <c r="S758" s="48">
        <v>625.66</v>
      </c>
      <c r="T758" s="48">
        <v>305.58</v>
      </c>
      <c r="U758" s="48">
        <v>487.2</v>
      </c>
      <c r="V758" s="48">
        <v>1697.35</v>
      </c>
      <c r="W758" s="48">
        <v>19818.03</v>
      </c>
      <c r="X758">
        <v>4</v>
      </c>
      <c r="Y758" t="s">
        <v>135</v>
      </c>
      <c r="Z758">
        <v>52.73</v>
      </c>
      <c r="AA758" t="s">
        <v>91</v>
      </c>
      <c r="AB758" t="s">
        <v>47</v>
      </c>
      <c r="AC758" t="s">
        <v>48</v>
      </c>
      <c r="AD758" t="s">
        <v>49</v>
      </c>
      <c r="AE758" t="s">
        <v>102</v>
      </c>
      <c r="AF758" s="5">
        <f>DATE(YEAR(C758),MONTH(C758),1)</f>
        <v>45658</v>
      </c>
      <c r="AG758">
        <f>E758-D758</f>
        <v>10</v>
      </c>
      <c r="AH758" s="6">
        <f t="shared" si="11"/>
        <v>64.854307104216048</v>
      </c>
    </row>
    <row r="759" spans="1:34">
      <c r="A759" t="s">
        <v>1631</v>
      </c>
      <c r="B759" t="s">
        <v>1632</v>
      </c>
      <c r="C759" s="1">
        <v>45667</v>
      </c>
      <c r="D759" s="1">
        <v>45669</v>
      </c>
      <c r="E759" s="1">
        <v>45681</v>
      </c>
      <c r="F759" t="s">
        <v>74</v>
      </c>
      <c r="G759" t="s">
        <v>75</v>
      </c>
      <c r="H759" t="s">
        <v>76</v>
      </c>
      <c r="I759" t="s">
        <v>57</v>
      </c>
      <c r="J759" t="s">
        <v>98</v>
      </c>
      <c r="K759" t="s">
        <v>99</v>
      </c>
      <c r="L759" t="s">
        <v>59</v>
      </c>
      <c r="M759" t="s">
        <v>43</v>
      </c>
      <c r="N759">
        <v>2</v>
      </c>
      <c r="O759" t="s">
        <v>80</v>
      </c>
      <c r="P759" s="48">
        <v>37540.089999999997</v>
      </c>
      <c r="Q759" s="48">
        <v>6314.93</v>
      </c>
      <c r="R759" s="48">
        <v>1732.05</v>
      </c>
      <c r="S759" s="48">
        <v>760.66</v>
      </c>
      <c r="T759" s="48">
        <v>375.4</v>
      </c>
      <c r="U759" s="48">
        <v>745.03</v>
      </c>
      <c r="V759" s="48">
        <v>2079.63</v>
      </c>
      <c r="W759" s="48">
        <v>25532.39</v>
      </c>
      <c r="X759">
        <v>24</v>
      </c>
      <c r="Y759" t="s">
        <v>101</v>
      </c>
      <c r="Z759">
        <v>52.62</v>
      </c>
      <c r="AA759" t="s">
        <v>91</v>
      </c>
      <c r="AB759" t="s">
        <v>47</v>
      </c>
      <c r="AC759" t="s">
        <v>48</v>
      </c>
      <c r="AD759" t="s">
        <v>93</v>
      </c>
      <c r="AE759" t="s">
        <v>50</v>
      </c>
      <c r="AF759" s="5">
        <f>DATE(YEAR(C759),MONTH(C759),1)</f>
        <v>45658</v>
      </c>
      <c r="AG759">
        <f>E759-D759</f>
        <v>12</v>
      </c>
      <c r="AH759" s="6">
        <f t="shared" si="11"/>
        <v>68.01366219420359</v>
      </c>
    </row>
    <row r="760" spans="1:34">
      <c r="A760" t="s">
        <v>1633</v>
      </c>
      <c r="B760" t="s">
        <v>1634</v>
      </c>
      <c r="C760" s="1">
        <v>45771</v>
      </c>
      <c r="D760" s="1">
        <v>45773</v>
      </c>
      <c r="E760" s="1">
        <v>45788</v>
      </c>
      <c r="F760" t="s">
        <v>149</v>
      </c>
      <c r="G760" t="s">
        <v>111</v>
      </c>
      <c r="H760" t="s">
        <v>150</v>
      </c>
      <c r="I760" t="s">
        <v>40</v>
      </c>
      <c r="J760" t="s">
        <v>122</v>
      </c>
      <c r="K760" t="s">
        <v>123</v>
      </c>
      <c r="L760" t="s">
        <v>59</v>
      </c>
      <c r="M760" t="s">
        <v>79</v>
      </c>
      <c r="N760">
        <v>1</v>
      </c>
      <c r="O760" t="s">
        <v>89</v>
      </c>
      <c r="P760" s="48">
        <v>39002.51</v>
      </c>
      <c r="Q760" s="48">
        <v>6289.56</v>
      </c>
      <c r="R760" s="48">
        <v>2529.91</v>
      </c>
      <c r="S760" s="48">
        <v>800.91</v>
      </c>
      <c r="T760" s="48">
        <v>390.03</v>
      </c>
      <c r="U760" s="48">
        <v>732.33</v>
      </c>
      <c r="V760" s="48">
        <v>2182.25</v>
      </c>
      <c r="W760" s="48">
        <v>26077.52</v>
      </c>
      <c r="X760">
        <v>24</v>
      </c>
      <c r="Y760" t="s">
        <v>135</v>
      </c>
      <c r="Z760">
        <v>52.41</v>
      </c>
      <c r="AA760" t="s">
        <v>91</v>
      </c>
      <c r="AB760" t="s">
        <v>92</v>
      </c>
      <c r="AC760" t="s">
        <v>48</v>
      </c>
      <c r="AD760" t="s">
        <v>144</v>
      </c>
      <c r="AE760" t="s">
        <v>62</v>
      </c>
      <c r="AF760" s="5">
        <f>DATE(YEAR(C760),MONTH(C760),1)</f>
        <v>45748</v>
      </c>
      <c r="AG760">
        <f>E760-D760</f>
        <v>15</v>
      </c>
      <c r="AH760" s="6">
        <f t="shared" si="11"/>
        <v>66.861132783505468</v>
      </c>
    </row>
    <row r="761" spans="1:34">
      <c r="A761" t="s">
        <v>1635</v>
      </c>
      <c r="B761" t="s">
        <v>1636</v>
      </c>
      <c r="C761" s="1">
        <v>45756</v>
      </c>
      <c r="D761" s="1">
        <v>45758</v>
      </c>
      <c r="E761" s="1">
        <v>45781</v>
      </c>
      <c r="F761" t="s">
        <v>138</v>
      </c>
      <c r="G761" t="s">
        <v>139</v>
      </c>
      <c r="H761" t="s">
        <v>76</v>
      </c>
      <c r="I761" t="s">
        <v>56</v>
      </c>
      <c r="J761" t="s">
        <v>86</v>
      </c>
      <c r="K761" t="s">
        <v>41</v>
      </c>
      <c r="L761" t="s">
        <v>78</v>
      </c>
      <c r="M761" t="s">
        <v>68</v>
      </c>
      <c r="N761">
        <v>2</v>
      </c>
      <c r="O761" t="s">
        <v>44</v>
      </c>
      <c r="P761" s="48">
        <v>30664.69</v>
      </c>
      <c r="Q761" s="48">
        <v>6246.84</v>
      </c>
      <c r="R761" s="48">
        <v>2367.6799999999998</v>
      </c>
      <c r="S761" s="48">
        <v>633.73</v>
      </c>
      <c r="T761" s="48">
        <v>306.64999999999998</v>
      </c>
      <c r="U761" s="48">
        <v>289.44</v>
      </c>
      <c r="V761" s="48">
        <v>1911.9</v>
      </c>
      <c r="W761" s="48">
        <v>18908.45</v>
      </c>
      <c r="X761">
        <v>24</v>
      </c>
      <c r="Y761" t="s">
        <v>112</v>
      </c>
      <c r="Z761">
        <v>52.06</v>
      </c>
      <c r="AA761" t="s">
        <v>91</v>
      </c>
      <c r="AB761" t="s">
        <v>47</v>
      </c>
      <c r="AC761" t="s">
        <v>48</v>
      </c>
      <c r="AD761" t="s">
        <v>61</v>
      </c>
      <c r="AE761" t="s">
        <v>62</v>
      </c>
      <c r="AF761" s="5">
        <f>DATE(YEAR(C761),MONTH(C761),1)</f>
        <v>45748</v>
      </c>
      <c r="AG761">
        <f>E761-D761</f>
        <v>23</v>
      </c>
      <c r="AH761" s="6">
        <f t="shared" si="11"/>
        <v>61.661963646135021</v>
      </c>
    </row>
    <row r="762" spans="1:34">
      <c r="A762" t="s">
        <v>1637</v>
      </c>
      <c r="B762" t="s">
        <v>1638</v>
      </c>
      <c r="C762" s="1">
        <v>45862</v>
      </c>
      <c r="D762" s="1">
        <v>45864</v>
      </c>
      <c r="E762" s="1">
        <v>45886</v>
      </c>
      <c r="F762" t="s">
        <v>138</v>
      </c>
      <c r="G762" t="s">
        <v>139</v>
      </c>
      <c r="H762" t="s">
        <v>76</v>
      </c>
      <c r="I762" t="s">
        <v>56</v>
      </c>
      <c r="J762" t="s">
        <v>57</v>
      </c>
      <c r="K762" t="s">
        <v>58</v>
      </c>
      <c r="L762" t="s">
        <v>124</v>
      </c>
      <c r="M762" t="s">
        <v>68</v>
      </c>
      <c r="N762">
        <v>1</v>
      </c>
      <c r="O762" t="s">
        <v>69</v>
      </c>
      <c r="P762" s="48">
        <v>37354.71</v>
      </c>
      <c r="Q762" s="48">
        <v>6246.01</v>
      </c>
      <c r="R762" s="48">
        <v>2880.89</v>
      </c>
      <c r="S762" s="48">
        <v>900.21</v>
      </c>
      <c r="T762" s="48">
        <v>373.55</v>
      </c>
      <c r="U762" s="48">
        <v>259.19</v>
      </c>
      <c r="V762" s="48">
        <v>496.87</v>
      </c>
      <c r="W762" s="48">
        <v>26197.99</v>
      </c>
      <c r="X762">
        <v>24</v>
      </c>
      <c r="Y762" t="s">
        <v>135</v>
      </c>
      <c r="Z762">
        <v>52.05</v>
      </c>
      <c r="AA762" t="s">
        <v>91</v>
      </c>
      <c r="AB762" t="s">
        <v>92</v>
      </c>
      <c r="AC762" t="s">
        <v>70</v>
      </c>
      <c r="AD762" t="s">
        <v>49</v>
      </c>
      <c r="AE762" t="s">
        <v>50</v>
      </c>
      <c r="AF762" s="5">
        <f>DATE(YEAR(C762),MONTH(C762),1)</f>
        <v>45839</v>
      </c>
      <c r="AG762">
        <f>E762-D762</f>
        <v>22</v>
      </c>
      <c r="AH762" s="6">
        <f t="shared" si="11"/>
        <v>70.133030078402442</v>
      </c>
    </row>
    <row r="763" spans="1:34">
      <c r="A763" t="s">
        <v>1639</v>
      </c>
      <c r="B763" t="s">
        <v>1640</v>
      </c>
      <c r="C763" s="1">
        <v>45822</v>
      </c>
      <c r="D763" s="1">
        <v>45823</v>
      </c>
      <c r="E763" s="1">
        <v>45851</v>
      </c>
      <c r="F763" t="s">
        <v>234</v>
      </c>
      <c r="G763" t="s">
        <v>111</v>
      </c>
      <c r="H763" t="s">
        <v>150</v>
      </c>
      <c r="I763" t="s">
        <v>115</v>
      </c>
      <c r="J763" t="s">
        <v>98</v>
      </c>
      <c r="K763" t="s">
        <v>99</v>
      </c>
      <c r="L763" t="s">
        <v>155</v>
      </c>
      <c r="M763" t="s">
        <v>79</v>
      </c>
      <c r="N763">
        <v>2</v>
      </c>
      <c r="O763" t="s">
        <v>105</v>
      </c>
      <c r="P763" s="48">
        <v>34028.11</v>
      </c>
      <c r="Q763" s="48">
        <v>6237.95</v>
      </c>
      <c r="R763" s="48">
        <v>1883.63</v>
      </c>
      <c r="S763" s="48">
        <v>696.98</v>
      </c>
      <c r="T763" s="48">
        <v>340.28</v>
      </c>
      <c r="U763" s="48">
        <v>119.46</v>
      </c>
      <c r="V763" s="48">
        <v>1367.44</v>
      </c>
      <c r="W763" s="48">
        <v>23382.37</v>
      </c>
      <c r="X763">
        <v>0</v>
      </c>
      <c r="Y763" t="s">
        <v>45</v>
      </c>
      <c r="Z763">
        <v>51.98</v>
      </c>
      <c r="AA763" t="s">
        <v>46</v>
      </c>
      <c r="AB763" t="s">
        <v>47</v>
      </c>
      <c r="AC763" t="s">
        <v>48</v>
      </c>
      <c r="AD763" t="s">
        <v>130</v>
      </c>
      <c r="AE763" t="s">
        <v>71</v>
      </c>
      <c r="AF763" s="5">
        <f>DATE(YEAR(C763),MONTH(C763),1)</f>
        <v>45809</v>
      </c>
      <c r="AG763">
        <f>E763-D763</f>
        <v>28</v>
      </c>
      <c r="AH763" s="6">
        <f t="shared" si="11"/>
        <v>68.714865445068796</v>
      </c>
    </row>
    <row r="764" spans="1:34">
      <c r="A764" t="s">
        <v>1641</v>
      </c>
      <c r="B764" t="s">
        <v>1642</v>
      </c>
      <c r="C764" s="1">
        <v>45709</v>
      </c>
      <c r="D764" s="1">
        <v>45713</v>
      </c>
      <c r="E764" s="1">
        <v>45736</v>
      </c>
      <c r="F764" t="s">
        <v>96</v>
      </c>
      <c r="G764" t="s">
        <v>97</v>
      </c>
      <c r="H764" t="s">
        <v>76</v>
      </c>
      <c r="I764" t="s">
        <v>56</v>
      </c>
      <c r="J764" t="s">
        <v>57</v>
      </c>
      <c r="K764" t="s">
        <v>58</v>
      </c>
      <c r="L764" t="s">
        <v>116</v>
      </c>
      <c r="M764" t="s">
        <v>79</v>
      </c>
      <c r="N764">
        <v>2</v>
      </c>
      <c r="O764" t="s">
        <v>69</v>
      </c>
      <c r="P764" s="48">
        <v>31409.8</v>
      </c>
      <c r="Q764" s="48">
        <v>6234.92</v>
      </c>
      <c r="R764" s="48">
        <v>1563.19</v>
      </c>
      <c r="S764" s="48">
        <v>320.70999999999998</v>
      </c>
      <c r="T764" s="48">
        <v>314.10000000000002</v>
      </c>
      <c r="U764" s="48">
        <v>263.35000000000002</v>
      </c>
      <c r="V764" s="48">
        <v>1378.1</v>
      </c>
      <c r="W764" s="48">
        <v>21335.43</v>
      </c>
      <c r="X764">
        <v>0</v>
      </c>
      <c r="Y764" t="s">
        <v>45</v>
      </c>
      <c r="Z764">
        <v>51.96</v>
      </c>
      <c r="AA764" t="s">
        <v>46</v>
      </c>
      <c r="AB764" t="s">
        <v>47</v>
      </c>
      <c r="AC764" t="s">
        <v>48</v>
      </c>
      <c r="AD764" t="s">
        <v>61</v>
      </c>
      <c r="AE764" t="s">
        <v>62</v>
      </c>
      <c r="AF764" s="5">
        <f>DATE(YEAR(C764),MONTH(C764),1)</f>
        <v>45689</v>
      </c>
      <c r="AG764">
        <f>E764-D764</f>
        <v>23</v>
      </c>
      <c r="AH764" s="6">
        <f t="shared" si="11"/>
        <v>67.926029455774952</v>
      </c>
    </row>
    <row r="765" spans="1:34">
      <c r="A765" t="s">
        <v>1643</v>
      </c>
      <c r="B765" t="s">
        <v>1644</v>
      </c>
      <c r="C765" s="1">
        <v>45931</v>
      </c>
      <c r="D765" s="1">
        <v>45932</v>
      </c>
      <c r="E765" s="1">
        <v>45950</v>
      </c>
      <c r="F765" t="s">
        <v>180</v>
      </c>
      <c r="G765" t="s">
        <v>181</v>
      </c>
      <c r="H765" t="s">
        <v>38</v>
      </c>
      <c r="I765" t="s">
        <v>115</v>
      </c>
      <c r="J765" t="s">
        <v>98</v>
      </c>
      <c r="K765" t="s">
        <v>41</v>
      </c>
      <c r="L765" t="s">
        <v>78</v>
      </c>
      <c r="M765" t="s">
        <v>43</v>
      </c>
      <c r="N765">
        <v>1</v>
      </c>
      <c r="O765" t="s">
        <v>44</v>
      </c>
      <c r="P765" s="48">
        <v>33892.379999999997</v>
      </c>
      <c r="Q765" s="48">
        <v>6233.15</v>
      </c>
      <c r="R765" s="48">
        <v>1643.35</v>
      </c>
      <c r="S765" s="48">
        <v>599.04999999999995</v>
      </c>
      <c r="T765" s="48">
        <v>338.92</v>
      </c>
      <c r="U765" s="48">
        <v>646.17999999999995</v>
      </c>
      <c r="V765" s="48">
        <v>1756.19</v>
      </c>
      <c r="W765" s="48">
        <v>22675.54</v>
      </c>
      <c r="X765">
        <v>0</v>
      </c>
      <c r="Y765" t="s">
        <v>45</v>
      </c>
      <c r="Z765">
        <v>51.94</v>
      </c>
      <c r="AA765" t="s">
        <v>46</v>
      </c>
      <c r="AB765" t="s">
        <v>92</v>
      </c>
      <c r="AC765" t="s">
        <v>60</v>
      </c>
      <c r="AD765" t="s">
        <v>49</v>
      </c>
      <c r="AE765" t="s">
        <v>62</v>
      </c>
      <c r="AF765" s="5">
        <f>DATE(YEAR(C765),MONTH(C765),1)</f>
        <v>45931</v>
      </c>
      <c r="AG765">
        <f>E765-D765</f>
        <v>18</v>
      </c>
      <c r="AH765" s="6">
        <f t="shared" si="11"/>
        <v>66.904537244064898</v>
      </c>
    </row>
    <row r="766" spans="1:34">
      <c r="A766" t="s">
        <v>1645</v>
      </c>
      <c r="B766" t="s">
        <v>1646</v>
      </c>
      <c r="C766" s="1">
        <v>45769</v>
      </c>
      <c r="D766" s="1">
        <v>45771</v>
      </c>
      <c r="E766" s="1">
        <v>45786</v>
      </c>
      <c r="F766" t="s">
        <v>153</v>
      </c>
      <c r="G766" t="s">
        <v>75</v>
      </c>
      <c r="H766" t="s">
        <v>154</v>
      </c>
      <c r="I766" t="s">
        <v>115</v>
      </c>
      <c r="J766" t="s">
        <v>98</v>
      </c>
      <c r="K766" t="s">
        <v>99</v>
      </c>
      <c r="L766" t="s">
        <v>59</v>
      </c>
      <c r="M766" t="s">
        <v>68</v>
      </c>
      <c r="N766">
        <v>1</v>
      </c>
      <c r="O766" t="s">
        <v>105</v>
      </c>
      <c r="P766" s="48">
        <v>37300.42</v>
      </c>
      <c r="Q766" s="48">
        <v>6218.49</v>
      </c>
      <c r="R766" s="48">
        <v>1527.29</v>
      </c>
      <c r="S766" s="48">
        <v>573.74</v>
      </c>
      <c r="T766" s="48">
        <v>373</v>
      </c>
      <c r="U766" s="48">
        <v>730.5</v>
      </c>
      <c r="V766" s="48">
        <v>322.19</v>
      </c>
      <c r="W766" s="48">
        <v>27555.21</v>
      </c>
      <c r="X766">
        <v>0</v>
      </c>
      <c r="Y766" t="s">
        <v>45</v>
      </c>
      <c r="Z766">
        <v>51.82</v>
      </c>
      <c r="AA766" t="s">
        <v>46</v>
      </c>
      <c r="AB766" t="s">
        <v>92</v>
      </c>
      <c r="AC766" t="s">
        <v>48</v>
      </c>
      <c r="AD766" t="s">
        <v>130</v>
      </c>
      <c r="AE766" t="s">
        <v>71</v>
      </c>
      <c r="AF766" s="5">
        <f>DATE(YEAR(C766),MONTH(C766),1)</f>
        <v>45748</v>
      </c>
      <c r="AG766">
        <f>E766-D766</f>
        <v>15</v>
      </c>
      <c r="AH766" s="6">
        <f t="shared" si="11"/>
        <v>73.873725818636899</v>
      </c>
    </row>
    <row r="767" spans="1:34">
      <c r="A767" t="s">
        <v>1647</v>
      </c>
      <c r="B767" t="s">
        <v>1648</v>
      </c>
      <c r="C767" s="1">
        <v>45724</v>
      </c>
      <c r="D767" s="1">
        <v>45727</v>
      </c>
      <c r="E767" s="1">
        <v>45738</v>
      </c>
      <c r="F767" t="s">
        <v>234</v>
      </c>
      <c r="G767" t="s">
        <v>111</v>
      </c>
      <c r="H767" t="s">
        <v>150</v>
      </c>
      <c r="I767" t="s">
        <v>56</v>
      </c>
      <c r="J767" t="s">
        <v>57</v>
      </c>
      <c r="K767" t="s">
        <v>58</v>
      </c>
      <c r="L767" t="s">
        <v>100</v>
      </c>
      <c r="M767" t="s">
        <v>68</v>
      </c>
      <c r="N767">
        <v>2</v>
      </c>
      <c r="O767" t="s">
        <v>44</v>
      </c>
      <c r="P767" s="48">
        <v>36900.839999999997</v>
      </c>
      <c r="Q767" s="48">
        <v>6214.43</v>
      </c>
      <c r="R767" s="48">
        <v>2399.7199999999998</v>
      </c>
      <c r="S767" s="48">
        <v>544.89</v>
      </c>
      <c r="T767" s="48">
        <v>369.01</v>
      </c>
      <c r="U767" s="48">
        <v>279.70999999999998</v>
      </c>
      <c r="V767" s="48">
        <v>607.55999999999995</v>
      </c>
      <c r="W767" s="48">
        <v>26485.52</v>
      </c>
      <c r="X767">
        <v>0</v>
      </c>
      <c r="Y767" t="s">
        <v>45</v>
      </c>
      <c r="Z767">
        <v>51.79</v>
      </c>
      <c r="AA767" t="s">
        <v>46</v>
      </c>
      <c r="AB767" t="s">
        <v>47</v>
      </c>
      <c r="AC767" t="s">
        <v>70</v>
      </c>
      <c r="AD767" t="s">
        <v>130</v>
      </c>
      <c r="AE767" t="s">
        <v>102</v>
      </c>
      <c r="AF767" s="5">
        <f>DATE(YEAR(C767),MONTH(C767),1)</f>
        <v>45717</v>
      </c>
      <c r="AG767">
        <f>E767-D767</f>
        <v>11</v>
      </c>
      <c r="AH767" s="6">
        <f t="shared" si="11"/>
        <v>71.774843065903113</v>
      </c>
    </row>
    <row r="768" spans="1:34">
      <c r="A768" t="s">
        <v>1649</v>
      </c>
      <c r="B768" t="s">
        <v>1650</v>
      </c>
      <c r="C768" s="1">
        <v>45742</v>
      </c>
      <c r="D768" s="1">
        <v>45746</v>
      </c>
      <c r="E768" s="1">
        <v>45773</v>
      </c>
      <c r="F768" t="s">
        <v>53</v>
      </c>
      <c r="G768" t="s">
        <v>54</v>
      </c>
      <c r="H768" t="s">
        <v>55</v>
      </c>
      <c r="I768" t="s">
        <v>40</v>
      </c>
      <c r="J768" t="s">
        <v>39</v>
      </c>
      <c r="K768" t="s">
        <v>41</v>
      </c>
      <c r="L768" t="s">
        <v>116</v>
      </c>
      <c r="M768" t="s">
        <v>68</v>
      </c>
      <c r="N768">
        <v>2</v>
      </c>
      <c r="O768" t="s">
        <v>111</v>
      </c>
      <c r="P768" s="48">
        <v>23004.7</v>
      </c>
      <c r="Q768" s="48">
        <v>6214.21</v>
      </c>
      <c r="R768" s="48">
        <v>1594.33</v>
      </c>
      <c r="S768" s="48">
        <v>564.61</v>
      </c>
      <c r="T768" s="48">
        <v>230.05</v>
      </c>
      <c r="U768" s="48">
        <v>522.48</v>
      </c>
      <c r="V768" s="48">
        <v>1800.25</v>
      </c>
      <c r="W768" s="48">
        <v>12078.77</v>
      </c>
      <c r="X768">
        <v>0</v>
      </c>
      <c r="Y768" t="s">
        <v>45</v>
      </c>
      <c r="Z768">
        <v>51.79</v>
      </c>
      <c r="AA768" t="s">
        <v>46</v>
      </c>
      <c r="AB768" t="s">
        <v>92</v>
      </c>
      <c r="AC768" t="s">
        <v>60</v>
      </c>
      <c r="AD768" t="s">
        <v>144</v>
      </c>
      <c r="AE768" t="s">
        <v>62</v>
      </c>
      <c r="AF768" s="5">
        <f>DATE(YEAR(C768),MONTH(C768),1)</f>
        <v>45717</v>
      </c>
      <c r="AG768">
        <f>E768-D768</f>
        <v>27</v>
      </c>
      <c r="AH768" s="6">
        <f t="shared" si="11"/>
        <v>52.50566188648407</v>
      </c>
    </row>
    <row r="769" spans="1:34">
      <c r="A769" t="s">
        <v>1651</v>
      </c>
      <c r="B769" t="s">
        <v>1652</v>
      </c>
      <c r="C769" s="1">
        <v>46007</v>
      </c>
      <c r="D769" s="1">
        <v>46009</v>
      </c>
      <c r="E769" s="1">
        <v>46021</v>
      </c>
      <c r="F769" t="s">
        <v>53</v>
      </c>
      <c r="G769" t="s">
        <v>54</v>
      </c>
      <c r="H769" t="s">
        <v>55</v>
      </c>
      <c r="I769" t="s">
        <v>86</v>
      </c>
      <c r="J769" t="s">
        <v>87</v>
      </c>
      <c r="K769" t="s">
        <v>88</v>
      </c>
      <c r="L769" t="s">
        <v>100</v>
      </c>
      <c r="M769" t="s">
        <v>108</v>
      </c>
      <c r="N769">
        <v>1</v>
      </c>
      <c r="O769" t="s">
        <v>111</v>
      </c>
      <c r="P769" s="48">
        <v>34567.57</v>
      </c>
      <c r="Q769" s="48">
        <v>6203.25</v>
      </c>
      <c r="R769" s="48">
        <v>2687.94</v>
      </c>
      <c r="S769" s="48">
        <v>559.14</v>
      </c>
      <c r="T769" s="48">
        <v>345.68</v>
      </c>
      <c r="U769" s="48">
        <v>521.57000000000005</v>
      </c>
      <c r="V769" s="48">
        <v>1870.1</v>
      </c>
      <c r="W769" s="48">
        <v>22379.89</v>
      </c>
      <c r="X769">
        <v>48</v>
      </c>
      <c r="Y769" t="s">
        <v>112</v>
      </c>
      <c r="Z769">
        <v>51.69</v>
      </c>
      <c r="AA769" t="s">
        <v>91</v>
      </c>
      <c r="AB769" t="s">
        <v>47</v>
      </c>
      <c r="AC769" t="s">
        <v>70</v>
      </c>
      <c r="AD769" t="s">
        <v>130</v>
      </c>
      <c r="AE769" t="s">
        <v>71</v>
      </c>
      <c r="AF769" s="5">
        <f>DATE(YEAR(C769),MONTH(C769),1)</f>
        <v>45992</v>
      </c>
      <c r="AG769">
        <f>E769-D769</f>
        <v>12</v>
      </c>
      <c r="AH769" s="6">
        <f t="shared" si="11"/>
        <v>64.742445014214184</v>
      </c>
    </row>
    <row r="770" spans="1:34">
      <c r="A770" t="s">
        <v>1653</v>
      </c>
      <c r="B770" t="s">
        <v>1654</v>
      </c>
      <c r="C770" s="1">
        <v>45808</v>
      </c>
      <c r="D770" s="1">
        <v>45809</v>
      </c>
      <c r="E770" s="1">
        <v>45826</v>
      </c>
      <c r="F770" t="s">
        <v>83</v>
      </c>
      <c r="G770" t="s">
        <v>84</v>
      </c>
      <c r="H770" t="s">
        <v>85</v>
      </c>
      <c r="I770" t="s">
        <v>57</v>
      </c>
      <c r="J770" t="s">
        <v>98</v>
      </c>
      <c r="K770" t="s">
        <v>99</v>
      </c>
      <c r="L770" t="s">
        <v>127</v>
      </c>
      <c r="M770" t="s">
        <v>43</v>
      </c>
      <c r="N770">
        <v>2</v>
      </c>
      <c r="O770" t="s">
        <v>105</v>
      </c>
      <c r="P770" s="48">
        <v>27347.32</v>
      </c>
      <c r="Q770" s="48">
        <v>6201.58</v>
      </c>
      <c r="R770" s="48">
        <v>1589.78</v>
      </c>
      <c r="S770" s="48">
        <v>449.07</v>
      </c>
      <c r="T770" s="48">
        <v>273.47000000000003</v>
      </c>
      <c r="U770" s="48">
        <v>426.77</v>
      </c>
      <c r="V770" s="48">
        <v>2336.02</v>
      </c>
      <c r="W770" s="48">
        <v>16070.63</v>
      </c>
      <c r="X770">
        <v>12</v>
      </c>
      <c r="Y770" t="s">
        <v>117</v>
      </c>
      <c r="Z770">
        <v>51.68</v>
      </c>
      <c r="AA770" t="s">
        <v>91</v>
      </c>
      <c r="AB770" t="s">
        <v>47</v>
      </c>
      <c r="AC770" t="s">
        <v>70</v>
      </c>
      <c r="AD770" t="s">
        <v>49</v>
      </c>
      <c r="AE770" t="s">
        <v>50</v>
      </c>
      <c r="AF770" s="5">
        <f>DATE(YEAR(C770),MONTH(C770),1)</f>
        <v>45778</v>
      </c>
      <c r="AG770">
        <f>E770-D770</f>
        <v>17</v>
      </c>
      <c r="AH770" s="6">
        <f t="shared" si="11"/>
        <v>58.764917366674318</v>
      </c>
    </row>
    <row r="771" spans="1:34">
      <c r="A771" t="s">
        <v>1655</v>
      </c>
      <c r="B771" t="s">
        <v>1656</v>
      </c>
      <c r="C771" s="1">
        <v>45851</v>
      </c>
      <c r="D771" s="1">
        <v>45855</v>
      </c>
      <c r="E771" s="1">
        <v>45870</v>
      </c>
      <c r="F771" t="s">
        <v>36</v>
      </c>
      <c r="G771" t="s">
        <v>37</v>
      </c>
      <c r="H771" t="s">
        <v>38</v>
      </c>
      <c r="I771" t="s">
        <v>115</v>
      </c>
      <c r="J771" t="s">
        <v>98</v>
      </c>
      <c r="K771" t="s">
        <v>99</v>
      </c>
      <c r="L771" t="s">
        <v>124</v>
      </c>
      <c r="M771" t="s">
        <v>68</v>
      </c>
      <c r="N771">
        <v>2</v>
      </c>
      <c r="O771" t="s">
        <v>54</v>
      </c>
      <c r="P771" s="48">
        <v>28217.91</v>
      </c>
      <c r="Q771" s="48">
        <v>6179.75</v>
      </c>
      <c r="R771" s="48">
        <v>1657.87</v>
      </c>
      <c r="S771" s="48">
        <v>366.62</v>
      </c>
      <c r="T771" s="48">
        <v>282.18</v>
      </c>
      <c r="U771" s="48">
        <v>793.51</v>
      </c>
      <c r="V771" s="48">
        <v>1858.22</v>
      </c>
      <c r="W771" s="48">
        <v>17079.759999999998</v>
      </c>
      <c r="X771">
        <v>0</v>
      </c>
      <c r="Y771" t="s">
        <v>45</v>
      </c>
      <c r="Z771">
        <v>51.5</v>
      </c>
      <c r="AA771" t="s">
        <v>46</v>
      </c>
      <c r="AB771" t="s">
        <v>92</v>
      </c>
      <c r="AC771" t="s">
        <v>60</v>
      </c>
      <c r="AD771" t="s">
        <v>144</v>
      </c>
      <c r="AE771" t="s">
        <v>102</v>
      </c>
      <c r="AF771" s="5">
        <f>DATE(YEAR(C771),MONTH(C771),1)</f>
        <v>45839</v>
      </c>
      <c r="AG771">
        <f>E771-D771</f>
        <v>15</v>
      </c>
      <c r="AH771" s="6">
        <f t="shared" ref="AH771:AH834" si="12">W771/P771*100</f>
        <v>60.528083050799999</v>
      </c>
    </row>
    <row r="772" spans="1:34">
      <c r="A772" t="s">
        <v>1657</v>
      </c>
      <c r="B772" t="s">
        <v>1658</v>
      </c>
      <c r="C772" s="1">
        <v>45845</v>
      </c>
      <c r="D772" s="1">
        <v>45848</v>
      </c>
      <c r="E772" s="1">
        <v>45874</v>
      </c>
      <c r="F772" t="s">
        <v>36</v>
      </c>
      <c r="G772" t="s">
        <v>37</v>
      </c>
      <c r="H772" t="s">
        <v>38</v>
      </c>
      <c r="I772" t="s">
        <v>115</v>
      </c>
      <c r="J772" t="s">
        <v>98</v>
      </c>
      <c r="K772" t="s">
        <v>99</v>
      </c>
      <c r="L772" t="s">
        <v>78</v>
      </c>
      <c r="M772" t="s">
        <v>43</v>
      </c>
      <c r="N772">
        <v>1</v>
      </c>
      <c r="O772" t="s">
        <v>54</v>
      </c>
      <c r="P772" s="48">
        <v>33637.300000000003</v>
      </c>
      <c r="Q772" s="48">
        <v>6172.58</v>
      </c>
      <c r="R772" s="48">
        <v>2132.54</v>
      </c>
      <c r="S772" s="48">
        <v>817.12</v>
      </c>
      <c r="T772" s="48">
        <v>336.37</v>
      </c>
      <c r="U772" s="48">
        <v>252.66</v>
      </c>
      <c r="V772" s="48">
        <v>326.10000000000002</v>
      </c>
      <c r="W772" s="48">
        <v>23599.93</v>
      </c>
      <c r="X772">
        <v>4</v>
      </c>
      <c r="Y772" t="s">
        <v>90</v>
      </c>
      <c r="Z772">
        <v>51.44</v>
      </c>
      <c r="AA772" t="s">
        <v>91</v>
      </c>
      <c r="AB772" t="s">
        <v>92</v>
      </c>
      <c r="AC772" t="s">
        <v>60</v>
      </c>
      <c r="AD772" t="s">
        <v>144</v>
      </c>
      <c r="AE772" t="s">
        <v>71</v>
      </c>
      <c r="AF772" s="5">
        <f>DATE(YEAR(C772),MONTH(C772),1)</f>
        <v>45839</v>
      </c>
      <c r="AG772">
        <f>E772-D772</f>
        <v>26</v>
      </c>
      <c r="AH772" s="6">
        <f t="shared" si="12"/>
        <v>70.160000951324861</v>
      </c>
    </row>
    <row r="773" spans="1:34">
      <c r="A773" t="s">
        <v>1659</v>
      </c>
      <c r="B773" t="s">
        <v>1660</v>
      </c>
      <c r="C773" s="1">
        <v>45858</v>
      </c>
      <c r="D773" s="1">
        <v>45860</v>
      </c>
      <c r="E773" s="1">
        <v>45880</v>
      </c>
      <c r="F773" t="s">
        <v>36</v>
      </c>
      <c r="G773" t="s">
        <v>37</v>
      </c>
      <c r="H773" t="s">
        <v>38</v>
      </c>
      <c r="I773" t="s">
        <v>40</v>
      </c>
      <c r="J773" t="s">
        <v>115</v>
      </c>
      <c r="K773" t="s">
        <v>41</v>
      </c>
      <c r="L773" t="s">
        <v>124</v>
      </c>
      <c r="M773" t="s">
        <v>43</v>
      </c>
      <c r="N773">
        <v>2</v>
      </c>
      <c r="O773" t="s">
        <v>89</v>
      </c>
      <c r="P773" s="48">
        <v>33868.589999999997</v>
      </c>
      <c r="Q773" s="48">
        <v>6170.8</v>
      </c>
      <c r="R773" s="48">
        <v>2677.35</v>
      </c>
      <c r="S773" s="48">
        <v>399.15</v>
      </c>
      <c r="T773" s="48">
        <v>338.69</v>
      </c>
      <c r="U773" s="48">
        <v>674.66</v>
      </c>
      <c r="V773" s="48">
        <v>1771.34</v>
      </c>
      <c r="W773" s="48">
        <v>21836.6</v>
      </c>
      <c r="X773">
        <v>36</v>
      </c>
      <c r="Y773" t="s">
        <v>135</v>
      </c>
      <c r="Z773">
        <v>51.42</v>
      </c>
      <c r="AA773" t="s">
        <v>91</v>
      </c>
      <c r="AB773" t="s">
        <v>47</v>
      </c>
      <c r="AC773" t="s">
        <v>70</v>
      </c>
      <c r="AD773" t="s">
        <v>144</v>
      </c>
      <c r="AE773" t="s">
        <v>62</v>
      </c>
      <c r="AF773" s="5">
        <f>DATE(YEAR(C773),MONTH(C773),1)</f>
        <v>45839</v>
      </c>
      <c r="AG773">
        <f>E773-D773</f>
        <v>20</v>
      </c>
      <c r="AH773" s="6">
        <f t="shared" si="12"/>
        <v>64.474488013820476</v>
      </c>
    </row>
    <row r="774" spans="1:34">
      <c r="A774" t="s">
        <v>1661</v>
      </c>
      <c r="B774" t="s">
        <v>1662</v>
      </c>
      <c r="C774" s="1">
        <v>45809</v>
      </c>
      <c r="D774" s="1">
        <v>45811</v>
      </c>
      <c r="E774" s="1">
        <v>45835</v>
      </c>
      <c r="F774" t="s">
        <v>234</v>
      </c>
      <c r="G774" t="s">
        <v>111</v>
      </c>
      <c r="H774" t="s">
        <v>150</v>
      </c>
      <c r="I774" t="s">
        <v>115</v>
      </c>
      <c r="J774" t="s">
        <v>98</v>
      </c>
      <c r="K774" t="s">
        <v>99</v>
      </c>
      <c r="L774" t="s">
        <v>78</v>
      </c>
      <c r="M774" t="s">
        <v>108</v>
      </c>
      <c r="N774">
        <v>2</v>
      </c>
      <c r="O774" t="s">
        <v>44</v>
      </c>
      <c r="P774" s="48">
        <v>32866.92</v>
      </c>
      <c r="Q774" s="48">
        <v>6161.95</v>
      </c>
      <c r="R774" s="48">
        <v>2559.6</v>
      </c>
      <c r="S774" s="48">
        <v>898.76</v>
      </c>
      <c r="T774" s="48">
        <v>328.67</v>
      </c>
      <c r="U774" s="48">
        <v>112.48</v>
      </c>
      <c r="V774" s="48">
        <v>2051.1999999999998</v>
      </c>
      <c r="W774" s="48">
        <v>20754.259999999998</v>
      </c>
      <c r="X774">
        <v>48</v>
      </c>
      <c r="Y774" t="s">
        <v>90</v>
      </c>
      <c r="Z774">
        <v>51.35</v>
      </c>
      <c r="AA774" t="s">
        <v>91</v>
      </c>
      <c r="AB774" t="s">
        <v>47</v>
      </c>
      <c r="AC774" t="s">
        <v>48</v>
      </c>
      <c r="AD774" t="s">
        <v>61</v>
      </c>
      <c r="AE774" t="s">
        <v>50</v>
      </c>
      <c r="AF774" s="5">
        <f>DATE(YEAR(C774),MONTH(C774),1)</f>
        <v>45809</v>
      </c>
      <c r="AG774">
        <f>E774-D774</f>
        <v>24</v>
      </c>
      <c r="AH774" s="6">
        <f t="shared" si="12"/>
        <v>63.146348973375055</v>
      </c>
    </row>
    <row r="775" spans="1:34">
      <c r="A775" t="s">
        <v>1663</v>
      </c>
      <c r="B775" t="s">
        <v>1664</v>
      </c>
      <c r="C775" s="1">
        <v>45804</v>
      </c>
      <c r="D775" s="1">
        <v>45808</v>
      </c>
      <c r="E775" s="1">
        <v>45834</v>
      </c>
      <c r="F775" t="s">
        <v>36</v>
      </c>
      <c r="G775" t="s">
        <v>37</v>
      </c>
      <c r="H775" t="s">
        <v>38</v>
      </c>
      <c r="I775" t="s">
        <v>115</v>
      </c>
      <c r="J775" t="s">
        <v>98</v>
      </c>
      <c r="K775" t="s">
        <v>99</v>
      </c>
      <c r="L775" t="s">
        <v>124</v>
      </c>
      <c r="M775" t="s">
        <v>79</v>
      </c>
      <c r="N775">
        <v>2</v>
      </c>
      <c r="O775" t="s">
        <v>44</v>
      </c>
      <c r="P775" s="48">
        <v>32009.14</v>
      </c>
      <c r="Q775" s="48">
        <v>6142.27</v>
      </c>
      <c r="R775" s="48">
        <v>1329.37</v>
      </c>
      <c r="S775" s="48">
        <v>777.42</v>
      </c>
      <c r="T775" s="48">
        <v>320.08999999999997</v>
      </c>
      <c r="U775" s="48">
        <v>424.91</v>
      </c>
      <c r="V775" s="48">
        <v>363.34</v>
      </c>
      <c r="W775" s="48">
        <v>22651.74</v>
      </c>
      <c r="X775">
        <v>0</v>
      </c>
      <c r="Y775" t="s">
        <v>45</v>
      </c>
      <c r="Z775">
        <v>51.19</v>
      </c>
      <c r="AA775" t="s">
        <v>46</v>
      </c>
      <c r="AB775" t="s">
        <v>47</v>
      </c>
      <c r="AC775" t="s">
        <v>70</v>
      </c>
      <c r="AD775" t="s">
        <v>93</v>
      </c>
      <c r="AE775" t="s">
        <v>71</v>
      </c>
      <c r="AF775" s="5">
        <f>DATE(YEAR(C775),MONTH(C775),1)</f>
        <v>45778</v>
      </c>
      <c r="AG775">
        <f>E775-D775</f>
        <v>26</v>
      </c>
      <c r="AH775" s="6">
        <f t="shared" si="12"/>
        <v>70.766474825627938</v>
      </c>
    </row>
    <row r="776" spans="1:34">
      <c r="A776" t="s">
        <v>1665</v>
      </c>
      <c r="B776" t="s">
        <v>1666</v>
      </c>
      <c r="C776" s="1">
        <v>45751</v>
      </c>
      <c r="D776" s="1">
        <v>45754</v>
      </c>
      <c r="E776" s="1">
        <v>45774</v>
      </c>
      <c r="F776" t="s">
        <v>65</v>
      </c>
      <c r="G776" t="s">
        <v>66</v>
      </c>
      <c r="H776" t="s">
        <v>67</v>
      </c>
      <c r="I776" t="s">
        <v>40</v>
      </c>
      <c r="J776" t="s">
        <v>122</v>
      </c>
      <c r="K776" t="s">
        <v>123</v>
      </c>
      <c r="L776" t="s">
        <v>59</v>
      </c>
      <c r="M776" t="s">
        <v>43</v>
      </c>
      <c r="N776">
        <v>1</v>
      </c>
      <c r="O776" t="s">
        <v>111</v>
      </c>
      <c r="P776" s="48">
        <v>24153.46</v>
      </c>
      <c r="Q776" s="48">
        <v>6134.2</v>
      </c>
      <c r="R776" s="48">
        <v>1101.9100000000001</v>
      </c>
      <c r="S776" s="48">
        <v>679.7</v>
      </c>
      <c r="T776" s="48">
        <v>241.53</v>
      </c>
      <c r="U776" s="48">
        <v>708.97</v>
      </c>
      <c r="V776" s="48">
        <v>2318.77</v>
      </c>
      <c r="W776" s="48">
        <v>12968.38</v>
      </c>
      <c r="X776">
        <v>0</v>
      </c>
      <c r="Y776" t="s">
        <v>45</v>
      </c>
      <c r="Z776">
        <v>51.12</v>
      </c>
      <c r="AA776" t="s">
        <v>46</v>
      </c>
      <c r="AB776" t="s">
        <v>47</v>
      </c>
      <c r="AC776" t="s">
        <v>70</v>
      </c>
      <c r="AD776" t="s">
        <v>130</v>
      </c>
      <c r="AE776" t="s">
        <v>50</v>
      </c>
      <c r="AF776" s="5">
        <f>DATE(YEAR(C776),MONTH(C776),1)</f>
        <v>45748</v>
      </c>
      <c r="AG776">
        <f>E776-D776</f>
        <v>20</v>
      </c>
      <c r="AH776" s="6">
        <f t="shared" si="12"/>
        <v>53.69160360461813</v>
      </c>
    </row>
    <row r="777" spans="1:34">
      <c r="A777" t="s">
        <v>1667</v>
      </c>
      <c r="B777" t="s">
        <v>1668</v>
      </c>
      <c r="C777" s="1">
        <v>45901</v>
      </c>
      <c r="D777" s="1">
        <v>45904</v>
      </c>
      <c r="E777" s="1">
        <v>45929</v>
      </c>
      <c r="F777" t="s">
        <v>65</v>
      </c>
      <c r="G777" t="s">
        <v>66</v>
      </c>
      <c r="H777" t="s">
        <v>67</v>
      </c>
      <c r="I777" t="s">
        <v>39</v>
      </c>
      <c r="J777" t="s">
        <v>77</v>
      </c>
      <c r="K777" t="s">
        <v>41</v>
      </c>
      <c r="L777" t="s">
        <v>100</v>
      </c>
      <c r="M777" t="s">
        <v>43</v>
      </c>
      <c r="N777">
        <v>4</v>
      </c>
      <c r="O777" t="s">
        <v>89</v>
      </c>
      <c r="P777" s="48">
        <v>24478.54</v>
      </c>
      <c r="Q777" s="48">
        <v>6126.96</v>
      </c>
      <c r="R777" s="48">
        <v>1687.99</v>
      </c>
      <c r="S777" s="48">
        <v>319.38</v>
      </c>
      <c r="T777" s="48">
        <v>244.79</v>
      </c>
      <c r="U777" s="48">
        <v>626.63</v>
      </c>
      <c r="V777" s="48">
        <v>1660.38</v>
      </c>
      <c r="W777" s="48">
        <v>13812.41</v>
      </c>
      <c r="X777">
        <v>0</v>
      </c>
      <c r="Y777" t="s">
        <v>45</v>
      </c>
      <c r="Z777">
        <v>51.06</v>
      </c>
      <c r="AA777" t="s">
        <v>46</v>
      </c>
      <c r="AB777" t="s">
        <v>92</v>
      </c>
      <c r="AC777" t="s">
        <v>48</v>
      </c>
      <c r="AD777" t="s">
        <v>130</v>
      </c>
      <c r="AE777" t="s">
        <v>50</v>
      </c>
      <c r="AF777" s="5">
        <f>DATE(YEAR(C777),MONTH(C777),1)</f>
        <v>45901</v>
      </c>
      <c r="AG777">
        <f>E777-D777</f>
        <v>25</v>
      </c>
      <c r="AH777" s="6">
        <f t="shared" si="12"/>
        <v>56.426608776503826</v>
      </c>
    </row>
    <row r="778" spans="1:34">
      <c r="A778" t="s">
        <v>1669</v>
      </c>
      <c r="B778" t="s">
        <v>1670</v>
      </c>
      <c r="C778" s="1">
        <v>45936</v>
      </c>
      <c r="D778" s="1">
        <v>45937</v>
      </c>
      <c r="E778" s="1">
        <v>45953</v>
      </c>
      <c r="F778" t="s">
        <v>153</v>
      </c>
      <c r="G778" t="s">
        <v>75</v>
      </c>
      <c r="H778" t="s">
        <v>154</v>
      </c>
      <c r="I778" t="s">
        <v>40</v>
      </c>
      <c r="J778" t="s">
        <v>122</v>
      </c>
      <c r="K778" t="s">
        <v>123</v>
      </c>
      <c r="L778" t="s">
        <v>42</v>
      </c>
      <c r="M778" t="s">
        <v>43</v>
      </c>
      <c r="N778">
        <v>2</v>
      </c>
      <c r="O778" t="s">
        <v>111</v>
      </c>
      <c r="P778" s="48">
        <v>35169.730000000003</v>
      </c>
      <c r="Q778" s="48">
        <v>6121.6</v>
      </c>
      <c r="R778" s="48">
        <v>2193.96</v>
      </c>
      <c r="S778" s="48">
        <v>646.63</v>
      </c>
      <c r="T778" s="48">
        <v>351.7</v>
      </c>
      <c r="U778" s="48">
        <v>386.34</v>
      </c>
      <c r="V778" s="48">
        <v>1685.07</v>
      </c>
      <c r="W778" s="48">
        <v>23784.43</v>
      </c>
      <c r="X778">
        <v>0</v>
      </c>
      <c r="Y778" t="s">
        <v>45</v>
      </c>
      <c r="Z778">
        <v>51.01</v>
      </c>
      <c r="AA778" t="s">
        <v>46</v>
      </c>
      <c r="AB778" t="s">
        <v>92</v>
      </c>
      <c r="AC778" t="s">
        <v>60</v>
      </c>
      <c r="AD778" t="s">
        <v>144</v>
      </c>
      <c r="AE778" t="s">
        <v>102</v>
      </c>
      <c r="AF778" s="5">
        <f>DATE(YEAR(C778),MONTH(C778),1)</f>
        <v>45931</v>
      </c>
      <c r="AG778">
        <f>E778-D778</f>
        <v>16</v>
      </c>
      <c r="AH778" s="6">
        <f t="shared" si="12"/>
        <v>67.627559267586065</v>
      </c>
    </row>
    <row r="779" spans="1:34">
      <c r="A779" t="s">
        <v>1671</v>
      </c>
      <c r="B779" t="s">
        <v>1672</v>
      </c>
      <c r="C779" s="1">
        <v>45965</v>
      </c>
      <c r="D779" s="1">
        <v>45966</v>
      </c>
      <c r="E779" s="1">
        <v>45995</v>
      </c>
      <c r="F779" t="s">
        <v>74</v>
      </c>
      <c r="G779" t="s">
        <v>75</v>
      </c>
      <c r="H779" t="s">
        <v>76</v>
      </c>
      <c r="I779" t="s">
        <v>40</v>
      </c>
      <c r="J779" t="s">
        <v>122</v>
      </c>
      <c r="K779" t="s">
        <v>123</v>
      </c>
      <c r="L779" t="s">
        <v>116</v>
      </c>
      <c r="M779" t="s">
        <v>79</v>
      </c>
      <c r="N779">
        <v>2</v>
      </c>
      <c r="O779" t="s">
        <v>69</v>
      </c>
      <c r="P779" s="48">
        <v>29754.01</v>
      </c>
      <c r="Q779" s="48">
        <v>6104.07</v>
      </c>
      <c r="R779" s="48">
        <v>1300.21</v>
      </c>
      <c r="S779" s="48">
        <v>512.63</v>
      </c>
      <c r="T779" s="48">
        <v>297.54000000000002</v>
      </c>
      <c r="U779" s="48">
        <v>642.95000000000005</v>
      </c>
      <c r="V779" s="48">
        <v>1500.46</v>
      </c>
      <c r="W779" s="48">
        <v>19396.150000000001</v>
      </c>
      <c r="X779">
        <v>24</v>
      </c>
      <c r="Y779" t="s">
        <v>117</v>
      </c>
      <c r="Z779">
        <v>50.87</v>
      </c>
      <c r="AA779" t="s">
        <v>91</v>
      </c>
      <c r="AB779" t="s">
        <v>47</v>
      </c>
      <c r="AC779" t="s">
        <v>70</v>
      </c>
      <c r="AD779" t="s">
        <v>61</v>
      </c>
      <c r="AE779" t="s">
        <v>50</v>
      </c>
      <c r="AF779" s="5">
        <f>DATE(YEAR(C779),MONTH(C779),1)</f>
        <v>45962</v>
      </c>
      <c r="AG779">
        <f>E779-D779</f>
        <v>29</v>
      </c>
      <c r="AH779" s="6">
        <f t="shared" si="12"/>
        <v>65.188356124098917</v>
      </c>
    </row>
    <row r="780" spans="1:34">
      <c r="A780" t="s">
        <v>1673</v>
      </c>
      <c r="B780" t="s">
        <v>1674</v>
      </c>
      <c r="C780" s="1">
        <v>45900</v>
      </c>
      <c r="D780" s="1">
        <v>45904</v>
      </c>
      <c r="E780" s="1">
        <v>45917</v>
      </c>
      <c r="F780" t="s">
        <v>65</v>
      </c>
      <c r="G780" t="s">
        <v>66</v>
      </c>
      <c r="H780" t="s">
        <v>67</v>
      </c>
      <c r="I780" t="s">
        <v>39</v>
      </c>
      <c r="J780" t="s">
        <v>39</v>
      </c>
      <c r="K780" t="s">
        <v>41</v>
      </c>
      <c r="L780" t="s">
        <v>42</v>
      </c>
      <c r="M780" t="s">
        <v>43</v>
      </c>
      <c r="N780">
        <v>1</v>
      </c>
      <c r="O780" t="s">
        <v>69</v>
      </c>
      <c r="P780" s="48">
        <v>37792.29</v>
      </c>
      <c r="Q780" s="48">
        <v>6057.06</v>
      </c>
      <c r="R780" s="48">
        <v>2836.14</v>
      </c>
      <c r="S780" s="48">
        <v>787.91</v>
      </c>
      <c r="T780" s="48">
        <v>377.92</v>
      </c>
      <c r="U780" s="48">
        <v>834.53</v>
      </c>
      <c r="V780" s="48">
        <v>904.51</v>
      </c>
      <c r="W780" s="48">
        <v>25994.22</v>
      </c>
      <c r="X780">
        <v>24</v>
      </c>
      <c r="Y780" t="s">
        <v>112</v>
      </c>
      <c r="Z780">
        <v>50.48</v>
      </c>
      <c r="AA780" t="s">
        <v>91</v>
      </c>
      <c r="AB780" t="s">
        <v>47</v>
      </c>
      <c r="AC780" t="s">
        <v>70</v>
      </c>
      <c r="AD780" t="s">
        <v>144</v>
      </c>
      <c r="AE780" t="s">
        <v>102</v>
      </c>
      <c r="AF780" s="5">
        <f>DATE(YEAR(C780),MONTH(C780),1)</f>
        <v>45870</v>
      </c>
      <c r="AG780">
        <f>E780-D780</f>
        <v>13</v>
      </c>
      <c r="AH780" s="6">
        <f t="shared" si="12"/>
        <v>68.781807082873257</v>
      </c>
    </row>
    <row r="781" spans="1:34">
      <c r="A781" t="s">
        <v>1675</v>
      </c>
      <c r="B781" t="s">
        <v>1676</v>
      </c>
      <c r="C781" s="1">
        <v>45871</v>
      </c>
      <c r="D781" s="1">
        <v>45873</v>
      </c>
      <c r="E781" s="1">
        <v>45889</v>
      </c>
      <c r="F781" t="s">
        <v>65</v>
      </c>
      <c r="G781" t="s">
        <v>66</v>
      </c>
      <c r="H781" t="s">
        <v>67</v>
      </c>
      <c r="I781" t="s">
        <v>56</v>
      </c>
      <c r="J781" t="s">
        <v>57</v>
      </c>
      <c r="K781" t="s">
        <v>58</v>
      </c>
      <c r="L781" t="s">
        <v>59</v>
      </c>
      <c r="M781" t="s">
        <v>68</v>
      </c>
      <c r="N781">
        <v>1</v>
      </c>
      <c r="O781" t="s">
        <v>105</v>
      </c>
      <c r="P781" s="48">
        <v>20276.63</v>
      </c>
      <c r="Q781" s="48">
        <v>6048.06</v>
      </c>
      <c r="R781" s="48">
        <v>1467.58</v>
      </c>
      <c r="S781" s="48">
        <v>215.86</v>
      </c>
      <c r="T781" s="48">
        <v>202.77</v>
      </c>
      <c r="U781" s="48">
        <v>175.42</v>
      </c>
      <c r="V781" s="48">
        <v>1726.6</v>
      </c>
      <c r="W781" s="48">
        <v>10440.34</v>
      </c>
      <c r="X781">
        <v>24</v>
      </c>
      <c r="Y781" t="s">
        <v>117</v>
      </c>
      <c r="Z781">
        <v>50.4</v>
      </c>
      <c r="AA781" t="s">
        <v>91</v>
      </c>
      <c r="AB781" t="s">
        <v>47</v>
      </c>
      <c r="AC781" t="s">
        <v>70</v>
      </c>
      <c r="AD781" t="s">
        <v>61</v>
      </c>
      <c r="AE781" t="s">
        <v>102</v>
      </c>
      <c r="AF781" s="5">
        <f>DATE(YEAR(C781),MONTH(C781),1)</f>
        <v>45870</v>
      </c>
      <c r="AG781">
        <f>E781-D781</f>
        <v>16</v>
      </c>
      <c r="AH781" s="6">
        <f t="shared" si="12"/>
        <v>51.489522667228229</v>
      </c>
    </row>
    <row r="782" spans="1:34">
      <c r="A782" t="s">
        <v>1677</v>
      </c>
      <c r="B782" t="s">
        <v>1678</v>
      </c>
      <c r="C782" s="1">
        <v>45839</v>
      </c>
      <c r="D782" s="1">
        <v>45841</v>
      </c>
      <c r="E782" s="1">
        <v>45853</v>
      </c>
      <c r="F782" t="s">
        <v>83</v>
      </c>
      <c r="G782" t="s">
        <v>84</v>
      </c>
      <c r="H782" t="s">
        <v>85</v>
      </c>
      <c r="I782" t="s">
        <v>86</v>
      </c>
      <c r="J782" t="s">
        <v>87</v>
      </c>
      <c r="K782" t="s">
        <v>88</v>
      </c>
      <c r="L782" t="s">
        <v>124</v>
      </c>
      <c r="M782" t="s">
        <v>43</v>
      </c>
      <c r="N782">
        <v>1</v>
      </c>
      <c r="O782" t="s">
        <v>105</v>
      </c>
      <c r="P782" s="48">
        <v>30951.47</v>
      </c>
      <c r="Q782" s="48">
        <v>6039.47</v>
      </c>
      <c r="R782" s="48">
        <v>1470.15</v>
      </c>
      <c r="S782" s="48">
        <v>607.76</v>
      </c>
      <c r="T782" s="48">
        <v>309.51</v>
      </c>
      <c r="U782" s="48">
        <v>877.65</v>
      </c>
      <c r="V782" s="48">
        <v>765.37</v>
      </c>
      <c r="W782" s="48">
        <v>20881.560000000001</v>
      </c>
      <c r="X782">
        <v>4</v>
      </c>
      <c r="Y782" t="s">
        <v>101</v>
      </c>
      <c r="Z782">
        <v>50.33</v>
      </c>
      <c r="AA782" t="s">
        <v>91</v>
      </c>
      <c r="AB782" t="s">
        <v>92</v>
      </c>
      <c r="AC782" t="s">
        <v>70</v>
      </c>
      <c r="AD782" t="s">
        <v>130</v>
      </c>
      <c r="AE782" t="s">
        <v>50</v>
      </c>
      <c r="AF782" s="5">
        <f>DATE(YEAR(C782),MONTH(C782),1)</f>
        <v>45839</v>
      </c>
      <c r="AG782">
        <f>E782-D782</f>
        <v>12</v>
      </c>
      <c r="AH782" s="6">
        <f t="shared" si="12"/>
        <v>67.465487099643411</v>
      </c>
    </row>
    <row r="783" spans="1:34">
      <c r="A783" t="s">
        <v>1679</v>
      </c>
      <c r="B783" t="s">
        <v>1680</v>
      </c>
      <c r="C783" s="1">
        <v>45758</v>
      </c>
      <c r="D783" s="1">
        <v>45761</v>
      </c>
      <c r="E783" s="1">
        <v>45773</v>
      </c>
      <c r="F783" t="s">
        <v>138</v>
      </c>
      <c r="G783" t="s">
        <v>139</v>
      </c>
      <c r="H783" t="s">
        <v>76</v>
      </c>
      <c r="I783" t="s">
        <v>115</v>
      </c>
      <c r="J783" t="s">
        <v>98</v>
      </c>
      <c r="K783" t="s">
        <v>99</v>
      </c>
      <c r="L783" t="s">
        <v>127</v>
      </c>
      <c r="M783" t="s">
        <v>79</v>
      </c>
      <c r="N783">
        <v>2</v>
      </c>
      <c r="O783" t="s">
        <v>80</v>
      </c>
      <c r="P783" s="48">
        <v>30155.97</v>
      </c>
      <c r="Q783" s="48">
        <v>6038.3</v>
      </c>
      <c r="R783" s="48">
        <v>1360.96</v>
      </c>
      <c r="S783" s="48">
        <v>843.38</v>
      </c>
      <c r="T783" s="48">
        <v>301.56</v>
      </c>
      <c r="U783" s="48">
        <v>591.35</v>
      </c>
      <c r="V783" s="48">
        <v>1073.98</v>
      </c>
      <c r="W783" s="48">
        <v>19946.439999999999</v>
      </c>
      <c r="X783">
        <v>48</v>
      </c>
      <c r="Y783" t="s">
        <v>112</v>
      </c>
      <c r="Z783">
        <v>50.32</v>
      </c>
      <c r="AA783" t="s">
        <v>91</v>
      </c>
      <c r="AB783" t="s">
        <v>92</v>
      </c>
      <c r="AC783" t="s">
        <v>70</v>
      </c>
      <c r="AD783" t="s">
        <v>130</v>
      </c>
      <c r="AE783" t="s">
        <v>50</v>
      </c>
      <c r="AF783" s="5">
        <f>DATE(YEAR(C783),MONTH(C783),1)</f>
        <v>45748</v>
      </c>
      <c r="AG783">
        <f>E783-D783</f>
        <v>12</v>
      </c>
      <c r="AH783" s="6">
        <f t="shared" si="12"/>
        <v>66.144249380802535</v>
      </c>
    </row>
    <row r="784" spans="1:34">
      <c r="A784" t="s">
        <v>1681</v>
      </c>
      <c r="B784" t="s">
        <v>1682</v>
      </c>
      <c r="C784" s="1">
        <v>45683</v>
      </c>
      <c r="D784" s="1">
        <v>45685</v>
      </c>
      <c r="E784" s="1">
        <v>45699</v>
      </c>
      <c r="F784" t="s">
        <v>36</v>
      </c>
      <c r="G784" t="s">
        <v>37</v>
      </c>
      <c r="H784" t="s">
        <v>38</v>
      </c>
      <c r="I784" t="s">
        <v>57</v>
      </c>
      <c r="J784" t="s">
        <v>98</v>
      </c>
      <c r="K784" t="s">
        <v>99</v>
      </c>
      <c r="L784" t="s">
        <v>42</v>
      </c>
      <c r="M784" t="s">
        <v>43</v>
      </c>
      <c r="N784">
        <v>1</v>
      </c>
      <c r="O784" t="s">
        <v>54</v>
      </c>
      <c r="P784" s="48">
        <v>23516.73</v>
      </c>
      <c r="Q784" s="48">
        <v>6036.28</v>
      </c>
      <c r="R784" s="48">
        <v>1175.01</v>
      </c>
      <c r="S784" s="48">
        <v>382.58</v>
      </c>
      <c r="T784" s="48">
        <v>235.17</v>
      </c>
      <c r="U784" s="48">
        <v>373.25</v>
      </c>
      <c r="V784" s="48">
        <v>2137.46</v>
      </c>
      <c r="W784" s="48">
        <v>13176.98</v>
      </c>
      <c r="X784">
        <v>0</v>
      </c>
      <c r="Y784" t="s">
        <v>45</v>
      </c>
      <c r="Z784">
        <v>50.3</v>
      </c>
      <c r="AA784" t="s">
        <v>46</v>
      </c>
      <c r="AB784" t="s">
        <v>47</v>
      </c>
      <c r="AC784" t="s">
        <v>60</v>
      </c>
      <c r="AD784" t="s">
        <v>93</v>
      </c>
      <c r="AE784" t="s">
        <v>62</v>
      </c>
      <c r="AF784" s="5">
        <f>DATE(YEAR(C784),MONTH(C784),1)</f>
        <v>45658</v>
      </c>
      <c r="AG784">
        <f>E784-D784</f>
        <v>14</v>
      </c>
      <c r="AH784" s="6">
        <f t="shared" si="12"/>
        <v>56.032365043949561</v>
      </c>
    </row>
    <row r="785" spans="1:34">
      <c r="A785" t="s">
        <v>1683</v>
      </c>
      <c r="B785" t="s">
        <v>1684</v>
      </c>
      <c r="C785" s="1">
        <v>45698</v>
      </c>
      <c r="D785" s="1">
        <v>45701</v>
      </c>
      <c r="E785" s="1">
        <v>45720</v>
      </c>
      <c r="F785" t="s">
        <v>180</v>
      </c>
      <c r="G785" t="s">
        <v>181</v>
      </c>
      <c r="H785" t="s">
        <v>38</v>
      </c>
      <c r="I785" t="s">
        <v>86</v>
      </c>
      <c r="J785" t="s">
        <v>87</v>
      </c>
      <c r="K785" t="s">
        <v>88</v>
      </c>
      <c r="L785" t="s">
        <v>124</v>
      </c>
      <c r="M785" t="s">
        <v>79</v>
      </c>
      <c r="N785">
        <v>2</v>
      </c>
      <c r="O785" t="s">
        <v>54</v>
      </c>
      <c r="P785" s="48">
        <v>35797.86</v>
      </c>
      <c r="Q785" s="48">
        <v>6028.73</v>
      </c>
      <c r="R785" s="48">
        <v>1718.34</v>
      </c>
      <c r="S785" s="48">
        <v>537.19000000000005</v>
      </c>
      <c r="T785" s="48">
        <v>357.98</v>
      </c>
      <c r="U785" s="48">
        <v>411.9</v>
      </c>
      <c r="V785" s="48">
        <v>2090.73</v>
      </c>
      <c r="W785" s="48">
        <v>24652.99</v>
      </c>
      <c r="X785">
        <v>0</v>
      </c>
      <c r="Y785" t="s">
        <v>45</v>
      </c>
      <c r="Z785">
        <v>50.24</v>
      </c>
      <c r="AA785" t="s">
        <v>46</v>
      </c>
      <c r="AB785" t="s">
        <v>47</v>
      </c>
      <c r="AC785" t="s">
        <v>70</v>
      </c>
      <c r="AD785" t="s">
        <v>61</v>
      </c>
      <c r="AE785" t="s">
        <v>50</v>
      </c>
      <c r="AF785" s="5">
        <f>DATE(YEAR(C785),MONTH(C785),1)</f>
        <v>45689</v>
      </c>
      <c r="AG785">
        <f>E785-D785</f>
        <v>19</v>
      </c>
      <c r="AH785" s="6">
        <f t="shared" si="12"/>
        <v>68.867217202369076</v>
      </c>
    </row>
    <row r="786" spans="1:34">
      <c r="A786" t="s">
        <v>1685</v>
      </c>
      <c r="B786" t="s">
        <v>1686</v>
      </c>
      <c r="C786" s="1">
        <v>45663</v>
      </c>
      <c r="D786" s="1">
        <v>45664</v>
      </c>
      <c r="E786" s="1">
        <v>45677</v>
      </c>
      <c r="F786" t="s">
        <v>96</v>
      </c>
      <c r="G786" t="s">
        <v>97</v>
      </c>
      <c r="H786" t="s">
        <v>76</v>
      </c>
      <c r="I786" t="s">
        <v>86</v>
      </c>
      <c r="J786" t="s">
        <v>87</v>
      </c>
      <c r="K786" t="s">
        <v>88</v>
      </c>
      <c r="L786" t="s">
        <v>100</v>
      </c>
      <c r="M786" t="s">
        <v>43</v>
      </c>
      <c r="N786">
        <v>1</v>
      </c>
      <c r="O786" t="s">
        <v>54</v>
      </c>
      <c r="P786" s="48">
        <v>32398.13</v>
      </c>
      <c r="Q786" s="48">
        <v>6022.03</v>
      </c>
      <c r="R786" s="48">
        <v>1534.92</v>
      </c>
      <c r="S786" s="48">
        <v>727.2</v>
      </c>
      <c r="T786" s="48">
        <v>323.98</v>
      </c>
      <c r="U786" s="48">
        <v>189.08</v>
      </c>
      <c r="V786" s="48">
        <v>1840.19</v>
      </c>
      <c r="W786" s="48">
        <v>21760.73</v>
      </c>
      <c r="X786">
        <v>0</v>
      </c>
      <c r="Y786" t="s">
        <v>45</v>
      </c>
      <c r="Z786">
        <v>50.18</v>
      </c>
      <c r="AA786" t="s">
        <v>46</v>
      </c>
      <c r="AB786" t="s">
        <v>47</v>
      </c>
      <c r="AC786" t="s">
        <v>48</v>
      </c>
      <c r="AD786" t="s">
        <v>49</v>
      </c>
      <c r="AE786" t="s">
        <v>71</v>
      </c>
      <c r="AF786" s="5">
        <f>DATE(YEAR(C786),MONTH(C786),1)</f>
        <v>45658</v>
      </c>
      <c r="AG786">
        <f>E786-D786</f>
        <v>13</v>
      </c>
      <c r="AH786" s="6">
        <f t="shared" si="12"/>
        <v>67.166623505739381</v>
      </c>
    </row>
    <row r="787" spans="1:34">
      <c r="A787" t="s">
        <v>1687</v>
      </c>
      <c r="B787" t="s">
        <v>1688</v>
      </c>
      <c r="C787" s="1">
        <v>45744</v>
      </c>
      <c r="D787" s="1">
        <v>45747</v>
      </c>
      <c r="E787" s="1">
        <v>45759</v>
      </c>
      <c r="F787" t="s">
        <v>74</v>
      </c>
      <c r="G787" t="s">
        <v>75</v>
      </c>
      <c r="H787" t="s">
        <v>76</v>
      </c>
      <c r="I787" t="s">
        <v>98</v>
      </c>
      <c r="J787" t="s">
        <v>56</v>
      </c>
      <c r="K787" t="s">
        <v>41</v>
      </c>
      <c r="L787" t="s">
        <v>116</v>
      </c>
      <c r="M787" t="s">
        <v>79</v>
      </c>
      <c r="N787">
        <v>2</v>
      </c>
      <c r="O787" t="s">
        <v>105</v>
      </c>
      <c r="P787" s="48">
        <v>21713.85</v>
      </c>
      <c r="Q787" s="48">
        <v>5945.2</v>
      </c>
      <c r="R787" s="48">
        <v>1205.9100000000001</v>
      </c>
      <c r="S787" s="48">
        <v>302.70999999999998</v>
      </c>
      <c r="T787" s="48">
        <v>217.14</v>
      </c>
      <c r="U787" s="48">
        <v>767.97</v>
      </c>
      <c r="V787" s="48">
        <v>1388.37</v>
      </c>
      <c r="W787" s="48">
        <v>11886.55</v>
      </c>
      <c r="X787">
        <v>36</v>
      </c>
      <c r="Y787" t="s">
        <v>112</v>
      </c>
      <c r="Z787">
        <v>49.54</v>
      </c>
      <c r="AA787" t="s">
        <v>91</v>
      </c>
      <c r="AB787" t="s">
        <v>92</v>
      </c>
      <c r="AC787" t="s">
        <v>70</v>
      </c>
      <c r="AD787" t="s">
        <v>61</v>
      </c>
      <c r="AE787" t="s">
        <v>50</v>
      </c>
      <c r="AF787" s="5">
        <f>DATE(YEAR(C787),MONTH(C787),1)</f>
        <v>45717</v>
      </c>
      <c r="AG787">
        <f>E787-D787</f>
        <v>12</v>
      </c>
      <c r="AH787" s="6">
        <f t="shared" si="12"/>
        <v>54.741789226691715</v>
      </c>
    </row>
    <row r="788" spans="1:34">
      <c r="A788" t="s">
        <v>1689</v>
      </c>
      <c r="B788" t="s">
        <v>1690</v>
      </c>
      <c r="C788" s="1">
        <v>45905</v>
      </c>
      <c r="D788" s="1">
        <v>45909</v>
      </c>
      <c r="E788" s="1">
        <v>45924</v>
      </c>
      <c r="F788" t="s">
        <v>74</v>
      </c>
      <c r="G788" t="s">
        <v>75</v>
      </c>
      <c r="H788" t="s">
        <v>76</v>
      </c>
      <c r="I788" t="s">
        <v>57</v>
      </c>
      <c r="J788" t="s">
        <v>98</v>
      </c>
      <c r="K788" t="s">
        <v>99</v>
      </c>
      <c r="L788" t="s">
        <v>100</v>
      </c>
      <c r="M788" t="s">
        <v>108</v>
      </c>
      <c r="N788">
        <v>1</v>
      </c>
      <c r="O788" t="s">
        <v>80</v>
      </c>
      <c r="P788" s="48">
        <v>20408</v>
      </c>
      <c r="Q788" s="48">
        <v>5925.09</v>
      </c>
      <c r="R788" s="48">
        <v>1148.1300000000001</v>
      </c>
      <c r="S788" s="48">
        <v>464.72</v>
      </c>
      <c r="T788" s="48">
        <v>204.08</v>
      </c>
      <c r="U788" s="48">
        <v>733.39</v>
      </c>
      <c r="V788" s="48">
        <v>2095.6799999999998</v>
      </c>
      <c r="W788" s="48">
        <v>9836.91</v>
      </c>
      <c r="X788">
        <v>4</v>
      </c>
      <c r="Y788" t="s">
        <v>135</v>
      </c>
      <c r="Z788">
        <v>49.38</v>
      </c>
      <c r="AA788" t="s">
        <v>91</v>
      </c>
      <c r="AB788" t="s">
        <v>47</v>
      </c>
      <c r="AC788" t="s">
        <v>60</v>
      </c>
      <c r="AD788" t="s">
        <v>130</v>
      </c>
      <c r="AE788" t="s">
        <v>71</v>
      </c>
      <c r="AF788" s="5">
        <f>DATE(YEAR(C788),MONTH(C788),1)</f>
        <v>45901</v>
      </c>
      <c r="AG788">
        <f>E788-D788</f>
        <v>15</v>
      </c>
      <c r="AH788" s="6">
        <f t="shared" si="12"/>
        <v>48.201244609956881</v>
      </c>
    </row>
    <row r="789" spans="1:34">
      <c r="A789" t="s">
        <v>1691</v>
      </c>
      <c r="B789" t="s">
        <v>1692</v>
      </c>
      <c r="C789" s="1">
        <v>45912</v>
      </c>
      <c r="D789" s="1">
        <v>45914</v>
      </c>
      <c r="E789" s="1">
        <v>45929</v>
      </c>
      <c r="F789" t="s">
        <v>53</v>
      </c>
      <c r="G789" t="s">
        <v>54</v>
      </c>
      <c r="H789" t="s">
        <v>55</v>
      </c>
      <c r="I789" t="s">
        <v>86</v>
      </c>
      <c r="J789" t="s">
        <v>87</v>
      </c>
      <c r="K789" t="s">
        <v>88</v>
      </c>
      <c r="L789" t="s">
        <v>155</v>
      </c>
      <c r="M789" t="s">
        <v>79</v>
      </c>
      <c r="N789">
        <v>2</v>
      </c>
      <c r="O789" t="s">
        <v>54</v>
      </c>
      <c r="P789" s="48">
        <v>24510.37</v>
      </c>
      <c r="Q789" s="48">
        <v>5922.21</v>
      </c>
      <c r="R789" s="48">
        <v>1875.19</v>
      </c>
      <c r="S789" s="48">
        <v>366.96</v>
      </c>
      <c r="T789" s="48">
        <v>245.1</v>
      </c>
      <c r="U789" s="48">
        <v>543.51</v>
      </c>
      <c r="V789" s="48">
        <v>1228.21</v>
      </c>
      <c r="W789" s="48">
        <v>14329.19</v>
      </c>
      <c r="X789">
        <v>12</v>
      </c>
      <c r="Y789" t="s">
        <v>101</v>
      </c>
      <c r="Z789">
        <v>49.35</v>
      </c>
      <c r="AA789" t="s">
        <v>91</v>
      </c>
      <c r="AB789" t="s">
        <v>47</v>
      </c>
      <c r="AC789" t="s">
        <v>48</v>
      </c>
      <c r="AD789" t="s">
        <v>49</v>
      </c>
      <c r="AE789" t="s">
        <v>102</v>
      </c>
      <c r="AF789" s="5">
        <f>DATE(YEAR(C789),MONTH(C789),1)</f>
        <v>45901</v>
      </c>
      <c r="AG789">
        <f>E789-D789</f>
        <v>15</v>
      </c>
      <c r="AH789" s="6">
        <f t="shared" si="12"/>
        <v>58.46174496753823</v>
      </c>
    </row>
    <row r="790" spans="1:34">
      <c r="A790" t="s">
        <v>1693</v>
      </c>
      <c r="B790" t="s">
        <v>1694</v>
      </c>
      <c r="C790" s="1">
        <v>45820</v>
      </c>
      <c r="D790" s="1">
        <v>45824</v>
      </c>
      <c r="E790" s="1">
        <v>45846</v>
      </c>
      <c r="F790" t="s">
        <v>234</v>
      </c>
      <c r="G790" t="s">
        <v>111</v>
      </c>
      <c r="H790" t="s">
        <v>150</v>
      </c>
      <c r="I790" t="s">
        <v>57</v>
      </c>
      <c r="J790" t="s">
        <v>57</v>
      </c>
      <c r="K790" t="s">
        <v>41</v>
      </c>
      <c r="L790" t="s">
        <v>127</v>
      </c>
      <c r="M790" t="s">
        <v>79</v>
      </c>
      <c r="N790">
        <v>2</v>
      </c>
      <c r="O790" t="s">
        <v>54</v>
      </c>
      <c r="P790" s="48">
        <v>24818.91</v>
      </c>
      <c r="Q790" s="48">
        <v>5922.09</v>
      </c>
      <c r="R790" s="48">
        <v>1425.31</v>
      </c>
      <c r="S790" s="48">
        <v>293.99</v>
      </c>
      <c r="T790" s="48">
        <v>248.19</v>
      </c>
      <c r="U790" s="48">
        <v>228.68</v>
      </c>
      <c r="V790" s="48">
        <v>1167.95</v>
      </c>
      <c r="W790" s="48">
        <v>15532.7</v>
      </c>
      <c r="X790">
        <v>0</v>
      </c>
      <c r="Y790" t="s">
        <v>45</v>
      </c>
      <c r="Z790">
        <v>49.35</v>
      </c>
      <c r="AA790" t="s">
        <v>46</v>
      </c>
      <c r="AB790" t="s">
        <v>47</v>
      </c>
      <c r="AC790" t="s">
        <v>60</v>
      </c>
      <c r="AD790" t="s">
        <v>130</v>
      </c>
      <c r="AE790" t="s">
        <v>62</v>
      </c>
      <c r="AF790" s="5">
        <f>DATE(YEAR(C790),MONTH(C790),1)</f>
        <v>45809</v>
      </c>
      <c r="AG790">
        <f>E790-D790</f>
        <v>22</v>
      </c>
      <c r="AH790" s="6">
        <f t="shared" si="12"/>
        <v>62.584134436202078</v>
      </c>
    </row>
    <row r="791" spans="1:34">
      <c r="A791" t="s">
        <v>1695</v>
      </c>
      <c r="B791" t="s">
        <v>1696</v>
      </c>
      <c r="C791" s="1">
        <v>46012</v>
      </c>
      <c r="D791" s="1">
        <v>46014</v>
      </c>
      <c r="E791" s="1">
        <v>46036</v>
      </c>
      <c r="F791" t="s">
        <v>138</v>
      </c>
      <c r="G791" t="s">
        <v>139</v>
      </c>
      <c r="H791" t="s">
        <v>76</v>
      </c>
      <c r="I791" t="s">
        <v>40</v>
      </c>
      <c r="J791" t="s">
        <v>122</v>
      </c>
      <c r="K791" t="s">
        <v>123</v>
      </c>
      <c r="L791" t="s">
        <v>78</v>
      </c>
      <c r="M791" t="s">
        <v>43</v>
      </c>
      <c r="N791">
        <v>4</v>
      </c>
      <c r="O791" t="s">
        <v>54</v>
      </c>
      <c r="P791" s="48">
        <v>32804.949999999997</v>
      </c>
      <c r="Q791" s="48">
        <v>5894.93</v>
      </c>
      <c r="R791" s="48">
        <v>1587.3</v>
      </c>
      <c r="S791" s="48">
        <v>816.24</v>
      </c>
      <c r="T791" s="48">
        <v>328.05</v>
      </c>
      <c r="U791" s="48">
        <v>535.02</v>
      </c>
      <c r="V791" s="48">
        <v>1995.07</v>
      </c>
      <c r="W791" s="48">
        <v>21648.34</v>
      </c>
      <c r="X791">
        <v>8</v>
      </c>
      <c r="Y791" t="s">
        <v>101</v>
      </c>
      <c r="Z791">
        <v>49.12</v>
      </c>
      <c r="AA791" t="s">
        <v>91</v>
      </c>
      <c r="AB791" t="s">
        <v>47</v>
      </c>
      <c r="AC791" t="s">
        <v>48</v>
      </c>
      <c r="AD791" t="s">
        <v>130</v>
      </c>
      <c r="AE791" t="s">
        <v>62</v>
      </c>
      <c r="AF791" s="5">
        <f>DATE(YEAR(C791),MONTH(C791),1)</f>
        <v>45992</v>
      </c>
      <c r="AG791">
        <f>E791-D791</f>
        <v>22</v>
      </c>
      <c r="AH791" s="6">
        <f t="shared" si="12"/>
        <v>65.991077566038058</v>
      </c>
    </row>
    <row r="792" spans="1:34">
      <c r="A792" t="s">
        <v>1697</v>
      </c>
      <c r="B792" t="s">
        <v>1698</v>
      </c>
      <c r="C792" s="1">
        <v>45898</v>
      </c>
      <c r="D792" s="1">
        <v>45902</v>
      </c>
      <c r="E792" s="1">
        <v>45921</v>
      </c>
      <c r="F792" t="s">
        <v>180</v>
      </c>
      <c r="G792" t="s">
        <v>181</v>
      </c>
      <c r="H792" t="s">
        <v>38</v>
      </c>
      <c r="I792" t="s">
        <v>56</v>
      </c>
      <c r="J792" t="s">
        <v>40</v>
      </c>
      <c r="K792" t="s">
        <v>41</v>
      </c>
      <c r="L792" t="s">
        <v>100</v>
      </c>
      <c r="M792" t="s">
        <v>43</v>
      </c>
      <c r="N792">
        <v>2</v>
      </c>
      <c r="O792" t="s">
        <v>89</v>
      </c>
      <c r="P792" s="48">
        <v>24936.38</v>
      </c>
      <c r="Q792" s="48">
        <v>5893.77</v>
      </c>
      <c r="R792" s="48">
        <v>1869.74</v>
      </c>
      <c r="S792" s="48">
        <v>608.38</v>
      </c>
      <c r="T792" s="48">
        <v>249.36</v>
      </c>
      <c r="U792" s="48">
        <v>633.12</v>
      </c>
      <c r="V792" s="48">
        <v>2467.88</v>
      </c>
      <c r="W792" s="48">
        <v>13214.13</v>
      </c>
      <c r="X792">
        <v>24</v>
      </c>
      <c r="Y792" t="s">
        <v>112</v>
      </c>
      <c r="Z792">
        <v>49.11</v>
      </c>
      <c r="AA792" t="s">
        <v>91</v>
      </c>
      <c r="AB792" t="s">
        <v>47</v>
      </c>
      <c r="AC792" t="s">
        <v>70</v>
      </c>
      <c r="AD792" t="s">
        <v>93</v>
      </c>
      <c r="AE792" t="s">
        <v>62</v>
      </c>
      <c r="AF792" s="5">
        <f>DATE(YEAR(C792),MONTH(C792),1)</f>
        <v>45870</v>
      </c>
      <c r="AG792">
        <f>E792-D792</f>
        <v>19</v>
      </c>
      <c r="AH792" s="6">
        <f t="shared" si="12"/>
        <v>52.991372444597005</v>
      </c>
    </row>
    <row r="793" spans="1:34">
      <c r="A793" t="s">
        <v>1699</v>
      </c>
      <c r="B793" t="s">
        <v>1700</v>
      </c>
      <c r="C793" s="1">
        <v>45980</v>
      </c>
      <c r="D793" s="1">
        <v>45982</v>
      </c>
      <c r="E793" s="1">
        <v>46006</v>
      </c>
      <c r="F793" t="s">
        <v>120</v>
      </c>
      <c r="G793" t="s">
        <v>75</v>
      </c>
      <c r="H793" t="s">
        <v>121</v>
      </c>
      <c r="I793" t="s">
        <v>57</v>
      </c>
      <c r="J793" t="s">
        <v>122</v>
      </c>
      <c r="K793" t="s">
        <v>41</v>
      </c>
      <c r="L793" t="s">
        <v>127</v>
      </c>
      <c r="M793" t="s">
        <v>68</v>
      </c>
      <c r="N793">
        <v>1</v>
      </c>
      <c r="O793" t="s">
        <v>105</v>
      </c>
      <c r="P793" s="48">
        <v>26093.43</v>
      </c>
      <c r="Q793" s="48">
        <v>5869.93</v>
      </c>
      <c r="R793" s="48">
        <v>1413.29</v>
      </c>
      <c r="S793" s="48">
        <v>472.04</v>
      </c>
      <c r="T793" s="48">
        <v>260.93</v>
      </c>
      <c r="U793" s="48">
        <v>509.6</v>
      </c>
      <c r="V793" s="48">
        <v>1192.47</v>
      </c>
      <c r="W793" s="48">
        <v>16375.17</v>
      </c>
      <c r="X793">
        <v>36</v>
      </c>
      <c r="Y793" t="s">
        <v>90</v>
      </c>
      <c r="Z793">
        <v>48.92</v>
      </c>
      <c r="AA793" t="s">
        <v>91</v>
      </c>
      <c r="AB793" t="s">
        <v>92</v>
      </c>
      <c r="AC793" t="s">
        <v>48</v>
      </c>
      <c r="AD793" t="s">
        <v>49</v>
      </c>
      <c r="AE793" t="s">
        <v>62</v>
      </c>
      <c r="AF793" s="5">
        <f>DATE(YEAR(C793),MONTH(C793),1)</f>
        <v>45962</v>
      </c>
      <c r="AG793">
        <f>E793-D793</f>
        <v>24</v>
      </c>
      <c r="AH793" s="6">
        <f t="shared" si="12"/>
        <v>62.755912120407316</v>
      </c>
    </row>
    <row r="794" spans="1:34">
      <c r="A794" t="s">
        <v>1701</v>
      </c>
      <c r="B794" t="s">
        <v>1702</v>
      </c>
      <c r="C794" s="1">
        <v>45833</v>
      </c>
      <c r="D794" s="1">
        <v>45836</v>
      </c>
      <c r="E794" s="1">
        <v>45862</v>
      </c>
      <c r="F794" t="s">
        <v>120</v>
      </c>
      <c r="G794" t="s">
        <v>75</v>
      </c>
      <c r="H794" t="s">
        <v>121</v>
      </c>
      <c r="I794" t="s">
        <v>40</v>
      </c>
      <c r="J794" t="s">
        <v>122</v>
      </c>
      <c r="K794" t="s">
        <v>123</v>
      </c>
      <c r="L794" t="s">
        <v>100</v>
      </c>
      <c r="M794" t="s">
        <v>43</v>
      </c>
      <c r="N794">
        <v>2</v>
      </c>
      <c r="O794" t="s">
        <v>89</v>
      </c>
      <c r="P794" s="48">
        <v>19888.439999999999</v>
      </c>
      <c r="Q794" s="48">
        <v>5862.39</v>
      </c>
      <c r="R794" s="48">
        <v>1034.7</v>
      </c>
      <c r="S794" s="48">
        <v>222.83</v>
      </c>
      <c r="T794" s="48">
        <v>198.88</v>
      </c>
      <c r="U794" s="48">
        <v>385.92</v>
      </c>
      <c r="V794" s="48">
        <v>776.76</v>
      </c>
      <c r="W794" s="48">
        <v>11406.96</v>
      </c>
      <c r="X794">
        <v>48</v>
      </c>
      <c r="Y794" t="s">
        <v>117</v>
      </c>
      <c r="Z794">
        <v>48.85</v>
      </c>
      <c r="AA794" t="s">
        <v>91</v>
      </c>
      <c r="AB794" t="s">
        <v>47</v>
      </c>
      <c r="AC794" t="s">
        <v>70</v>
      </c>
      <c r="AD794" t="s">
        <v>144</v>
      </c>
      <c r="AE794" t="s">
        <v>50</v>
      </c>
      <c r="AF794" s="5">
        <f>DATE(YEAR(C794),MONTH(C794),1)</f>
        <v>45809</v>
      </c>
      <c r="AG794">
        <f>E794-D794</f>
        <v>26</v>
      </c>
      <c r="AH794" s="6">
        <f t="shared" si="12"/>
        <v>57.35472465412068</v>
      </c>
    </row>
    <row r="795" spans="1:34">
      <c r="A795" t="s">
        <v>1703</v>
      </c>
      <c r="B795" t="s">
        <v>1704</v>
      </c>
      <c r="C795" s="1">
        <v>45812</v>
      </c>
      <c r="D795" s="1">
        <v>45813</v>
      </c>
      <c r="E795" s="1">
        <v>45829</v>
      </c>
      <c r="F795" t="s">
        <v>36</v>
      </c>
      <c r="G795" t="s">
        <v>37</v>
      </c>
      <c r="H795" t="s">
        <v>38</v>
      </c>
      <c r="I795" t="s">
        <v>115</v>
      </c>
      <c r="J795" t="s">
        <v>98</v>
      </c>
      <c r="K795" t="s">
        <v>99</v>
      </c>
      <c r="L795" t="s">
        <v>78</v>
      </c>
      <c r="M795" t="s">
        <v>108</v>
      </c>
      <c r="N795">
        <v>2</v>
      </c>
      <c r="O795" t="s">
        <v>105</v>
      </c>
      <c r="P795" s="48">
        <v>20242.98</v>
      </c>
      <c r="Q795" s="48">
        <v>5852.84</v>
      </c>
      <c r="R795" s="48">
        <v>969.76</v>
      </c>
      <c r="S795" s="48">
        <v>366.75</v>
      </c>
      <c r="T795" s="48">
        <v>202.43</v>
      </c>
      <c r="U795" s="48">
        <v>473.21</v>
      </c>
      <c r="V795" s="48">
        <v>787.7</v>
      </c>
      <c r="W795" s="48">
        <v>11590.29</v>
      </c>
      <c r="X795">
        <v>24</v>
      </c>
      <c r="Y795" t="s">
        <v>135</v>
      </c>
      <c r="Z795">
        <v>48.77</v>
      </c>
      <c r="AA795" t="s">
        <v>91</v>
      </c>
      <c r="AB795" t="s">
        <v>47</v>
      </c>
      <c r="AC795" t="s">
        <v>48</v>
      </c>
      <c r="AD795" t="s">
        <v>130</v>
      </c>
      <c r="AE795" t="s">
        <v>50</v>
      </c>
      <c r="AF795" s="5">
        <f>DATE(YEAR(C795),MONTH(C795),1)</f>
        <v>45809</v>
      </c>
      <c r="AG795">
        <f>E795-D795</f>
        <v>16</v>
      </c>
      <c r="AH795" s="6">
        <f t="shared" si="12"/>
        <v>57.255848694213995</v>
      </c>
    </row>
    <row r="796" spans="1:34">
      <c r="A796" t="s">
        <v>1705</v>
      </c>
      <c r="B796" t="s">
        <v>1706</v>
      </c>
      <c r="C796" s="1">
        <v>45966</v>
      </c>
      <c r="D796" s="1">
        <v>45968</v>
      </c>
      <c r="E796" s="1">
        <v>45987</v>
      </c>
      <c r="F796" t="s">
        <v>149</v>
      </c>
      <c r="G796" t="s">
        <v>111</v>
      </c>
      <c r="H796" t="s">
        <v>150</v>
      </c>
      <c r="I796" t="s">
        <v>56</v>
      </c>
      <c r="J796" t="s">
        <v>57</v>
      </c>
      <c r="K796" t="s">
        <v>58</v>
      </c>
      <c r="L796" t="s">
        <v>78</v>
      </c>
      <c r="M796" t="s">
        <v>108</v>
      </c>
      <c r="N796">
        <v>2</v>
      </c>
      <c r="O796" t="s">
        <v>44</v>
      </c>
      <c r="P796" s="48">
        <v>34870.11</v>
      </c>
      <c r="Q796" s="48">
        <v>5836.29</v>
      </c>
      <c r="R796" s="48">
        <v>1812.72</v>
      </c>
      <c r="S796" s="48">
        <v>564.5</v>
      </c>
      <c r="T796" s="48">
        <v>348.7</v>
      </c>
      <c r="U796" s="48">
        <v>819.18</v>
      </c>
      <c r="V796" s="48">
        <v>2028.91</v>
      </c>
      <c r="W796" s="48">
        <v>23459.81</v>
      </c>
      <c r="X796">
        <v>0</v>
      </c>
      <c r="Y796" t="s">
        <v>45</v>
      </c>
      <c r="Z796">
        <v>48.64</v>
      </c>
      <c r="AA796" t="s">
        <v>46</v>
      </c>
      <c r="AB796" t="s">
        <v>47</v>
      </c>
      <c r="AC796" t="s">
        <v>48</v>
      </c>
      <c r="AD796" t="s">
        <v>144</v>
      </c>
      <c r="AE796" t="s">
        <v>62</v>
      </c>
      <c r="AF796" s="5">
        <f>DATE(YEAR(C796),MONTH(C796),1)</f>
        <v>45962</v>
      </c>
      <c r="AG796">
        <f>E796-D796</f>
        <v>19</v>
      </c>
      <c r="AH796" s="6">
        <f t="shared" si="12"/>
        <v>67.277705748562312</v>
      </c>
    </row>
    <row r="797" spans="1:34">
      <c r="A797" t="s">
        <v>1707</v>
      </c>
      <c r="B797" t="s">
        <v>1708</v>
      </c>
      <c r="C797" s="1">
        <v>45927</v>
      </c>
      <c r="D797" s="1">
        <v>45929</v>
      </c>
      <c r="E797" s="1">
        <v>45956</v>
      </c>
      <c r="F797" t="s">
        <v>153</v>
      </c>
      <c r="G797" t="s">
        <v>75</v>
      </c>
      <c r="H797" t="s">
        <v>154</v>
      </c>
      <c r="I797" t="s">
        <v>115</v>
      </c>
      <c r="J797" t="s">
        <v>39</v>
      </c>
      <c r="K797" t="s">
        <v>41</v>
      </c>
      <c r="L797" t="s">
        <v>78</v>
      </c>
      <c r="M797" t="s">
        <v>108</v>
      </c>
      <c r="N797">
        <v>1</v>
      </c>
      <c r="O797" t="s">
        <v>89</v>
      </c>
      <c r="P797" s="48">
        <v>32277.26</v>
      </c>
      <c r="Q797" s="48">
        <v>5835.9</v>
      </c>
      <c r="R797" s="48">
        <v>1555.88</v>
      </c>
      <c r="S797" s="48">
        <v>918.41</v>
      </c>
      <c r="T797" s="48">
        <v>322.77</v>
      </c>
      <c r="U797" s="48">
        <v>471.36</v>
      </c>
      <c r="V797" s="48">
        <v>2439.7800000000002</v>
      </c>
      <c r="W797" s="48">
        <v>20733.16</v>
      </c>
      <c r="X797">
        <v>24</v>
      </c>
      <c r="Y797" t="s">
        <v>135</v>
      </c>
      <c r="Z797">
        <v>48.63</v>
      </c>
      <c r="AA797" t="s">
        <v>91</v>
      </c>
      <c r="AB797" t="s">
        <v>92</v>
      </c>
      <c r="AC797" t="s">
        <v>70</v>
      </c>
      <c r="AD797" t="s">
        <v>93</v>
      </c>
      <c r="AE797" t="s">
        <v>71</v>
      </c>
      <c r="AF797" s="5">
        <f>DATE(YEAR(C797),MONTH(C797),1)</f>
        <v>45901</v>
      </c>
      <c r="AG797">
        <f>E797-D797</f>
        <v>27</v>
      </c>
      <c r="AH797" s="6">
        <f t="shared" si="12"/>
        <v>64.234572575243376</v>
      </c>
    </row>
    <row r="798" spans="1:34">
      <c r="A798" t="s">
        <v>1709</v>
      </c>
      <c r="B798" t="s">
        <v>1710</v>
      </c>
      <c r="C798" s="1">
        <v>45749</v>
      </c>
      <c r="D798" s="1">
        <v>45753</v>
      </c>
      <c r="E798" s="1">
        <v>45769</v>
      </c>
      <c r="F798" t="s">
        <v>180</v>
      </c>
      <c r="G798" t="s">
        <v>181</v>
      </c>
      <c r="H798" t="s">
        <v>38</v>
      </c>
      <c r="I798" t="s">
        <v>56</v>
      </c>
      <c r="J798" t="s">
        <v>56</v>
      </c>
      <c r="K798" t="s">
        <v>41</v>
      </c>
      <c r="L798" t="s">
        <v>59</v>
      </c>
      <c r="M798" t="s">
        <v>108</v>
      </c>
      <c r="N798">
        <v>1</v>
      </c>
      <c r="O798" t="s">
        <v>105</v>
      </c>
      <c r="P798" s="48">
        <v>30142.02</v>
      </c>
      <c r="Q798" s="48">
        <v>5817.85</v>
      </c>
      <c r="R798" s="48">
        <v>1900.19</v>
      </c>
      <c r="S798" s="48">
        <v>650.12</v>
      </c>
      <c r="T798" s="48">
        <v>301.42</v>
      </c>
      <c r="U798" s="48">
        <v>536.34</v>
      </c>
      <c r="V798" s="48">
        <v>314.05</v>
      </c>
      <c r="W798" s="48">
        <v>20622.05</v>
      </c>
      <c r="X798">
        <v>36</v>
      </c>
      <c r="Y798" t="s">
        <v>90</v>
      </c>
      <c r="Z798">
        <v>48.48</v>
      </c>
      <c r="AA798" t="s">
        <v>91</v>
      </c>
      <c r="AB798" t="s">
        <v>47</v>
      </c>
      <c r="AC798" t="s">
        <v>70</v>
      </c>
      <c r="AD798" t="s">
        <v>49</v>
      </c>
      <c r="AE798" t="s">
        <v>71</v>
      </c>
      <c r="AF798" s="5">
        <f>DATE(YEAR(C798),MONTH(C798),1)</f>
        <v>45748</v>
      </c>
      <c r="AG798">
        <f>E798-D798</f>
        <v>16</v>
      </c>
      <c r="AH798" s="6">
        <f t="shared" si="12"/>
        <v>68.416283978313331</v>
      </c>
    </row>
    <row r="799" spans="1:34">
      <c r="A799" t="s">
        <v>1711</v>
      </c>
      <c r="B799" t="s">
        <v>1712</v>
      </c>
      <c r="C799" s="1">
        <v>45716</v>
      </c>
      <c r="D799" s="1">
        <v>45717</v>
      </c>
      <c r="E799" s="1">
        <v>45733</v>
      </c>
      <c r="F799" t="s">
        <v>96</v>
      </c>
      <c r="G799" t="s">
        <v>97</v>
      </c>
      <c r="H799" t="s">
        <v>76</v>
      </c>
      <c r="I799" t="s">
        <v>115</v>
      </c>
      <c r="J799" t="s">
        <v>98</v>
      </c>
      <c r="K799" t="s">
        <v>99</v>
      </c>
      <c r="L799" t="s">
        <v>124</v>
      </c>
      <c r="M799" t="s">
        <v>43</v>
      </c>
      <c r="N799">
        <v>2</v>
      </c>
      <c r="O799" t="s">
        <v>54</v>
      </c>
      <c r="P799" s="48">
        <v>19449.560000000001</v>
      </c>
      <c r="Q799" s="48">
        <v>5811.7</v>
      </c>
      <c r="R799" s="48">
        <v>1331.18</v>
      </c>
      <c r="S799" s="48">
        <v>324.14</v>
      </c>
      <c r="T799" s="48">
        <v>194.5</v>
      </c>
      <c r="U799" s="48">
        <v>843.61</v>
      </c>
      <c r="V799" s="48">
        <v>826.21</v>
      </c>
      <c r="W799" s="48">
        <v>10118.219999999999</v>
      </c>
      <c r="X799">
        <v>4</v>
      </c>
      <c r="Y799" t="s">
        <v>112</v>
      </c>
      <c r="Z799">
        <v>48.43</v>
      </c>
      <c r="AA799" t="s">
        <v>91</v>
      </c>
      <c r="AB799" t="s">
        <v>92</v>
      </c>
      <c r="AC799" t="s">
        <v>48</v>
      </c>
      <c r="AD799" t="s">
        <v>93</v>
      </c>
      <c r="AE799" t="s">
        <v>102</v>
      </c>
      <c r="AF799" s="5">
        <f>DATE(YEAR(C799),MONTH(C799),1)</f>
        <v>45689</v>
      </c>
      <c r="AG799">
        <f>E799-D799</f>
        <v>16</v>
      </c>
      <c r="AH799" s="6">
        <f t="shared" si="12"/>
        <v>52.022873525159433</v>
      </c>
    </row>
    <row r="800" spans="1:34">
      <c r="A800" t="s">
        <v>1713</v>
      </c>
      <c r="B800" t="s">
        <v>1714</v>
      </c>
      <c r="C800" s="1">
        <v>45940</v>
      </c>
      <c r="D800" s="1">
        <v>45941</v>
      </c>
      <c r="E800" s="1">
        <v>45963</v>
      </c>
      <c r="F800" t="s">
        <v>96</v>
      </c>
      <c r="G800" t="s">
        <v>97</v>
      </c>
      <c r="H800" t="s">
        <v>76</v>
      </c>
      <c r="I800" t="s">
        <v>87</v>
      </c>
      <c r="J800" t="s">
        <v>39</v>
      </c>
      <c r="K800" t="s">
        <v>41</v>
      </c>
      <c r="L800" t="s">
        <v>116</v>
      </c>
      <c r="M800" t="s">
        <v>43</v>
      </c>
      <c r="N800">
        <v>1</v>
      </c>
      <c r="O800" t="s">
        <v>69</v>
      </c>
      <c r="P800" s="48">
        <v>32988.89</v>
      </c>
      <c r="Q800" s="48">
        <v>5797.36</v>
      </c>
      <c r="R800" s="48">
        <v>1365.29</v>
      </c>
      <c r="S800" s="48">
        <v>374.02</v>
      </c>
      <c r="T800" s="48">
        <v>329.89</v>
      </c>
      <c r="U800" s="48">
        <v>311.8</v>
      </c>
      <c r="V800" s="48">
        <v>1280.99</v>
      </c>
      <c r="W800" s="48">
        <v>23529.54</v>
      </c>
      <c r="X800">
        <v>0</v>
      </c>
      <c r="Y800" t="s">
        <v>45</v>
      </c>
      <c r="Z800">
        <v>48.31</v>
      </c>
      <c r="AA800" t="s">
        <v>46</v>
      </c>
      <c r="AB800" t="s">
        <v>47</v>
      </c>
      <c r="AC800" t="s">
        <v>60</v>
      </c>
      <c r="AD800" t="s">
        <v>144</v>
      </c>
      <c r="AE800" t="s">
        <v>71</v>
      </c>
      <c r="AF800" s="5">
        <f>DATE(YEAR(C800),MONTH(C800),1)</f>
        <v>45931</v>
      </c>
      <c r="AG800">
        <f>E800-D800</f>
        <v>22</v>
      </c>
      <c r="AH800" s="6">
        <f t="shared" si="12"/>
        <v>71.325649332244893</v>
      </c>
    </row>
    <row r="801" spans="1:34">
      <c r="A801" t="s">
        <v>1715</v>
      </c>
      <c r="B801" t="s">
        <v>1716</v>
      </c>
      <c r="C801" s="1">
        <v>45808</v>
      </c>
      <c r="D801" s="1">
        <v>45809</v>
      </c>
      <c r="E801" s="1">
        <v>45830</v>
      </c>
      <c r="F801" t="s">
        <v>53</v>
      </c>
      <c r="G801" t="s">
        <v>54</v>
      </c>
      <c r="H801" t="s">
        <v>55</v>
      </c>
      <c r="I801" t="s">
        <v>87</v>
      </c>
      <c r="J801" t="s">
        <v>98</v>
      </c>
      <c r="K801" t="s">
        <v>41</v>
      </c>
      <c r="L801" t="s">
        <v>155</v>
      </c>
      <c r="M801" t="s">
        <v>108</v>
      </c>
      <c r="N801">
        <v>2</v>
      </c>
      <c r="O801" t="s">
        <v>89</v>
      </c>
      <c r="P801" s="48">
        <v>27054.05</v>
      </c>
      <c r="Q801" s="48">
        <v>5790.92</v>
      </c>
      <c r="R801" s="48">
        <v>1783.89</v>
      </c>
      <c r="S801" s="48">
        <v>571.15</v>
      </c>
      <c r="T801" s="48">
        <v>270.54000000000002</v>
      </c>
      <c r="U801" s="48">
        <v>862.33</v>
      </c>
      <c r="V801" s="48">
        <v>1523.27</v>
      </c>
      <c r="W801" s="48">
        <v>16251.95</v>
      </c>
      <c r="X801">
        <v>0</v>
      </c>
      <c r="Y801" t="s">
        <v>45</v>
      </c>
      <c r="Z801">
        <v>48.26</v>
      </c>
      <c r="AA801" t="s">
        <v>46</v>
      </c>
      <c r="AB801" t="s">
        <v>47</v>
      </c>
      <c r="AC801" t="s">
        <v>48</v>
      </c>
      <c r="AD801" t="s">
        <v>49</v>
      </c>
      <c r="AE801" t="s">
        <v>102</v>
      </c>
      <c r="AF801" s="5">
        <f>DATE(YEAR(C801),MONTH(C801),1)</f>
        <v>45778</v>
      </c>
      <c r="AG801">
        <f>E801-D801</f>
        <v>21</v>
      </c>
      <c r="AH801" s="6">
        <f t="shared" si="12"/>
        <v>60.072151858963821</v>
      </c>
    </row>
    <row r="802" spans="1:34">
      <c r="A802" t="s">
        <v>1717</v>
      </c>
      <c r="B802" t="s">
        <v>1718</v>
      </c>
      <c r="C802" s="1">
        <v>45957</v>
      </c>
      <c r="D802" s="1">
        <v>45958</v>
      </c>
      <c r="E802" s="1">
        <v>45981</v>
      </c>
      <c r="F802" t="s">
        <v>153</v>
      </c>
      <c r="G802" t="s">
        <v>75</v>
      </c>
      <c r="H802" t="s">
        <v>154</v>
      </c>
      <c r="I802" t="s">
        <v>57</v>
      </c>
      <c r="J802" t="s">
        <v>122</v>
      </c>
      <c r="K802" t="s">
        <v>41</v>
      </c>
      <c r="L802" t="s">
        <v>127</v>
      </c>
      <c r="M802" t="s">
        <v>108</v>
      </c>
      <c r="N802">
        <v>2</v>
      </c>
      <c r="O802" t="s">
        <v>105</v>
      </c>
      <c r="P802" s="48">
        <v>23161.88</v>
      </c>
      <c r="Q802" s="48">
        <v>5754.79</v>
      </c>
      <c r="R802" s="48">
        <v>1509.7</v>
      </c>
      <c r="S802" s="48">
        <v>452.81</v>
      </c>
      <c r="T802" s="48">
        <v>231.62</v>
      </c>
      <c r="U802" s="48">
        <v>294.14999999999998</v>
      </c>
      <c r="V802" s="48">
        <v>980.28</v>
      </c>
      <c r="W802" s="48">
        <v>13938.53</v>
      </c>
      <c r="X802">
        <v>24</v>
      </c>
      <c r="Y802" t="s">
        <v>90</v>
      </c>
      <c r="Z802">
        <v>47.96</v>
      </c>
      <c r="AA802" t="s">
        <v>91</v>
      </c>
      <c r="AB802" t="s">
        <v>47</v>
      </c>
      <c r="AC802" t="s">
        <v>60</v>
      </c>
      <c r="AD802" t="s">
        <v>144</v>
      </c>
      <c r="AE802" t="s">
        <v>50</v>
      </c>
      <c r="AF802" s="5">
        <f>DATE(YEAR(C802),MONTH(C802),1)</f>
        <v>45931</v>
      </c>
      <c r="AG802">
        <f>E802-D802</f>
        <v>23</v>
      </c>
      <c r="AH802" s="6">
        <f t="shared" si="12"/>
        <v>60.178750602282719</v>
      </c>
    </row>
    <row r="803" spans="1:34">
      <c r="A803" t="s">
        <v>1719</v>
      </c>
      <c r="B803" t="s">
        <v>1720</v>
      </c>
      <c r="C803" s="1">
        <v>45691</v>
      </c>
      <c r="D803" s="1">
        <v>45694</v>
      </c>
      <c r="E803" s="1">
        <v>45714</v>
      </c>
      <c r="F803" t="s">
        <v>83</v>
      </c>
      <c r="G803" t="s">
        <v>84</v>
      </c>
      <c r="H803" t="s">
        <v>85</v>
      </c>
      <c r="I803" t="s">
        <v>115</v>
      </c>
      <c r="J803" t="s">
        <v>98</v>
      </c>
      <c r="K803" t="s">
        <v>99</v>
      </c>
      <c r="L803" t="s">
        <v>59</v>
      </c>
      <c r="M803" t="s">
        <v>43</v>
      </c>
      <c r="N803">
        <v>1</v>
      </c>
      <c r="O803" t="s">
        <v>69</v>
      </c>
      <c r="P803" s="48">
        <v>32756.53</v>
      </c>
      <c r="Q803" s="48">
        <v>5731.93</v>
      </c>
      <c r="R803" s="48">
        <v>2036.19</v>
      </c>
      <c r="S803" s="48">
        <v>502.35</v>
      </c>
      <c r="T803" s="48">
        <v>327.57</v>
      </c>
      <c r="U803" s="48">
        <v>143.21</v>
      </c>
      <c r="V803" s="48">
        <v>785.83</v>
      </c>
      <c r="W803" s="48">
        <v>23229.45</v>
      </c>
      <c r="X803">
        <v>0</v>
      </c>
      <c r="Y803" t="s">
        <v>45</v>
      </c>
      <c r="Z803">
        <v>47.77</v>
      </c>
      <c r="AA803" t="s">
        <v>46</v>
      </c>
      <c r="AB803" t="s">
        <v>47</v>
      </c>
      <c r="AC803" t="s">
        <v>70</v>
      </c>
      <c r="AD803" t="s">
        <v>130</v>
      </c>
      <c r="AE803" t="s">
        <v>102</v>
      </c>
      <c r="AF803" s="5">
        <f>DATE(YEAR(C803),MONTH(C803),1)</f>
        <v>45689</v>
      </c>
      <c r="AG803">
        <f>E803-D803</f>
        <v>20</v>
      </c>
      <c r="AH803" s="6">
        <f t="shared" si="12"/>
        <v>70.915478532066743</v>
      </c>
    </row>
    <row r="804" spans="1:34">
      <c r="A804" t="s">
        <v>1721</v>
      </c>
      <c r="B804" t="s">
        <v>1722</v>
      </c>
      <c r="C804" s="1">
        <v>45823</v>
      </c>
      <c r="D804" s="1">
        <v>45824</v>
      </c>
      <c r="E804" s="1">
        <v>45840</v>
      </c>
      <c r="F804" t="s">
        <v>138</v>
      </c>
      <c r="G804" t="s">
        <v>139</v>
      </c>
      <c r="H804" t="s">
        <v>76</v>
      </c>
      <c r="I804" t="s">
        <v>77</v>
      </c>
      <c r="J804" t="s">
        <v>98</v>
      </c>
      <c r="K804" t="s">
        <v>41</v>
      </c>
      <c r="L804" t="s">
        <v>42</v>
      </c>
      <c r="M804" t="s">
        <v>108</v>
      </c>
      <c r="N804">
        <v>1</v>
      </c>
      <c r="O804" t="s">
        <v>111</v>
      </c>
      <c r="P804" s="48">
        <v>26905.14</v>
      </c>
      <c r="Q804" s="48">
        <v>5690.21</v>
      </c>
      <c r="R804" s="48">
        <v>1522.16</v>
      </c>
      <c r="S804" s="48">
        <v>572.02</v>
      </c>
      <c r="T804" s="48">
        <v>269.05</v>
      </c>
      <c r="U804" s="48">
        <v>841.12</v>
      </c>
      <c r="V804" s="48">
        <v>1260.1400000000001</v>
      </c>
      <c r="W804" s="48">
        <v>16750.439999999999</v>
      </c>
      <c r="X804">
        <v>0</v>
      </c>
      <c r="Y804" t="s">
        <v>45</v>
      </c>
      <c r="Z804">
        <v>47.42</v>
      </c>
      <c r="AA804" t="s">
        <v>46</v>
      </c>
      <c r="AB804" t="s">
        <v>47</v>
      </c>
      <c r="AC804" t="s">
        <v>60</v>
      </c>
      <c r="AD804" t="s">
        <v>144</v>
      </c>
      <c r="AE804" t="s">
        <v>50</v>
      </c>
      <c r="AF804" s="5">
        <f>DATE(YEAR(C804),MONTH(C804),1)</f>
        <v>45809</v>
      </c>
      <c r="AG804">
        <f>E804-D804</f>
        <v>16</v>
      </c>
      <c r="AH804" s="6">
        <f t="shared" si="12"/>
        <v>62.25739765710194</v>
      </c>
    </row>
    <row r="805" spans="1:34">
      <c r="A805" t="s">
        <v>1723</v>
      </c>
      <c r="B805" t="s">
        <v>1724</v>
      </c>
      <c r="C805" s="1">
        <v>45878</v>
      </c>
      <c r="D805" s="1">
        <v>45879</v>
      </c>
      <c r="E805" s="1">
        <v>45892</v>
      </c>
      <c r="F805" t="s">
        <v>234</v>
      </c>
      <c r="G805" t="s">
        <v>111</v>
      </c>
      <c r="H805" t="s">
        <v>150</v>
      </c>
      <c r="I805" t="s">
        <v>115</v>
      </c>
      <c r="J805" t="s">
        <v>98</v>
      </c>
      <c r="K805" t="s">
        <v>99</v>
      </c>
      <c r="L805" t="s">
        <v>155</v>
      </c>
      <c r="M805" t="s">
        <v>79</v>
      </c>
      <c r="N805">
        <v>2</v>
      </c>
      <c r="O805" t="s">
        <v>44</v>
      </c>
      <c r="P805" s="48">
        <v>21107.919999999998</v>
      </c>
      <c r="Q805" s="48">
        <v>5665.07</v>
      </c>
      <c r="R805" s="48">
        <v>1102.3599999999999</v>
      </c>
      <c r="S805" s="48">
        <v>233.93</v>
      </c>
      <c r="T805" s="48">
        <v>211.08</v>
      </c>
      <c r="U805" s="48">
        <v>734.33</v>
      </c>
      <c r="V805" s="48">
        <v>2162.77</v>
      </c>
      <c r="W805" s="48">
        <v>10998.38</v>
      </c>
      <c r="X805">
        <v>24</v>
      </c>
      <c r="Y805" t="s">
        <v>117</v>
      </c>
      <c r="Z805">
        <v>47.21</v>
      </c>
      <c r="AA805" t="s">
        <v>91</v>
      </c>
      <c r="AB805" t="s">
        <v>92</v>
      </c>
      <c r="AC805" t="s">
        <v>48</v>
      </c>
      <c r="AD805" t="s">
        <v>49</v>
      </c>
      <c r="AE805" t="s">
        <v>102</v>
      </c>
      <c r="AF805" s="5">
        <f>DATE(YEAR(C805),MONTH(C805),1)</f>
        <v>45870</v>
      </c>
      <c r="AG805">
        <f>E805-D805</f>
        <v>13</v>
      </c>
      <c r="AH805" s="6">
        <f t="shared" si="12"/>
        <v>52.105465626172546</v>
      </c>
    </row>
    <row r="806" spans="1:34">
      <c r="A806" t="s">
        <v>1725</v>
      </c>
      <c r="B806" t="s">
        <v>1726</v>
      </c>
      <c r="C806" s="1">
        <v>45716</v>
      </c>
      <c r="D806" s="1">
        <v>45718</v>
      </c>
      <c r="E806" s="1">
        <v>45730</v>
      </c>
      <c r="F806" t="s">
        <v>234</v>
      </c>
      <c r="G806" t="s">
        <v>111</v>
      </c>
      <c r="H806" t="s">
        <v>150</v>
      </c>
      <c r="I806" t="s">
        <v>56</v>
      </c>
      <c r="J806" t="s">
        <v>57</v>
      </c>
      <c r="K806" t="s">
        <v>58</v>
      </c>
      <c r="L806" t="s">
        <v>100</v>
      </c>
      <c r="M806" t="s">
        <v>68</v>
      </c>
      <c r="N806">
        <v>2</v>
      </c>
      <c r="O806" t="s">
        <v>105</v>
      </c>
      <c r="P806" s="48">
        <v>32454.33</v>
      </c>
      <c r="Q806" s="48">
        <v>5641.19</v>
      </c>
      <c r="R806" s="48">
        <v>1665.77</v>
      </c>
      <c r="S806" s="48">
        <v>354.33</v>
      </c>
      <c r="T806" s="48">
        <v>324.54000000000002</v>
      </c>
      <c r="U806" s="48">
        <v>820.24</v>
      </c>
      <c r="V806" s="48">
        <v>709.06</v>
      </c>
      <c r="W806" s="48">
        <v>22939.200000000001</v>
      </c>
      <c r="X806">
        <v>0</v>
      </c>
      <c r="Y806" t="s">
        <v>45</v>
      </c>
      <c r="Z806">
        <v>47.01</v>
      </c>
      <c r="AA806" t="s">
        <v>46</v>
      </c>
      <c r="AB806" t="s">
        <v>92</v>
      </c>
      <c r="AC806" t="s">
        <v>70</v>
      </c>
      <c r="AD806" t="s">
        <v>49</v>
      </c>
      <c r="AE806" t="s">
        <v>102</v>
      </c>
      <c r="AF806" s="5">
        <f>DATE(YEAR(C806),MONTH(C806),1)</f>
        <v>45689</v>
      </c>
      <c r="AG806">
        <f>E806-D806</f>
        <v>12</v>
      </c>
      <c r="AH806" s="6">
        <f t="shared" si="12"/>
        <v>70.681477633338901</v>
      </c>
    </row>
    <row r="807" spans="1:34">
      <c r="A807" t="s">
        <v>1727</v>
      </c>
      <c r="B807" t="s">
        <v>1728</v>
      </c>
      <c r="C807" s="1">
        <v>45885</v>
      </c>
      <c r="D807" s="1">
        <v>45886</v>
      </c>
      <c r="E807" s="1">
        <v>45910</v>
      </c>
      <c r="F807" t="s">
        <v>153</v>
      </c>
      <c r="G807" t="s">
        <v>75</v>
      </c>
      <c r="H807" t="s">
        <v>154</v>
      </c>
      <c r="I807" t="s">
        <v>86</v>
      </c>
      <c r="J807" t="s">
        <v>87</v>
      </c>
      <c r="K807" t="s">
        <v>88</v>
      </c>
      <c r="L807" t="s">
        <v>78</v>
      </c>
      <c r="M807" t="s">
        <v>79</v>
      </c>
      <c r="N807">
        <v>1</v>
      </c>
      <c r="O807" t="s">
        <v>89</v>
      </c>
      <c r="P807" s="48">
        <v>23576.99</v>
      </c>
      <c r="Q807" s="48">
        <v>5585.4</v>
      </c>
      <c r="R807" s="48">
        <v>1525.39</v>
      </c>
      <c r="S807" s="48">
        <v>643.13</v>
      </c>
      <c r="T807" s="48">
        <v>235.77</v>
      </c>
      <c r="U807" s="48">
        <v>182.25</v>
      </c>
      <c r="V807" s="48">
        <v>1084.6600000000001</v>
      </c>
      <c r="W807" s="48">
        <v>14320.39</v>
      </c>
      <c r="X807">
        <v>0</v>
      </c>
      <c r="Y807" t="s">
        <v>45</v>
      </c>
      <c r="Z807">
        <v>46.54</v>
      </c>
      <c r="AA807" t="s">
        <v>46</v>
      </c>
      <c r="AB807" t="s">
        <v>47</v>
      </c>
      <c r="AC807" t="s">
        <v>48</v>
      </c>
      <c r="AD807" t="s">
        <v>93</v>
      </c>
      <c r="AE807" t="s">
        <v>102</v>
      </c>
      <c r="AF807" s="5">
        <f>DATE(YEAR(C807),MONTH(C807),1)</f>
        <v>45870</v>
      </c>
      <c r="AG807">
        <f>E807-D807</f>
        <v>24</v>
      </c>
      <c r="AH807" s="6">
        <f t="shared" si="12"/>
        <v>60.738839012104592</v>
      </c>
    </row>
    <row r="808" spans="1:34">
      <c r="A808" t="s">
        <v>1729</v>
      </c>
      <c r="B808" t="s">
        <v>1730</v>
      </c>
      <c r="C808" s="1">
        <v>45757</v>
      </c>
      <c r="D808" s="1">
        <v>45760</v>
      </c>
      <c r="E808" s="1">
        <v>45785</v>
      </c>
      <c r="F808" t="s">
        <v>65</v>
      </c>
      <c r="G808" t="s">
        <v>66</v>
      </c>
      <c r="H808" t="s">
        <v>67</v>
      </c>
      <c r="I808" t="s">
        <v>56</v>
      </c>
      <c r="J808" t="s">
        <v>39</v>
      </c>
      <c r="K808" t="s">
        <v>41</v>
      </c>
      <c r="L808" t="s">
        <v>155</v>
      </c>
      <c r="M808" t="s">
        <v>108</v>
      </c>
      <c r="N808">
        <v>1</v>
      </c>
      <c r="O808" t="s">
        <v>80</v>
      </c>
      <c r="P808" s="48">
        <v>20818.48</v>
      </c>
      <c r="Q808" s="48">
        <v>5562.69</v>
      </c>
      <c r="R808" s="48">
        <v>967.04</v>
      </c>
      <c r="S808" s="48">
        <v>602.04999999999995</v>
      </c>
      <c r="T808" s="48">
        <v>208.18</v>
      </c>
      <c r="U808" s="48">
        <v>300.36</v>
      </c>
      <c r="V808" s="48">
        <v>2335.4899999999998</v>
      </c>
      <c r="W808" s="48">
        <v>10842.67</v>
      </c>
      <c r="X808">
        <v>8</v>
      </c>
      <c r="Y808" t="s">
        <v>101</v>
      </c>
      <c r="Z808">
        <v>46.36</v>
      </c>
      <c r="AA808" t="s">
        <v>91</v>
      </c>
      <c r="AB808" t="s">
        <v>92</v>
      </c>
      <c r="AC808" t="s">
        <v>70</v>
      </c>
      <c r="AD808" t="s">
        <v>61</v>
      </c>
      <c r="AE808" t="s">
        <v>71</v>
      </c>
      <c r="AF808" s="5">
        <f>DATE(YEAR(C808),MONTH(C808),1)</f>
        <v>45748</v>
      </c>
      <c r="AG808">
        <f>E808-D808</f>
        <v>25</v>
      </c>
      <c r="AH808" s="6">
        <f t="shared" si="12"/>
        <v>52.081948345892691</v>
      </c>
    </row>
    <row r="809" spans="1:34">
      <c r="A809" t="s">
        <v>1731</v>
      </c>
      <c r="B809" t="s">
        <v>1732</v>
      </c>
      <c r="C809" s="1">
        <v>45901</v>
      </c>
      <c r="D809" s="1">
        <v>45902</v>
      </c>
      <c r="E809" s="1">
        <v>45916</v>
      </c>
      <c r="F809" t="s">
        <v>36</v>
      </c>
      <c r="G809" t="s">
        <v>37</v>
      </c>
      <c r="H809" t="s">
        <v>38</v>
      </c>
      <c r="I809" t="s">
        <v>86</v>
      </c>
      <c r="J809" t="s">
        <v>115</v>
      </c>
      <c r="K809" t="s">
        <v>41</v>
      </c>
      <c r="L809" t="s">
        <v>42</v>
      </c>
      <c r="M809" t="s">
        <v>43</v>
      </c>
      <c r="N809">
        <v>1</v>
      </c>
      <c r="O809" t="s">
        <v>54</v>
      </c>
      <c r="P809" s="48">
        <v>29735.69</v>
      </c>
      <c r="Q809" s="48">
        <v>5549.59</v>
      </c>
      <c r="R809" s="48">
        <v>1885.66</v>
      </c>
      <c r="S809" s="48">
        <v>659.53</v>
      </c>
      <c r="T809" s="48">
        <v>297.36</v>
      </c>
      <c r="U809" s="48">
        <v>348.07</v>
      </c>
      <c r="V809" s="48">
        <v>1644.34</v>
      </c>
      <c r="W809" s="48">
        <v>19351.14</v>
      </c>
      <c r="X809">
        <v>8</v>
      </c>
      <c r="Y809" t="s">
        <v>135</v>
      </c>
      <c r="Z809">
        <v>46.25</v>
      </c>
      <c r="AA809" t="s">
        <v>91</v>
      </c>
      <c r="AB809" t="s">
        <v>47</v>
      </c>
      <c r="AC809" t="s">
        <v>60</v>
      </c>
      <c r="AD809" t="s">
        <v>144</v>
      </c>
      <c r="AE809" t="s">
        <v>50</v>
      </c>
      <c r="AF809" s="5">
        <f>DATE(YEAR(C809),MONTH(C809),1)</f>
        <v>45901</v>
      </c>
      <c r="AG809">
        <f>E809-D809</f>
        <v>14</v>
      </c>
      <c r="AH809" s="6">
        <f t="shared" si="12"/>
        <v>65.077151396184192</v>
      </c>
    </row>
    <row r="810" spans="1:34">
      <c r="A810" t="s">
        <v>1733</v>
      </c>
      <c r="B810" t="s">
        <v>1734</v>
      </c>
      <c r="C810" s="1">
        <v>45908</v>
      </c>
      <c r="D810" s="1">
        <v>45911</v>
      </c>
      <c r="E810" s="1">
        <v>45922</v>
      </c>
      <c r="F810" t="s">
        <v>180</v>
      </c>
      <c r="G810" t="s">
        <v>181</v>
      </c>
      <c r="H810" t="s">
        <v>38</v>
      </c>
      <c r="I810" t="s">
        <v>115</v>
      </c>
      <c r="J810" t="s">
        <v>40</v>
      </c>
      <c r="K810" t="s">
        <v>41</v>
      </c>
      <c r="L810" t="s">
        <v>127</v>
      </c>
      <c r="M810" t="s">
        <v>79</v>
      </c>
      <c r="N810">
        <v>1</v>
      </c>
      <c r="O810" t="s">
        <v>44</v>
      </c>
      <c r="P810" s="48">
        <v>22095.77</v>
      </c>
      <c r="Q810" s="48">
        <v>5542.93</v>
      </c>
      <c r="R810" s="48">
        <v>1120.55</v>
      </c>
      <c r="S810" s="48">
        <v>577.16999999999996</v>
      </c>
      <c r="T810" s="48">
        <v>220.96</v>
      </c>
      <c r="U810" s="48">
        <v>871.47</v>
      </c>
      <c r="V810" s="48">
        <v>2142.35</v>
      </c>
      <c r="W810" s="48">
        <v>11620.34</v>
      </c>
      <c r="X810">
        <v>0</v>
      </c>
      <c r="Y810" t="s">
        <v>45</v>
      </c>
      <c r="Z810">
        <v>46.19</v>
      </c>
      <c r="AA810" t="s">
        <v>46</v>
      </c>
      <c r="AB810" t="s">
        <v>92</v>
      </c>
      <c r="AC810" t="s">
        <v>48</v>
      </c>
      <c r="AD810" t="s">
        <v>49</v>
      </c>
      <c r="AE810" t="s">
        <v>50</v>
      </c>
      <c r="AF810" s="5">
        <f>DATE(YEAR(C810),MONTH(C810),1)</f>
        <v>45901</v>
      </c>
      <c r="AG810">
        <f>E810-D810</f>
        <v>11</v>
      </c>
      <c r="AH810" s="6">
        <f t="shared" si="12"/>
        <v>52.590790001887235</v>
      </c>
    </row>
    <row r="811" spans="1:34">
      <c r="A811" t="s">
        <v>1735</v>
      </c>
      <c r="B811" t="s">
        <v>1736</v>
      </c>
      <c r="C811" s="1">
        <v>45762</v>
      </c>
      <c r="D811" s="1">
        <v>45765</v>
      </c>
      <c r="E811" s="1">
        <v>45791</v>
      </c>
      <c r="F811" t="s">
        <v>74</v>
      </c>
      <c r="G811" t="s">
        <v>75</v>
      </c>
      <c r="H811" t="s">
        <v>76</v>
      </c>
      <c r="I811" t="s">
        <v>86</v>
      </c>
      <c r="J811" t="s">
        <v>87</v>
      </c>
      <c r="K811" t="s">
        <v>88</v>
      </c>
      <c r="L811" t="s">
        <v>124</v>
      </c>
      <c r="M811" t="s">
        <v>68</v>
      </c>
      <c r="N811">
        <v>1</v>
      </c>
      <c r="O811" t="s">
        <v>89</v>
      </c>
      <c r="P811" s="48">
        <v>23527.24</v>
      </c>
      <c r="Q811" s="48">
        <v>5536.14</v>
      </c>
      <c r="R811" s="48">
        <v>1170.17</v>
      </c>
      <c r="S811" s="48">
        <v>347.68</v>
      </c>
      <c r="T811" s="48">
        <v>235.27</v>
      </c>
      <c r="U811" s="48">
        <v>788.11</v>
      </c>
      <c r="V811" s="48">
        <v>1431.94</v>
      </c>
      <c r="W811" s="48">
        <v>14017.93</v>
      </c>
      <c r="X811">
        <v>0</v>
      </c>
      <c r="Y811" t="s">
        <v>45</v>
      </c>
      <c r="Z811">
        <v>46.13</v>
      </c>
      <c r="AA811" t="s">
        <v>46</v>
      </c>
      <c r="AB811" t="s">
        <v>92</v>
      </c>
      <c r="AC811" t="s">
        <v>60</v>
      </c>
      <c r="AD811" t="s">
        <v>144</v>
      </c>
      <c r="AE811" t="s">
        <v>102</v>
      </c>
      <c r="AF811" s="5">
        <f>DATE(YEAR(C811),MONTH(C811),1)</f>
        <v>45748</v>
      </c>
      <c r="AG811">
        <f>E811-D811</f>
        <v>26</v>
      </c>
      <c r="AH811" s="6">
        <f t="shared" si="12"/>
        <v>59.581701891084549</v>
      </c>
    </row>
    <row r="812" spans="1:34">
      <c r="A812" t="s">
        <v>1737</v>
      </c>
      <c r="B812" t="s">
        <v>1738</v>
      </c>
      <c r="C812" s="1">
        <v>45872</v>
      </c>
      <c r="D812" s="1">
        <v>45874</v>
      </c>
      <c r="E812" s="1">
        <v>45899</v>
      </c>
      <c r="F812" t="s">
        <v>234</v>
      </c>
      <c r="G812" t="s">
        <v>111</v>
      </c>
      <c r="H812" t="s">
        <v>150</v>
      </c>
      <c r="I812" t="s">
        <v>115</v>
      </c>
      <c r="J812" t="s">
        <v>98</v>
      </c>
      <c r="K812" t="s">
        <v>99</v>
      </c>
      <c r="L812" t="s">
        <v>59</v>
      </c>
      <c r="M812" t="s">
        <v>68</v>
      </c>
      <c r="N812">
        <v>1</v>
      </c>
      <c r="O812" t="s">
        <v>54</v>
      </c>
      <c r="P812" s="48">
        <v>24286.98</v>
      </c>
      <c r="Q812" s="48">
        <v>5524.66</v>
      </c>
      <c r="R812" s="48">
        <v>1068.28</v>
      </c>
      <c r="S812" s="48">
        <v>353.86</v>
      </c>
      <c r="T812" s="48">
        <v>242.87</v>
      </c>
      <c r="U812" s="48">
        <v>382.18</v>
      </c>
      <c r="V812" s="48">
        <v>364.25</v>
      </c>
      <c r="W812" s="48">
        <v>16350.88</v>
      </c>
      <c r="X812">
        <v>0</v>
      </c>
      <c r="Y812" t="s">
        <v>45</v>
      </c>
      <c r="Z812">
        <v>46.04</v>
      </c>
      <c r="AA812" t="s">
        <v>46</v>
      </c>
      <c r="AB812" t="s">
        <v>92</v>
      </c>
      <c r="AC812" t="s">
        <v>48</v>
      </c>
      <c r="AD812" t="s">
        <v>93</v>
      </c>
      <c r="AE812" t="s">
        <v>102</v>
      </c>
      <c r="AF812" s="5">
        <f>DATE(YEAR(C812),MONTH(C812),1)</f>
        <v>45870</v>
      </c>
      <c r="AG812">
        <f>E812-D812</f>
        <v>25</v>
      </c>
      <c r="AH812" s="6">
        <f t="shared" si="12"/>
        <v>67.323644191249798</v>
      </c>
    </row>
    <row r="813" spans="1:34">
      <c r="A813" t="s">
        <v>1739</v>
      </c>
      <c r="B813" t="s">
        <v>1740</v>
      </c>
      <c r="C813" s="1">
        <v>45832</v>
      </c>
      <c r="D813" s="1">
        <v>45836</v>
      </c>
      <c r="E813" s="1">
        <v>45861</v>
      </c>
      <c r="F813" t="s">
        <v>65</v>
      </c>
      <c r="G813" t="s">
        <v>66</v>
      </c>
      <c r="H813" t="s">
        <v>67</v>
      </c>
      <c r="I813" t="s">
        <v>40</v>
      </c>
      <c r="J813" t="s">
        <v>86</v>
      </c>
      <c r="K813" t="s">
        <v>41</v>
      </c>
      <c r="L813" t="s">
        <v>100</v>
      </c>
      <c r="M813" t="s">
        <v>108</v>
      </c>
      <c r="N813">
        <v>4</v>
      </c>
      <c r="O813" t="s">
        <v>89</v>
      </c>
      <c r="P813" s="48">
        <v>28140.799999999999</v>
      </c>
      <c r="Q813" s="48">
        <v>5504.68</v>
      </c>
      <c r="R813" s="48">
        <v>1736.19</v>
      </c>
      <c r="S813" s="48">
        <v>687.43</v>
      </c>
      <c r="T813" s="48">
        <v>281.41000000000003</v>
      </c>
      <c r="U813" s="48">
        <v>236.89</v>
      </c>
      <c r="V813" s="48">
        <v>2364.11</v>
      </c>
      <c r="W813" s="48">
        <v>17330.09</v>
      </c>
      <c r="X813">
        <v>0</v>
      </c>
      <c r="Y813" t="s">
        <v>45</v>
      </c>
      <c r="Z813">
        <v>45.87</v>
      </c>
      <c r="AA813" t="s">
        <v>46</v>
      </c>
      <c r="AB813" t="s">
        <v>92</v>
      </c>
      <c r="AC813" t="s">
        <v>70</v>
      </c>
      <c r="AD813" t="s">
        <v>49</v>
      </c>
      <c r="AE813" t="s">
        <v>71</v>
      </c>
      <c r="AF813" s="5">
        <f>DATE(YEAR(C813),MONTH(C813),1)</f>
        <v>45809</v>
      </c>
      <c r="AG813">
        <f>E813-D813</f>
        <v>25</v>
      </c>
      <c r="AH813" s="6">
        <f t="shared" si="12"/>
        <v>61.5835015351376</v>
      </c>
    </row>
    <row r="814" spans="1:34">
      <c r="A814" t="s">
        <v>1741</v>
      </c>
      <c r="B814" t="s">
        <v>1742</v>
      </c>
      <c r="C814" s="1">
        <v>45748</v>
      </c>
      <c r="D814" s="1">
        <v>45752</v>
      </c>
      <c r="E814" s="1">
        <v>45780</v>
      </c>
      <c r="F814" t="s">
        <v>83</v>
      </c>
      <c r="G814" t="s">
        <v>84</v>
      </c>
      <c r="H814" t="s">
        <v>85</v>
      </c>
      <c r="I814" t="s">
        <v>57</v>
      </c>
      <c r="J814" t="s">
        <v>98</v>
      </c>
      <c r="K814" t="s">
        <v>99</v>
      </c>
      <c r="L814" t="s">
        <v>100</v>
      </c>
      <c r="M814" t="s">
        <v>108</v>
      </c>
      <c r="N814">
        <v>1</v>
      </c>
      <c r="O814" t="s">
        <v>111</v>
      </c>
      <c r="P814" s="48">
        <v>30284.18</v>
      </c>
      <c r="Q814" s="48">
        <v>5503.75</v>
      </c>
      <c r="R814" s="48">
        <v>1906.47</v>
      </c>
      <c r="S814" s="48">
        <v>735.09</v>
      </c>
      <c r="T814" s="48">
        <v>302.83999999999997</v>
      </c>
      <c r="U814" s="48">
        <v>626.11</v>
      </c>
      <c r="V814" s="48">
        <v>1254.54</v>
      </c>
      <c r="W814" s="48">
        <v>19955.38</v>
      </c>
      <c r="X814">
        <v>0</v>
      </c>
      <c r="Y814" t="s">
        <v>45</v>
      </c>
      <c r="Z814">
        <v>45.86</v>
      </c>
      <c r="AA814" t="s">
        <v>46</v>
      </c>
      <c r="AB814" t="s">
        <v>92</v>
      </c>
      <c r="AC814" t="s">
        <v>60</v>
      </c>
      <c r="AD814" t="s">
        <v>93</v>
      </c>
      <c r="AE814" t="s">
        <v>71</v>
      </c>
      <c r="AF814" s="5">
        <f>DATE(YEAR(C814),MONTH(C814),1)</f>
        <v>45748</v>
      </c>
      <c r="AG814">
        <f>E814-D814</f>
        <v>28</v>
      </c>
      <c r="AH814" s="6">
        <f t="shared" si="12"/>
        <v>65.893743862306991</v>
      </c>
    </row>
    <row r="815" spans="1:34">
      <c r="A815" t="s">
        <v>1743</v>
      </c>
      <c r="B815" t="s">
        <v>1744</v>
      </c>
      <c r="C815" s="1">
        <v>45727</v>
      </c>
      <c r="D815" s="1">
        <v>45730</v>
      </c>
      <c r="E815" s="1">
        <v>45757</v>
      </c>
      <c r="F815" t="s">
        <v>74</v>
      </c>
      <c r="G815" t="s">
        <v>75</v>
      </c>
      <c r="H815" t="s">
        <v>76</v>
      </c>
      <c r="I815" t="s">
        <v>40</v>
      </c>
      <c r="J815" t="s">
        <v>122</v>
      </c>
      <c r="K815" t="s">
        <v>123</v>
      </c>
      <c r="L815" t="s">
        <v>116</v>
      </c>
      <c r="M815" t="s">
        <v>79</v>
      </c>
      <c r="N815">
        <v>2</v>
      </c>
      <c r="O815" t="s">
        <v>44</v>
      </c>
      <c r="P815" s="48">
        <v>29362.94</v>
      </c>
      <c r="Q815" s="48">
        <v>5497.2</v>
      </c>
      <c r="R815" s="48">
        <v>1797.7</v>
      </c>
      <c r="S815" s="48">
        <v>758.55</v>
      </c>
      <c r="T815" s="48">
        <v>293.63</v>
      </c>
      <c r="U815" s="48">
        <v>785.44</v>
      </c>
      <c r="V815" s="48">
        <v>1758.44</v>
      </c>
      <c r="W815" s="48">
        <v>18471.98</v>
      </c>
      <c r="X815">
        <v>0</v>
      </c>
      <c r="Y815" t="s">
        <v>45</v>
      </c>
      <c r="Z815">
        <v>45.81</v>
      </c>
      <c r="AA815" t="s">
        <v>46</v>
      </c>
      <c r="AB815" t="s">
        <v>92</v>
      </c>
      <c r="AC815" t="s">
        <v>70</v>
      </c>
      <c r="AD815" t="s">
        <v>61</v>
      </c>
      <c r="AE815" t="s">
        <v>50</v>
      </c>
      <c r="AF815" s="5">
        <f>DATE(YEAR(C815),MONTH(C815),1)</f>
        <v>45717</v>
      </c>
      <c r="AG815">
        <f>E815-D815</f>
        <v>27</v>
      </c>
      <c r="AH815" s="6">
        <f t="shared" si="12"/>
        <v>62.909163728155292</v>
      </c>
    </row>
    <row r="816" spans="1:34">
      <c r="A816" t="s">
        <v>1745</v>
      </c>
      <c r="B816" t="s">
        <v>1746</v>
      </c>
      <c r="C816" s="1">
        <v>45689</v>
      </c>
      <c r="D816" s="1">
        <v>45693</v>
      </c>
      <c r="E816" s="1">
        <v>45717</v>
      </c>
      <c r="F816" t="s">
        <v>36</v>
      </c>
      <c r="G816" t="s">
        <v>37</v>
      </c>
      <c r="H816" t="s">
        <v>38</v>
      </c>
      <c r="I816" t="s">
        <v>56</v>
      </c>
      <c r="J816" t="s">
        <v>57</v>
      </c>
      <c r="K816" t="s">
        <v>58</v>
      </c>
      <c r="L816" t="s">
        <v>59</v>
      </c>
      <c r="M816" t="s">
        <v>108</v>
      </c>
      <c r="N816">
        <v>2</v>
      </c>
      <c r="O816" t="s">
        <v>80</v>
      </c>
      <c r="P816" s="48">
        <v>33078.11</v>
      </c>
      <c r="Q816" s="48">
        <v>5460</v>
      </c>
      <c r="R816" s="48">
        <v>1404.52</v>
      </c>
      <c r="S816" s="48">
        <v>370.49</v>
      </c>
      <c r="T816" s="48">
        <v>330.78</v>
      </c>
      <c r="U816" s="48">
        <v>246.09</v>
      </c>
      <c r="V816" s="48">
        <v>2036.57</v>
      </c>
      <c r="W816" s="48">
        <v>23229.66</v>
      </c>
      <c r="X816">
        <v>0</v>
      </c>
      <c r="Y816" t="s">
        <v>45</v>
      </c>
      <c r="Z816">
        <v>45.5</v>
      </c>
      <c r="AA816" t="s">
        <v>46</v>
      </c>
      <c r="AB816" t="s">
        <v>92</v>
      </c>
      <c r="AC816" t="s">
        <v>70</v>
      </c>
      <c r="AD816" t="s">
        <v>130</v>
      </c>
      <c r="AE816" t="s">
        <v>71</v>
      </c>
      <c r="AF816" s="5">
        <f>DATE(YEAR(C816),MONTH(C816),1)</f>
        <v>45689</v>
      </c>
      <c r="AG816">
        <f>E816-D816</f>
        <v>24</v>
      </c>
      <c r="AH816" s="6">
        <f t="shared" si="12"/>
        <v>70.226684656408722</v>
      </c>
    </row>
    <row r="817" spans="1:34">
      <c r="A817" t="s">
        <v>1747</v>
      </c>
      <c r="B817" t="s">
        <v>1748</v>
      </c>
      <c r="C817" s="1">
        <v>45926</v>
      </c>
      <c r="D817" s="1">
        <v>45928</v>
      </c>
      <c r="E817" s="1">
        <v>45953</v>
      </c>
      <c r="F817" t="s">
        <v>65</v>
      </c>
      <c r="G817" t="s">
        <v>66</v>
      </c>
      <c r="H817" t="s">
        <v>67</v>
      </c>
      <c r="I817" t="s">
        <v>56</v>
      </c>
      <c r="J817" t="s">
        <v>57</v>
      </c>
      <c r="K817" t="s">
        <v>58</v>
      </c>
      <c r="L817" t="s">
        <v>155</v>
      </c>
      <c r="M817" t="s">
        <v>43</v>
      </c>
      <c r="N817">
        <v>2</v>
      </c>
      <c r="O817" t="s">
        <v>89</v>
      </c>
      <c r="P817" s="48">
        <v>30407.360000000001</v>
      </c>
      <c r="Q817" s="48">
        <v>5458.48</v>
      </c>
      <c r="R817" s="48">
        <v>1299.43</v>
      </c>
      <c r="S817" s="48">
        <v>402.85</v>
      </c>
      <c r="T817" s="48">
        <v>304.07</v>
      </c>
      <c r="U817" s="48">
        <v>847.42</v>
      </c>
      <c r="V817" s="48">
        <v>977.5</v>
      </c>
      <c r="W817" s="48">
        <v>21117.61</v>
      </c>
      <c r="X817">
        <v>4</v>
      </c>
      <c r="Y817" t="s">
        <v>135</v>
      </c>
      <c r="Z817">
        <v>45.49</v>
      </c>
      <c r="AA817" t="s">
        <v>91</v>
      </c>
      <c r="AB817" t="s">
        <v>92</v>
      </c>
      <c r="AC817" t="s">
        <v>70</v>
      </c>
      <c r="AD817" t="s">
        <v>49</v>
      </c>
      <c r="AE817" t="s">
        <v>102</v>
      </c>
      <c r="AF817" s="5">
        <f>DATE(YEAR(C817),MONTH(C817),1)</f>
        <v>45901</v>
      </c>
      <c r="AG817">
        <f>E817-D817</f>
        <v>25</v>
      </c>
      <c r="AH817" s="6">
        <f t="shared" si="12"/>
        <v>69.449008397966807</v>
      </c>
    </row>
    <row r="818" spans="1:34">
      <c r="A818" t="s">
        <v>1749</v>
      </c>
      <c r="B818" t="s">
        <v>1750</v>
      </c>
      <c r="C818" s="1">
        <v>45822</v>
      </c>
      <c r="D818" s="1">
        <v>45824</v>
      </c>
      <c r="E818" s="1">
        <v>45840</v>
      </c>
      <c r="F818" t="s">
        <v>36</v>
      </c>
      <c r="G818" t="s">
        <v>37</v>
      </c>
      <c r="H818" t="s">
        <v>38</v>
      </c>
      <c r="I818" t="s">
        <v>57</v>
      </c>
      <c r="J818" t="s">
        <v>115</v>
      </c>
      <c r="K818" t="s">
        <v>41</v>
      </c>
      <c r="L818" t="s">
        <v>42</v>
      </c>
      <c r="M818" t="s">
        <v>79</v>
      </c>
      <c r="N818">
        <v>1</v>
      </c>
      <c r="O818" t="s">
        <v>105</v>
      </c>
      <c r="P818" s="48">
        <v>22379.7</v>
      </c>
      <c r="Q818" s="48">
        <v>5441.39</v>
      </c>
      <c r="R818" s="48">
        <v>1298.8</v>
      </c>
      <c r="S818" s="48">
        <v>625.1</v>
      </c>
      <c r="T818" s="48">
        <v>223.8</v>
      </c>
      <c r="U818" s="48">
        <v>615.46</v>
      </c>
      <c r="V818" s="48">
        <v>2214.98</v>
      </c>
      <c r="W818" s="48">
        <v>11960.17</v>
      </c>
      <c r="X818">
        <v>12</v>
      </c>
      <c r="Y818" t="s">
        <v>117</v>
      </c>
      <c r="Z818">
        <v>45.34</v>
      </c>
      <c r="AA818" t="s">
        <v>91</v>
      </c>
      <c r="AB818" t="s">
        <v>47</v>
      </c>
      <c r="AC818" t="s">
        <v>48</v>
      </c>
      <c r="AD818" t="s">
        <v>61</v>
      </c>
      <c r="AE818" t="s">
        <v>102</v>
      </c>
      <c r="AF818" s="5">
        <f>DATE(YEAR(C818),MONTH(C818),1)</f>
        <v>45809</v>
      </c>
      <c r="AG818">
        <f>E818-D818</f>
        <v>16</v>
      </c>
      <c r="AH818" s="6">
        <f t="shared" si="12"/>
        <v>53.442047927362744</v>
      </c>
    </row>
    <row r="819" spans="1:34">
      <c r="A819" t="s">
        <v>1751</v>
      </c>
      <c r="B819" t="s">
        <v>1752</v>
      </c>
      <c r="C819" s="1">
        <v>45699</v>
      </c>
      <c r="D819" s="1">
        <v>45702</v>
      </c>
      <c r="E819" s="1">
        <v>45719</v>
      </c>
      <c r="F819" t="s">
        <v>65</v>
      </c>
      <c r="G819" t="s">
        <v>66</v>
      </c>
      <c r="H819" t="s">
        <v>67</v>
      </c>
      <c r="I819" t="s">
        <v>40</v>
      </c>
      <c r="J819" t="s">
        <v>122</v>
      </c>
      <c r="K819" t="s">
        <v>123</v>
      </c>
      <c r="L819" t="s">
        <v>124</v>
      </c>
      <c r="M819" t="s">
        <v>68</v>
      </c>
      <c r="N819">
        <v>1</v>
      </c>
      <c r="O819" t="s">
        <v>80</v>
      </c>
      <c r="P819" s="48">
        <v>29001.81</v>
      </c>
      <c r="Q819" s="48">
        <v>5406.62</v>
      </c>
      <c r="R819" s="48">
        <v>1930.26</v>
      </c>
      <c r="S819" s="48">
        <v>798.05</v>
      </c>
      <c r="T819" s="48">
        <v>290.02</v>
      </c>
      <c r="U819" s="48">
        <v>520.6</v>
      </c>
      <c r="V819" s="48">
        <v>795.63</v>
      </c>
      <c r="W819" s="48">
        <v>19260.63</v>
      </c>
      <c r="X819">
        <v>36</v>
      </c>
      <c r="Y819" t="s">
        <v>135</v>
      </c>
      <c r="Z819">
        <v>45.06</v>
      </c>
      <c r="AA819" t="s">
        <v>91</v>
      </c>
      <c r="AB819" t="s">
        <v>47</v>
      </c>
      <c r="AC819" t="s">
        <v>60</v>
      </c>
      <c r="AD819" t="s">
        <v>93</v>
      </c>
      <c r="AE819" t="s">
        <v>50</v>
      </c>
      <c r="AF819" s="5">
        <f>DATE(YEAR(C819),MONTH(C819),1)</f>
        <v>45689</v>
      </c>
      <c r="AG819">
        <f>E819-D819</f>
        <v>17</v>
      </c>
      <c r="AH819" s="6">
        <f t="shared" si="12"/>
        <v>66.411820503616852</v>
      </c>
    </row>
    <row r="820" spans="1:34">
      <c r="A820" t="s">
        <v>1753</v>
      </c>
      <c r="B820" t="s">
        <v>1754</v>
      </c>
      <c r="C820" s="1">
        <v>45836</v>
      </c>
      <c r="D820" s="1">
        <v>45840</v>
      </c>
      <c r="E820" s="1">
        <v>45863</v>
      </c>
      <c r="F820" t="s">
        <v>120</v>
      </c>
      <c r="G820" t="s">
        <v>75</v>
      </c>
      <c r="H820" t="s">
        <v>121</v>
      </c>
      <c r="I820" t="s">
        <v>86</v>
      </c>
      <c r="J820" t="s">
        <v>87</v>
      </c>
      <c r="K820" t="s">
        <v>88</v>
      </c>
      <c r="L820" t="s">
        <v>124</v>
      </c>
      <c r="M820" t="s">
        <v>79</v>
      </c>
      <c r="N820">
        <v>2</v>
      </c>
      <c r="O820" t="s">
        <v>105</v>
      </c>
      <c r="P820" s="48">
        <v>18690</v>
      </c>
      <c r="Q820" s="48">
        <v>5394.26</v>
      </c>
      <c r="R820" s="48">
        <v>1311.49</v>
      </c>
      <c r="S820" s="48">
        <v>221.44</v>
      </c>
      <c r="T820" s="48">
        <v>186.9</v>
      </c>
      <c r="U820" s="48">
        <v>801.45</v>
      </c>
      <c r="V820" s="48">
        <v>2070.34</v>
      </c>
      <c r="W820" s="48">
        <v>8704.1200000000008</v>
      </c>
      <c r="X820">
        <v>24</v>
      </c>
      <c r="Y820" t="s">
        <v>90</v>
      </c>
      <c r="Z820">
        <v>44.95</v>
      </c>
      <c r="AA820" t="s">
        <v>91</v>
      </c>
      <c r="AB820" t="s">
        <v>92</v>
      </c>
      <c r="AC820" t="s">
        <v>60</v>
      </c>
      <c r="AD820" t="s">
        <v>49</v>
      </c>
      <c r="AE820" t="s">
        <v>71</v>
      </c>
      <c r="AF820" s="5">
        <f>DATE(YEAR(C820),MONTH(C820),1)</f>
        <v>45809</v>
      </c>
      <c r="AG820">
        <f>E820-D820</f>
        <v>23</v>
      </c>
      <c r="AH820" s="6">
        <f t="shared" si="12"/>
        <v>46.571000535045485</v>
      </c>
    </row>
    <row r="821" spans="1:34">
      <c r="A821" t="s">
        <v>1755</v>
      </c>
      <c r="B821" t="s">
        <v>1756</v>
      </c>
      <c r="C821" s="1">
        <v>45979</v>
      </c>
      <c r="D821" s="1">
        <v>45980</v>
      </c>
      <c r="E821" s="1">
        <v>46007</v>
      </c>
      <c r="F821" t="s">
        <v>65</v>
      </c>
      <c r="G821" t="s">
        <v>66</v>
      </c>
      <c r="H821" t="s">
        <v>67</v>
      </c>
      <c r="I821" t="s">
        <v>86</v>
      </c>
      <c r="J821" t="s">
        <v>87</v>
      </c>
      <c r="K821" t="s">
        <v>88</v>
      </c>
      <c r="L821" t="s">
        <v>127</v>
      </c>
      <c r="M821" t="s">
        <v>108</v>
      </c>
      <c r="N821">
        <v>1</v>
      </c>
      <c r="O821" t="s">
        <v>69</v>
      </c>
      <c r="P821" s="48">
        <v>22926.77</v>
      </c>
      <c r="Q821" s="48">
        <v>5392.04</v>
      </c>
      <c r="R821" s="48">
        <v>1660.26</v>
      </c>
      <c r="S821" s="48">
        <v>293.10000000000002</v>
      </c>
      <c r="T821" s="48">
        <v>229.27</v>
      </c>
      <c r="U821" s="48">
        <v>415.57</v>
      </c>
      <c r="V821" s="48">
        <v>2253.9</v>
      </c>
      <c r="W821" s="48">
        <v>12682.63</v>
      </c>
      <c r="X821">
        <v>0</v>
      </c>
      <c r="Y821" t="s">
        <v>45</v>
      </c>
      <c r="Z821">
        <v>44.93</v>
      </c>
      <c r="AA821" t="s">
        <v>46</v>
      </c>
      <c r="AB821" t="s">
        <v>47</v>
      </c>
      <c r="AC821" t="s">
        <v>48</v>
      </c>
      <c r="AD821" t="s">
        <v>130</v>
      </c>
      <c r="AE821" t="s">
        <v>62</v>
      </c>
      <c r="AF821" s="5">
        <f>DATE(YEAR(C821),MONTH(C821),1)</f>
        <v>45962</v>
      </c>
      <c r="AG821">
        <f>E821-D821</f>
        <v>27</v>
      </c>
      <c r="AH821" s="6">
        <f t="shared" si="12"/>
        <v>55.317997258226946</v>
      </c>
    </row>
    <row r="822" spans="1:34">
      <c r="A822" t="s">
        <v>1757</v>
      </c>
      <c r="B822" t="s">
        <v>1758</v>
      </c>
      <c r="C822" s="1">
        <v>45984</v>
      </c>
      <c r="D822" s="1">
        <v>45987</v>
      </c>
      <c r="E822" s="1">
        <v>45997</v>
      </c>
      <c r="F822" t="s">
        <v>65</v>
      </c>
      <c r="G822" t="s">
        <v>66</v>
      </c>
      <c r="H822" t="s">
        <v>67</v>
      </c>
      <c r="I822" t="s">
        <v>56</v>
      </c>
      <c r="J822" t="s">
        <v>57</v>
      </c>
      <c r="K822" t="s">
        <v>58</v>
      </c>
      <c r="L822" t="s">
        <v>42</v>
      </c>
      <c r="M822" t="s">
        <v>68</v>
      </c>
      <c r="N822">
        <v>1</v>
      </c>
      <c r="O822" t="s">
        <v>44</v>
      </c>
      <c r="P822" s="48">
        <v>18163.32</v>
      </c>
      <c r="Q822" s="48">
        <v>5365.23</v>
      </c>
      <c r="R822" s="48">
        <v>777.19</v>
      </c>
      <c r="S822" s="48">
        <v>281.60000000000002</v>
      </c>
      <c r="T822" s="48">
        <v>181.63</v>
      </c>
      <c r="U822" s="48">
        <v>380.69</v>
      </c>
      <c r="V822" s="48">
        <v>551.78</v>
      </c>
      <c r="W822" s="48">
        <v>10625.2</v>
      </c>
      <c r="X822">
        <v>12</v>
      </c>
      <c r="Y822" t="s">
        <v>112</v>
      </c>
      <c r="Z822">
        <v>44.71</v>
      </c>
      <c r="AA822" t="s">
        <v>91</v>
      </c>
      <c r="AB822" t="s">
        <v>47</v>
      </c>
      <c r="AC822" t="s">
        <v>70</v>
      </c>
      <c r="AD822" t="s">
        <v>130</v>
      </c>
      <c r="AE822" t="s">
        <v>50</v>
      </c>
      <c r="AF822" s="5">
        <f>DATE(YEAR(C822),MONTH(C822),1)</f>
        <v>45962</v>
      </c>
      <c r="AG822">
        <f>E822-D822</f>
        <v>10</v>
      </c>
      <c r="AH822" s="6">
        <f t="shared" si="12"/>
        <v>58.498115983201316</v>
      </c>
    </row>
    <row r="823" spans="1:34">
      <c r="A823" t="s">
        <v>1759</v>
      </c>
      <c r="B823" t="s">
        <v>1760</v>
      </c>
      <c r="C823" s="1">
        <v>45659</v>
      </c>
      <c r="D823" s="1">
        <v>45662</v>
      </c>
      <c r="E823" s="1">
        <v>45674</v>
      </c>
      <c r="F823" t="s">
        <v>96</v>
      </c>
      <c r="G823" t="s">
        <v>97</v>
      </c>
      <c r="H823" t="s">
        <v>76</v>
      </c>
      <c r="I823" t="s">
        <v>56</v>
      </c>
      <c r="J823" t="s">
        <v>86</v>
      </c>
      <c r="K823" t="s">
        <v>41</v>
      </c>
      <c r="L823" t="s">
        <v>124</v>
      </c>
      <c r="M823" t="s">
        <v>108</v>
      </c>
      <c r="N823">
        <v>1</v>
      </c>
      <c r="O823" t="s">
        <v>44</v>
      </c>
      <c r="P823" s="48">
        <v>31864.94</v>
      </c>
      <c r="Q823" s="48">
        <v>5361.83</v>
      </c>
      <c r="R823" s="48">
        <v>2128.62</v>
      </c>
      <c r="S823" s="48">
        <v>348.63</v>
      </c>
      <c r="T823" s="48">
        <v>318.64999999999998</v>
      </c>
      <c r="U823" s="48">
        <v>357.09</v>
      </c>
      <c r="V823" s="48">
        <v>989.43</v>
      </c>
      <c r="W823" s="48">
        <v>22360.69</v>
      </c>
      <c r="X823">
        <v>12</v>
      </c>
      <c r="Y823" t="s">
        <v>135</v>
      </c>
      <c r="Z823">
        <v>44.68</v>
      </c>
      <c r="AA823" t="s">
        <v>91</v>
      </c>
      <c r="AB823" t="s">
        <v>47</v>
      </c>
      <c r="AC823" t="s">
        <v>70</v>
      </c>
      <c r="AD823" t="s">
        <v>130</v>
      </c>
      <c r="AE823" t="s">
        <v>71</v>
      </c>
      <c r="AF823" s="5">
        <f>DATE(YEAR(C823),MONTH(C823),1)</f>
        <v>45658</v>
      </c>
      <c r="AG823">
        <f>E823-D823</f>
        <v>12</v>
      </c>
      <c r="AH823" s="6">
        <f t="shared" si="12"/>
        <v>70.17333156754728</v>
      </c>
    </row>
    <row r="824" spans="1:34">
      <c r="A824" t="s">
        <v>1761</v>
      </c>
      <c r="B824" t="s">
        <v>1762</v>
      </c>
      <c r="C824" s="1">
        <v>45870</v>
      </c>
      <c r="D824" s="1">
        <v>45871</v>
      </c>
      <c r="E824" s="1">
        <v>45892</v>
      </c>
      <c r="F824" t="s">
        <v>234</v>
      </c>
      <c r="G824" t="s">
        <v>111</v>
      </c>
      <c r="H824" t="s">
        <v>150</v>
      </c>
      <c r="I824" t="s">
        <v>86</v>
      </c>
      <c r="J824" t="s">
        <v>57</v>
      </c>
      <c r="K824" t="s">
        <v>41</v>
      </c>
      <c r="L824" t="s">
        <v>127</v>
      </c>
      <c r="M824" t="s">
        <v>68</v>
      </c>
      <c r="N824">
        <v>2</v>
      </c>
      <c r="O824" t="s">
        <v>69</v>
      </c>
      <c r="P824" s="48">
        <v>29420.17</v>
      </c>
      <c r="Q824" s="48">
        <v>5299.55</v>
      </c>
      <c r="R824" s="48">
        <v>2129.66</v>
      </c>
      <c r="S824" s="48">
        <v>518.46</v>
      </c>
      <c r="T824" s="48">
        <v>294.2</v>
      </c>
      <c r="U824" s="48">
        <v>881.4</v>
      </c>
      <c r="V824" s="48">
        <v>1321.71</v>
      </c>
      <c r="W824" s="48">
        <v>18975.189999999999</v>
      </c>
      <c r="X824">
        <v>12</v>
      </c>
      <c r="Y824" t="s">
        <v>117</v>
      </c>
      <c r="Z824">
        <v>44.16</v>
      </c>
      <c r="AA824" t="s">
        <v>91</v>
      </c>
      <c r="AB824" t="s">
        <v>92</v>
      </c>
      <c r="AC824" t="s">
        <v>48</v>
      </c>
      <c r="AD824" t="s">
        <v>130</v>
      </c>
      <c r="AE824" t="s">
        <v>71</v>
      </c>
      <c r="AF824" s="5">
        <f>DATE(YEAR(C824),MONTH(C824),1)</f>
        <v>45870</v>
      </c>
      <c r="AG824">
        <f>E824-D824</f>
        <v>21</v>
      </c>
      <c r="AH824" s="6">
        <f t="shared" si="12"/>
        <v>64.497213986187035</v>
      </c>
    </row>
    <row r="825" spans="1:34">
      <c r="A825" t="s">
        <v>1763</v>
      </c>
      <c r="B825" t="s">
        <v>1764</v>
      </c>
      <c r="C825" s="1">
        <v>45995</v>
      </c>
      <c r="D825" s="1">
        <v>45996</v>
      </c>
      <c r="E825" s="1">
        <v>46015</v>
      </c>
      <c r="F825" t="s">
        <v>149</v>
      </c>
      <c r="G825" t="s">
        <v>111</v>
      </c>
      <c r="H825" t="s">
        <v>150</v>
      </c>
      <c r="I825" t="s">
        <v>86</v>
      </c>
      <c r="J825" t="s">
        <v>87</v>
      </c>
      <c r="K825" t="s">
        <v>88</v>
      </c>
      <c r="L825" t="s">
        <v>42</v>
      </c>
      <c r="M825" t="s">
        <v>108</v>
      </c>
      <c r="N825">
        <v>1</v>
      </c>
      <c r="O825" t="s">
        <v>105</v>
      </c>
      <c r="P825" s="48">
        <v>20328.48</v>
      </c>
      <c r="Q825" s="48">
        <v>5294.13</v>
      </c>
      <c r="R825" s="48">
        <v>1331.37</v>
      </c>
      <c r="S825" s="48">
        <v>326.81</v>
      </c>
      <c r="T825" s="48">
        <v>203.28</v>
      </c>
      <c r="U825" s="48">
        <v>590.48</v>
      </c>
      <c r="V825" s="48">
        <v>2067.5</v>
      </c>
      <c r="W825" s="48">
        <v>10514.91</v>
      </c>
      <c r="X825">
        <v>12</v>
      </c>
      <c r="Y825" t="s">
        <v>90</v>
      </c>
      <c r="Z825">
        <v>44.12</v>
      </c>
      <c r="AA825" t="s">
        <v>91</v>
      </c>
      <c r="AB825" t="s">
        <v>47</v>
      </c>
      <c r="AC825" t="s">
        <v>60</v>
      </c>
      <c r="AD825" t="s">
        <v>130</v>
      </c>
      <c r="AE825" t="s">
        <v>62</v>
      </c>
      <c r="AF825" s="5">
        <f>DATE(YEAR(C825),MONTH(C825),1)</f>
        <v>45992</v>
      </c>
      <c r="AG825">
        <f>E825-D825</f>
        <v>19</v>
      </c>
      <c r="AH825" s="6">
        <f t="shared" si="12"/>
        <v>51.725018299449829</v>
      </c>
    </row>
    <row r="826" spans="1:34">
      <c r="A826" t="s">
        <v>1765</v>
      </c>
      <c r="B826" t="s">
        <v>1766</v>
      </c>
      <c r="C826" s="1">
        <v>45673</v>
      </c>
      <c r="D826" s="1">
        <v>45674</v>
      </c>
      <c r="E826" s="1">
        <v>45699</v>
      </c>
      <c r="F826" t="s">
        <v>65</v>
      </c>
      <c r="G826" t="s">
        <v>66</v>
      </c>
      <c r="H826" t="s">
        <v>67</v>
      </c>
      <c r="I826" t="s">
        <v>122</v>
      </c>
      <c r="J826" t="s">
        <v>77</v>
      </c>
      <c r="K826" t="s">
        <v>41</v>
      </c>
      <c r="L826" t="s">
        <v>127</v>
      </c>
      <c r="M826" t="s">
        <v>68</v>
      </c>
      <c r="N826">
        <v>1</v>
      </c>
      <c r="O826" t="s">
        <v>69</v>
      </c>
      <c r="P826" s="48">
        <v>27307.69</v>
      </c>
      <c r="Q826" s="48">
        <v>5289.99</v>
      </c>
      <c r="R826" s="48">
        <v>1556.74</v>
      </c>
      <c r="S826" s="48">
        <v>694.9</v>
      </c>
      <c r="T826" s="48">
        <v>273.08</v>
      </c>
      <c r="U826" s="48">
        <v>300.07</v>
      </c>
      <c r="V826" s="48">
        <v>2088.5700000000002</v>
      </c>
      <c r="W826" s="48">
        <v>17104.34</v>
      </c>
      <c r="X826">
        <v>8</v>
      </c>
      <c r="Y826" t="s">
        <v>90</v>
      </c>
      <c r="Z826">
        <v>44.08</v>
      </c>
      <c r="AA826" t="s">
        <v>91</v>
      </c>
      <c r="AB826" t="s">
        <v>47</v>
      </c>
      <c r="AC826" t="s">
        <v>70</v>
      </c>
      <c r="AD826" t="s">
        <v>49</v>
      </c>
      <c r="AE826" t="s">
        <v>102</v>
      </c>
      <c r="AF826" s="5">
        <f>DATE(YEAR(C826),MONTH(C826),1)</f>
        <v>45658</v>
      </c>
      <c r="AG826">
        <f>E826-D826</f>
        <v>25</v>
      </c>
      <c r="AH826" s="6">
        <f t="shared" si="12"/>
        <v>62.635616560756333</v>
      </c>
    </row>
    <row r="827" spans="1:34">
      <c r="A827" t="s">
        <v>1767</v>
      </c>
      <c r="B827" t="s">
        <v>1768</v>
      </c>
      <c r="C827" s="1">
        <v>45794</v>
      </c>
      <c r="D827" s="1">
        <v>45796</v>
      </c>
      <c r="E827" s="1">
        <v>45821</v>
      </c>
      <c r="F827" t="s">
        <v>83</v>
      </c>
      <c r="G827" t="s">
        <v>84</v>
      </c>
      <c r="H827" t="s">
        <v>85</v>
      </c>
      <c r="I827" t="s">
        <v>56</v>
      </c>
      <c r="J827" t="s">
        <v>57</v>
      </c>
      <c r="K827" t="s">
        <v>58</v>
      </c>
      <c r="L827" t="s">
        <v>124</v>
      </c>
      <c r="M827" t="s">
        <v>43</v>
      </c>
      <c r="N827">
        <v>1</v>
      </c>
      <c r="O827" t="s">
        <v>69</v>
      </c>
      <c r="P827" s="48">
        <v>25811.18</v>
      </c>
      <c r="Q827" s="48">
        <v>5286.35</v>
      </c>
      <c r="R827" s="48">
        <v>1789.56</v>
      </c>
      <c r="S827" s="48">
        <v>264.11</v>
      </c>
      <c r="T827" s="48">
        <v>258.11</v>
      </c>
      <c r="U827" s="48">
        <v>683.25</v>
      </c>
      <c r="V827" s="48">
        <v>1564.6</v>
      </c>
      <c r="W827" s="48">
        <v>15965.2</v>
      </c>
      <c r="X827">
        <v>8</v>
      </c>
      <c r="Y827" t="s">
        <v>90</v>
      </c>
      <c r="Z827">
        <v>44.05</v>
      </c>
      <c r="AA827" t="s">
        <v>91</v>
      </c>
      <c r="AB827" t="s">
        <v>92</v>
      </c>
      <c r="AC827" t="s">
        <v>70</v>
      </c>
      <c r="AD827" t="s">
        <v>93</v>
      </c>
      <c r="AE827" t="s">
        <v>62</v>
      </c>
      <c r="AF827" s="5">
        <f>DATE(YEAR(C827),MONTH(C827),1)</f>
        <v>45778</v>
      </c>
      <c r="AG827">
        <f>E827-D827</f>
        <v>25</v>
      </c>
      <c r="AH827" s="6">
        <f t="shared" si="12"/>
        <v>61.853816834410516</v>
      </c>
    </row>
    <row r="828" spans="1:34">
      <c r="A828" t="s">
        <v>1769</v>
      </c>
      <c r="B828" t="s">
        <v>1770</v>
      </c>
      <c r="C828" s="1">
        <v>45738</v>
      </c>
      <c r="D828" s="1">
        <v>45739</v>
      </c>
      <c r="E828" s="1">
        <v>45751</v>
      </c>
      <c r="F828" t="s">
        <v>153</v>
      </c>
      <c r="G828" t="s">
        <v>75</v>
      </c>
      <c r="H828" t="s">
        <v>154</v>
      </c>
      <c r="I828" t="s">
        <v>115</v>
      </c>
      <c r="J828" t="s">
        <v>98</v>
      </c>
      <c r="K828" t="s">
        <v>99</v>
      </c>
      <c r="L828" t="s">
        <v>155</v>
      </c>
      <c r="M828" t="s">
        <v>79</v>
      </c>
      <c r="N828">
        <v>2</v>
      </c>
      <c r="O828" t="s">
        <v>89</v>
      </c>
      <c r="P828" s="48">
        <v>20905.66</v>
      </c>
      <c r="Q828" s="48">
        <v>5275.86</v>
      </c>
      <c r="R828" s="48">
        <v>1588.5</v>
      </c>
      <c r="S828" s="48">
        <v>397.39</v>
      </c>
      <c r="T828" s="48">
        <v>209.06</v>
      </c>
      <c r="U828" s="48">
        <v>114.88</v>
      </c>
      <c r="V828" s="48">
        <v>1294.3399999999999</v>
      </c>
      <c r="W828" s="48">
        <v>12025.63</v>
      </c>
      <c r="X828">
        <v>8</v>
      </c>
      <c r="Y828" t="s">
        <v>90</v>
      </c>
      <c r="Z828">
        <v>43.97</v>
      </c>
      <c r="AA828" t="s">
        <v>91</v>
      </c>
      <c r="AB828" t="s">
        <v>92</v>
      </c>
      <c r="AC828" t="s">
        <v>60</v>
      </c>
      <c r="AD828" t="s">
        <v>61</v>
      </c>
      <c r="AE828" t="s">
        <v>71</v>
      </c>
      <c r="AF828" s="5">
        <f>DATE(YEAR(C828),MONTH(C828),1)</f>
        <v>45717</v>
      </c>
      <c r="AG828">
        <f>E828-D828</f>
        <v>12</v>
      </c>
      <c r="AH828" s="6">
        <f t="shared" si="12"/>
        <v>57.523321435439016</v>
      </c>
    </row>
    <row r="829" spans="1:34">
      <c r="A829" t="s">
        <v>1771</v>
      </c>
      <c r="B829" t="s">
        <v>1772</v>
      </c>
      <c r="C829" s="1">
        <v>45838</v>
      </c>
      <c r="D829" s="1">
        <v>45839</v>
      </c>
      <c r="E829" s="1">
        <v>45865</v>
      </c>
      <c r="F829" t="s">
        <v>138</v>
      </c>
      <c r="G829" t="s">
        <v>139</v>
      </c>
      <c r="H829" t="s">
        <v>76</v>
      </c>
      <c r="I829" t="s">
        <v>56</v>
      </c>
      <c r="J829" t="s">
        <v>57</v>
      </c>
      <c r="K829" t="s">
        <v>58</v>
      </c>
      <c r="L829" t="s">
        <v>127</v>
      </c>
      <c r="M829" t="s">
        <v>79</v>
      </c>
      <c r="N829">
        <v>4</v>
      </c>
      <c r="O829" t="s">
        <v>111</v>
      </c>
      <c r="P829" s="48">
        <v>26042.13</v>
      </c>
      <c r="Q829" s="48">
        <v>5266.96</v>
      </c>
      <c r="R829" s="48">
        <v>1240.3399999999999</v>
      </c>
      <c r="S829" s="48">
        <v>725.8</v>
      </c>
      <c r="T829" s="48">
        <v>260.42</v>
      </c>
      <c r="U829" s="48">
        <v>229.73</v>
      </c>
      <c r="V829" s="48">
        <v>1064.3399999999999</v>
      </c>
      <c r="W829" s="48">
        <v>17254.54</v>
      </c>
      <c r="X829">
        <v>24</v>
      </c>
      <c r="Y829" t="s">
        <v>90</v>
      </c>
      <c r="Z829">
        <v>43.89</v>
      </c>
      <c r="AA829" t="s">
        <v>91</v>
      </c>
      <c r="AB829" t="s">
        <v>47</v>
      </c>
      <c r="AC829" t="s">
        <v>48</v>
      </c>
      <c r="AD829" t="s">
        <v>93</v>
      </c>
      <c r="AE829" t="s">
        <v>102</v>
      </c>
      <c r="AF829" s="5">
        <f>DATE(YEAR(C829),MONTH(C829),1)</f>
        <v>45809</v>
      </c>
      <c r="AG829">
        <f>E829-D829</f>
        <v>26</v>
      </c>
      <c r="AH829" s="6">
        <f t="shared" si="12"/>
        <v>66.256254768715152</v>
      </c>
    </row>
    <row r="830" spans="1:34">
      <c r="A830" t="s">
        <v>1773</v>
      </c>
      <c r="B830" t="s">
        <v>1774</v>
      </c>
      <c r="C830" s="1">
        <v>45814</v>
      </c>
      <c r="D830" s="1">
        <v>45818</v>
      </c>
      <c r="E830" s="1">
        <v>45837</v>
      </c>
      <c r="F830" t="s">
        <v>74</v>
      </c>
      <c r="G830" t="s">
        <v>75</v>
      </c>
      <c r="H830" t="s">
        <v>76</v>
      </c>
      <c r="I830" t="s">
        <v>56</v>
      </c>
      <c r="J830" t="s">
        <v>57</v>
      </c>
      <c r="K830" t="s">
        <v>58</v>
      </c>
      <c r="L830" t="s">
        <v>124</v>
      </c>
      <c r="M830" t="s">
        <v>108</v>
      </c>
      <c r="N830">
        <v>1</v>
      </c>
      <c r="O830" t="s">
        <v>80</v>
      </c>
      <c r="P830" s="48">
        <v>19791.740000000002</v>
      </c>
      <c r="Q830" s="48">
        <v>5227.28</v>
      </c>
      <c r="R830" s="48">
        <v>1231.3499999999999</v>
      </c>
      <c r="S830" s="48">
        <v>207.59</v>
      </c>
      <c r="T830" s="48">
        <v>197.92</v>
      </c>
      <c r="U830" s="48">
        <v>861.55</v>
      </c>
      <c r="V830" s="48">
        <v>2026.18</v>
      </c>
      <c r="W830" s="48">
        <v>10039.870000000001</v>
      </c>
      <c r="X830">
        <v>8</v>
      </c>
      <c r="Y830" t="s">
        <v>101</v>
      </c>
      <c r="Z830">
        <v>43.56</v>
      </c>
      <c r="AA830" t="s">
        <v>91</v>
      </c>
      <c r="AB830" t="s">
        <v>47</v>
      </c>
      <c r="AC830" t="s">
        <v>70</v>
      </c>
      <c r="AD830" t="s">
        <v>144</v>
      </c>
      <c r="AE830" t="s">
        <v>71</v>
      </c>
      <c r="AF830" s="5">
        <f>DATE(YEAR(C830),MONTH(C830),1)</f>
        <v>45809</v>
      </c>
      <c r="AG830">
        <f>E830-D830</f>
        <v>19</v>
      </c>
      <c r="AH830" s="6">
        <f t="shared" si="12"/>
        <v>50.727576251506946</v>
      </c>
    </row>
    <row r="831" spans="1:34">
      <c r="A831" t="s">
        <v>1775</v>
      </c>
      <c r="B831" t="s">
        <v>1776</v>
      </c>
      <c r="C831" s="1">
        <v>45913</v>
      </c>
      <c r="D831" s="1">
        <v>45917</v>
      </c>
      <c r="E831" s="1">
        <v>45942</v>
      </c>
      <c r="F831" t="s">
        <v>74</v>
      </c>
      <c r="G831" t="s">
        <v>75</v>
      </c>
      <c r="H831" t="s">
        <v>76</v>
      </c>
      <c r="I831" t="s">
        <v>87</v>
      </c>
      <c r="J831" t="s">
        <v>86</v>
      </c>
      <c r="K831" t="s">
        <v>41</v>
      </c>
      <c r="L831" t="s">
        <v>127</v>
      </c>
      <c r="M831" t="s">
        <v>108</v>
      </c>
      <c r="N831">
        <v>1</v>
      </c>
      <c r="O831" t="s">
        <v>80</v>
      </c>
      <c r="P831" s="48">
        <v>32148.84</v>
      </c>
      <c r="Q831" s="48">
        <v>5212.12</v>
      </c>
      <c r="R831" s="48">
        <v>1802.8</v>
      </c>
      <c r="S831" s="48">
        <v>591.07000000000005</v>
      </c>
      <c r="T831" s="48">
        <v>321.49</v>
      </c>
      <c r="U831" s="48">
        <v>609.66999999999996</v>
      </c>
      <c r="V831" s="48">
        <v>2484.38</v>
      </c>
      <c r="W831" s="48">
        <v>21127.31</v>
      </c>
      <c r="X831">
        <v>8</v>
      </c>
      <c r="Y831" t="s">
        <v>112</v>
      </c>
      <c r="Z831">
        <v>43.43</v>
      </c>
      <c r="AA831" t="s">
        <v>91</v>
      </c>
      <c r="AB831" t="s">
        <v>92</v>
      </c>
      <c r="AC831" t="s">
        <v>48</v>
      </c>
      <c r="AD831" t="s">
        <v>144</v>
      </c>
      <c r="AE831" t="s">
        <v>62</v>
      </c>
      <c r="AF831" s="5">
        <f>DATE(YEAR(C831),MONTH(C831),1)</f>
        <v>45901</v>
      </c>
      <c r="AG831">
        <f>E831-D831</f>
        <v>25</v>
      </c>
      <c r="AH831" s="6">
        <f t="shared" si="12"/>
        <v>65.717176731726553</v>
      </c>
    </row>
    <row r="832" spans="1:34">
      <c r="A832" t="s">
        <v>1777</v>
      </c>
      <c r="B832" t="s">
        <v>1778</v>
      </c>
      <c r="C832" s="1">
        <v>45882</v>
      </c>
      <c r="D832" s="1">
        <v>45883</v>
      </c>
      <c r="E832" s="1">
        <v>45899</v>
      </c>
      <c r="F832" t="s">
        <v>36</v>
      </c>
      <c r="G832" t="s">
        <v>37</v>
      </c>
      <c r="H832" t="s">
        <v>38</v>
      </c>
      <c r="I832" t="s">
        <v>115</v>
      </c>
      <c r="J832" t="s">
        <v>122</v>
      </c>
      <c r="K832" t="s">
        <v>41</v>
      </c>
      <c r="L832" t="s">
        <v>124</v>
      </c>
      <c r="M832" t="s">
        <v>68</v>
      </c>
      <c r="N832">
        <v>4</v>
      </c>
      <c r="O832" t="s">
        <v>54</v>
      </c>
      <c r="P832" s="48">
        <v>24755</v>
      </c>
      <c r="Q832" s="48">
        <v>5210.1000000000004</v>
      </c>
      <c r="R832" s="48">
        <v>1004.35</v>
      </c>
      <c r="S832" s="48">
        <v>712.95</v>
      </c>
      <c r="T832" s="48">
        <v>247.55</v>
      </c>
      <c r="U832" s="48">
        <v>152.75</v>
      </c>
      <c r="V832" s="48">
        <v>1972.75</v>
      </c>
      <c r="W832" s="48">
        <v>15454.55</v>
      </c>
      <c r="X832">
        <v>48</v>
      </c>
      <c r="Y832" t="s">
        <v>135</v>
      </c>
      <c r="Z832">
        <v>43.42</v>
      </c>
      <c r="AA832" t="s">
        <v>91</v>
      </c>
      <c r="AB832" t="s">
        <v>92</v>
      </c>
      <c r="AC832" t="s">
        <v>60</v>
      </c>
      <c r="AD832" t="s">
        <v>130</v>
      </c>
      <c r="AE832" t="s">
        <v>50</v>
      </c>
      <c r="AF832" s="5">
        <f>DATE(YEAR(C832),MONTH(C832),1)</f>
        <v>45870</v>
      </c>
      <c r="AG832">
        <f>E832-D832</f>
        <v>16</v>
      </c>
      <c r="AH832" s="6">
        <f t="shared" si="12"/>
        <v>62.430014138557866</v>
      </c>
    </row>
    <row r="833" spans="1:34">
      <c r="A833" t="s">
        <v>1779</v>
      </c>
      <c r="B833" t="s">
        <v>1780</v>
      </c>
      <c r="C833" s="1">
        <v>45936</v>
      </c>
      <c r="D833" s="1">
        <v>45937</v>
      </c>
      <c r="E833" s="1">
        <v>45966</v>
      </c>
      <c r="F833" t="s">
        <v>234</v>
      </c>
      <c r="G833" t="s">
        <v>111</v>
      </c>
      <c r="H833" t="s">
        <v>150</v>
      </c>
      <c r="I833" t="s">
        <v>115</v>
      </c>
      <c r="J833" t="s">
        <v>98</v>
      </c>
      <c r="K833" t="s">
        <v>99</v>
      </c>
      <c r="L833" t="s">
        <v>155</v>
      </c>
      <c r="M833" t="s">
        <v>68</v>
      </c>
      <c r="N833">
        <v>2</v>
      </c>
      <c r="O833" t="s">
        <v>111</v>
      </c>
      <c r="P833" s="48">
        <v>21915.17</v>
      </c>
      <c r="Q833" s="48">
        <v>5197.57</v>
      </c>
      <c r="R833" s="48">
        <v>1024.18</v>
      </c>
      <c r="S833" s="48">
        <v>401.22</v>
      </c>
      <c r="T833" s="48">
        <v>219.15</v>
      </c>
      <c r="U833" s="48">
        <v>166.79</v>
      </c>
      <c r="V833" s="48">
        <v>1382.72</v>
      </c>
      <c r="W833" s="48">
        <v>13523.54</v>
      </c>
      <c r="X833">
        <v>24</v>
      </c>
      <c r="Y833" t="s">
        <v>101</v>
      </c>
      <c r="Z833">
        <v>43.31</v>
      </c>
      <c r="AA833" t="s">
        <v>91</v>
      </c>
      <c r="AB833" t="s">
        <v>47</v>
      </c>
      <c r="AC833" t="s">
        <v>48</v>
      </c>
      <c r="AD833" t="s">
        <v>130</v>
      </c>
      <c r="AE833" t="s">
        <v>50</v>
      </c>
      <c r="AF833" s="5">
        <f>DATE(YEAR(C833),MONTH(C833),1)</f>
        <v>45931</v>
      </c>
      <c r="AG833">
        <f>E833-D833</f>
        <v>29</v>
      </c>
      <c r="AH833" s="6">
        <f t="shared" si="12"/>
        <v>61.708579034522671</v>
      </c>
    </row>
    <row r="834" spans="1:34">
      <c r="A834" t="s">
        <v>1781</v>
      </c>
      <c r="B834" t="s">
        <v>1782</v>
      </c>
      <c r="C834" s="1">
        <v>45986</v>
      </c>
      <c r="D834" s="1">
        <v>45989</v>
      </c>
      <c r="E834" s="1">
        <v>46013</v>
      </c>
      <c r="F834" t="s">
        <v>36</v>
      </c>
      <c r="G834" t="s">
        <v>37</v>
      </c>
      <c r="H834" t="s">
        <v>38</v>
      </c>
      <c r="I834" t="s">
        <v>115</v>
      </c>
      <c r="J834" t="s">
        <v>86</v>
      </c>
      <c r="K834" t="s">
        <v>41</v>
      </c>
      <c r="L834" t="s">
        <v>42</v>
      </c>
      <c r="M834" t="s">
        <v>43</v>
      </c>
      <c r="N834">
        <v>1</v>
      </c>
      <c r="O834" t="s">
        <v>111</v>
      </c>
      <c r="P834" s="48">
        <v>30175.15</v>
      </c>
      <c r="Q834" s="48">
        <v>5196.0200000000004</v>
      </c>
      <c r="R834" s="48">
        <v>2314.39</v>
      </c>
      <c r="S834" s="48">
        <v>681.07</v>
      </c>
      <c r="T834" s="48">
        <v>301.75</v>
      </c>
      <c r="U834" s="48">
        <v>402.65</v>
      </c>
      <c r="V834" s="48">
        <v>2127.35</v>
      </c>
      <c r="W834" s="48">
        <v>19151.919999999998</v>
      </c>
      <c r="X834">
        <v>0</v>
      </c>
      <c r="Y834" t="s">
        <v>45</v>
      </c>
      <c r="Z834">
        <v>43.3</v>
      </c>
      <c r="AA834" t="s">
        <v>46</v>
      </c>
      <c r="AB834" t="s">
        <v>47</v>
      </c>
      <c r="AC834" t="s">
        <v>60</v>
      </c>
      <c r="AD834" t="s">
        <v>61</v>
      </c>
      <c r="AE834" t="s">
        <v>62</v>
      </c>
      <c r="AF834" s="5">
        <f>DATE(YEAR(C834),MONTH(C834),1)</f>
        <v>45962</v>
      </c>
      <c r="AG834">
        <f>E834-D834</f>
        <v>24</v>
      </c>
      <c r="AH834" s="6">
        <f t="shared" si="12"/>
        <v>63.469179109300185</v>
      </c>
    </row>
    <row r="835" spans="1:34">
      <c r="A835" t="s">
        <v>1783</v>
      </c>
      <c r="B835" t="s">
        <v>1784</v>
      </c>
      <c r="C835" s="1">
        <v>45735</v>
      </c>
      <c r="D835" s="1">
        <v>45739</v>
      </c>
      <c r="E835" s="1">
        <v>45760</v>
      </c>
      <c r="F835" t="s">
        <v>138</v>
      </c>
      <c r="G835" t="s">
        <v>139</v>
      </c>
      <c r="H835" t="s">
        <v>76</v>
      </c>
      <c r="I835" t="s">
        <v>98</v>
      </c>
      <c r="J835" t="s">
        <v>115</v>
      </c>
      <c r="K835" t="s">
        <v>41</v>
      </c>
      <c r="L835" t="s">
        <v>78</v>
      </c>
      <c r="M835" t="s">
        <v>68</v>
      </c>
      <c r="N835">
        <v>2</v>
      </c>
      <c r="O835" t="s">
        <v>80</v>
      </c>
      <c r="P835" s="48">
        <v>20948.669999999998</v>
      </c>
      <c r="Q835" s="48">
        <v>5178.97</v>
      </c>
      <c r="R835" s="48">
        <v>999.8</v>
      </c>
      <c r="S835" s="48">
        <v>475.7</v>
      </c>
      <c r="T835" s="48">
        <v>209.49</v>
      </c>
      <c r="U835" s="48">
        <v>196.16</v>
      </c>
      <c r="V835" s="48">
        <v>1908.31</v>
      </c>
      <c r="W835" s="48">
        <v>11980.24</v>
      </c>
      <c r="X835">
        <v>0</v>
      </c>
      <c r="Y835" t="s">
        <v>45</v>
      </c>
      <c r="Z835">
        <v>43.16</v>
      </c>
      <c r="AA835" t="s">
        <v>46</v>
      </c>
      <c r="AB835" t="s">
        <v>92</v>
      </c>
      <c r="AC835" t="s">
        <v>48</v>
      </c>
      <c r="AD835" t="s">
        <v>61</v>
      </c>
      <c r="AE835" t="s">
        <v>71</v>
      </c>
      <c r="AF835" s="5">
        <f>DATE(YEAR(C835),MONTH(C835),1)</f>
        <v>45717</v>
      </c>
      <c r="AG835">
        <f>E835-D835</f>
        <v>21</v>
      </c>
      <c r="AH835" s="6">
        <f t="shared" ref="AH835:AH898" si="13">W835/P835*100</f>
        <v>57.188547053345154</v>
      </c>
    </row>
    <row r="836" spans="1:34">
      <c r="A836" t="s">
        <v>1785</v>
      </c>
      <c r="B836" t="s">
        <v>1786</v>
      </c>
      <c r="C836" s="1">
        <v>45975</v>
      </c>
      <c r="D836" s="1">
        <v>45979</v>
      </c>
      <c r="E836" s="1">
        <v>45998</v>
      </c>
      <c r="F836" t="s">
        <v>234</v>
      </c>
      <c r="G836" t="s">
        <v>111</v>
      </c>
      <c r="H836" t="s">
        <v>150</v>
      </c>
      <c r="I836" t="s">
        <v>40</v>
      </c>
      <c r="J836" t="s">
        <v>122</v>
      </c>
      <c r="K836" t="s">
        <v>41</v>
      </c>
      <c r="L836" t="s">
        <v>127</v>
      </c>
      <c r="M836" t="s">
        <v>43</v>
      </c>
      <c r="N836">
        <v>1</v>
      </c>
      <c r="O836" t="s">
        <v>89</v>
      </c>
      <c r="P836" s="48">
        <v>31445.63</v>
      </c>
      <c r="Q836" s="48">
        <v>5168.79</v>
      </c>
      <c r="R836" s="48">
        <v>1920.33</v>
      </c>
      <c r="S836" s="48">
        <v>694.85</v>
      </c>
      <c r="T836" s="48">
        <v>314.45999999999998</v>
      </c>
      <c r="U836" s="48">
        <v>152.6</v>
      </c>
      <c r="V836" s="48">
        <v>1358.82</v>
      </c>
      <c r="W836" s="48">
        <v>21835.78</v>
      </c>
      <c r="X836">
        <v>36</v>
      </c>
      <c r="Y836" t="s">
        <v>112</v>
      </c>
      <c r="Z836">
        <v>43.07</v>
      </c>
      <c r="AA836" t="s">
        <v>91</v>
      </c>
      <c r="AB836" t="s">
        <v>92</v>
      </c>
      <c r="AC836" t="s">
        <v>60</v>
      </c>
      <c r="AD836" t="s">
        <v>93</v>
      </c>
      <c r="AE836" t="s">
        <v>50</v>
      </c>
      <c r="AF836" s="5">
        <f>DATE(YEAR(C836),MONTH(C836),1)</f>
        <v>45962</v>
      </c>
      <c r="AG836">
        <f>E836-D836</f>
        <v>19</v>
      </c>
      <c r="AH836" s="6">
        <f t="shared" si="13"/>
        <v>69.439791793009078</v>
      </c>
    </row>
    <row r="837" spans="1:34">
      <c r="A837" t="s">
        <v>1787</v>
      </c>
      <c r="B837" t="s">
        <v>1788</v>
      </c>
      <c r="C837" s="1">
        <v>45776</v>
      </c>
      <c r="D837" s="1">
        <v>45779</v>
      </c>
      <c r="E837" s="1">
        <v>45790</v>
      </c>
      <c r="F837" t="s">
        <v>120</v>
      </c>
      <c r="G837" t="s">
        <v>75</v>
      </c>
      <c r="H837" t="s">
        <v>121</v>
      </c>
      <c r="I837" t="s">
        <v>86</v>
      </c>
      <c r="J837" t="s">
        <v>87</v>
      </c>
      <c r="K837" t="s">
        <v>88</v>
      </c>
      <c r="L837" t="s">
        <v>155</v>
      </c>
      <c r="M837" t="s">
        <v>79</v>
      </c>
      <c r="N837">
        <v>1</v>
      </c>
      <c r="O837" t="s">
        <v>111</v>
      </c>
      <c r="P837" s="48">
        <v>28861.42</v>
      </c>
      <c r="Q837" s="48">
        <v>5151.3</v>
      </c>
      <c r="R837" s="48">
        <v>1841.37</v>
      </c>
      <c r="S837" s="48">
        <v>792.88</v>
      </c>
      <c r="T837" s="48">
        <v>288.61</v>
      </c>
      <c r="U837" s="48">
        <v>793.91</v>
      </c>
      <c r="V837" s="48">
        <v>2446.94</v>
      </c>
      <c r="W837" s="48">
        <v>17546.41</v>
      </c>
      <c r="X837">
        <v>0</v>
      </c>
      <c r="Y837" t="s">
        <v>45</v>
      </c>
      <c r="Z837">
        <v>42.93</v>
      </c>
      <c r="AA837" t="s">
        <v>46</v>
      </c>
      <c r="AB837" t="s">
        <v>92</v>
      </c>
      <c r="AC837" t="s">
        <v>48</v>
      </c>
      <c r="AD837" t="s">
        <v>49</v>
      </c>
      <c r="AE837" t="s">
        <v>71</v>
      </c>
      <c r="AF837" s="5">
        <f>DATE(YEAR(C837),MONTH(C837),1)</f>
        <v>45748</v>
      </c>
      <c r="AG837">
        <f>E837-D837</f>
        <v>11</v>
      </c>
      <c r="AH837" s="6">
        <f t="shared" si="13"/>
        <v>60.795380130291591</v>
      </c>
    </row>
    <row r="838" spans="1:34">
      <c r="A838" t="s">
        <v>1789</v>
      </c>
      <c r="B838" t="s">
        <v>1790</v>
      </c>
      <c r="C838" s="1">
        <v>45882</v>
      </c>
      <c r="D838" s="1">
        <v>45886</v>
      </c>
      <c r="E838" s="1">
        <v>45902</v>
      </c>
      <c r="F838" t="s">
        <v>36</v>
      </c>
      <c r="G838" t="s">
        <v>37</v>
      </c>
      <c r="H838" t="s">
        <v>38</v>
      </c>
      <c r="I838" t="s">
        <v>56</v>
      </c>
      <c r="J838" t="s">
        <v>57</v>
      </c>
      <c r="K838" t="s">
        <v>58</v>
      </c>
      <c r="L838" t="s">
        <v>155</v>
      </c>
      <c r="M838" t="s">
        <v>43</v>
      </c>
      <c r="N838">
        <v>1</v>
      </c>
      <c r="O838" t="s">
        <v>80</v>
      </c>
      <c r="P838" s="48">
        <v>19160.18</v>
      </c>
      <c r="Q838" s="48">
        <v>5099.66</v>
      </c>
      <c r="R838" s="48">
        <v>1406.94</v>
      </c>
      <c r="S838" s="48">
        <v>295.10000000000002</v>
      </c>
      <c r="T838" s="48">
        <v>191.6</v>
      </c>
      <c r="U838" s="48">
        <v>783.72</v>
      </c>
      <c r="V838" s="48">
        <v>1369.81</v>
      </c>
      <c r="W838" s="48">
        <v>10013.35</v>
      </c>
      <c r="X838">
        <v>0</v>
      </c>
      <c r="Y838" t="s">
        <v>45</v>
      </c>
      <c r="Z838">
        <v>42.5</v>
      </c>
      <c r="AA838" t="s">
        <v>46</v>
      </c>
      <c r="AB838" t="s">
        <v>92</v>
      </c>
      <c r="AC838" t="s">
        <v>48</v>
      </c>
      <c r="AD838" t="s">
        <v>93</v>
      </c>
      <c r="AE838" t="s">
        <v>62</v>
      </c>
      <c r="AF838" s="5">
        <f>DATE(YEAR(C838),MONTH(C838),1)</f>
        <v>45870</v>
      </c>
      <c r="AG838">
        <f>E838-D838</f>
        <v>16</v>
      </c>
      <c r="AH838" s="6">
        <f t="shared" si="13"/>
        <v>52.261252242932997</v>
      </c>
    </row>
    <row r="839" spans="1:34">
      <c r="A839" t="s">
        <v>1791</v>
      </c>
      <c r="B839" t="s">
        <v>1792</v>
      </c>
      <c r="C839" s="1">
        <v>45782</v>
      </c>
      <c r="D839" s="1">
        <v>45786</v>
      </c>
      <c r="E839" s="1">
        <v>45812</v>
      </c>
      <c r="F839" t="s">
        <v>36</v>
      </c>
      <c r="G839" t="s">
        <v>37</v>
      </c>
      <c r="H839" t="s">
        <v>38</v>
      </c>
      <c r="I839" t="s">
        <v>57</v>
      </c>
      <c r="J839" t="s">
        <v>98</v>
      </c>
      <c r="K839" t="s">
        <v>99</v>
      </c>
      <c r="L839" t="s">
        <v>59</v>
      </c>
      <c r="M839" t="s">
        <v>108</v>
      </c>
      <c r="N839">
        <v>1</v>
      </c>
      <c r="O839" t="s">
        <v>111</v>
      </c>
      <c r="P839" s="48">
        <v>30629.18</v>
      </c>
      <c r="Q839" s="48">
        <v>5075.16</v>
      </c>
      <c r="R839" s="48">
        <v>1696.72</v>
      </c>
      <c r="S839" s="48">
        <v>775.69</v>
      </c>
      <c r="T839" s="48">
        <v>306.29000000000002</v>
      </c>
      <c r="U839" s="48">
        <v>382.9</v>
      </c>
      <c r="V839" s="48">
        <v>638.34</v>
      </c>
      <c r="W839" s="48">
        <v>21754.080000000002</v>
      </c>
      <c r="X839">
        <v>0</v>
      </c>
      <c r="Y839" t="s">
        <v>45</v>
      </c>
      <c r="Z839">
        <v>42.29</v>
      </c>
      <c r="AA839" t="s">
        <v>46</v>
      </c>
      <c r="AB839" t="s">
        <v>92</v>
      </c>
      <c r="AC839" t="s">
        <v>60</v>
      </c>
      <c r="AD839" t="s">
        <v>49</v>
      </c>
      <c r="AE839" t="s">
        <v>71</v>
      </c>
      <c r="AF839" s="5">
        <f>DATE(YEAR(C839),MONTH(C839),1)</f>
        <v>45778</v>
      </c>
      <c r="AG839">
        <f>E839-D839</f>
        <v>26</v>
      </c>
      <c r="AH839" s="6">
        <f t="shared" si="13"/>
        <v>71.024036555990079</v>
      </c>
    </row>
    <row r="840" spans="1:34">
      <c r="A840" t="s">
        <v>1793</v>
      </c>
      <c r="B840" t="s">
        <v>1794</v>
      </c>
      <c r="C840" s="1">
        <v>45839</v>
      </c>
      <c r="D840" s="1">
        <v>45842</v>
      </c>
      <c r="E840" s="1">
        <v>45863</v>
      </c>
      <c r="F840" t="s">
        <v>153</v>
      </c>
      <c r="G840" t="s">
        <v>75</v>
      </c>
      <c r="H840" t="s">
        <v>154</v>
      </c>
      <c r="I840" t="s">
        <v>115</v>
      </c>
      <c r="J840" t="s">
        <v>98</v>
      </c>
      <c r="K840" t="s">
        <v>99</v>
      </c>
      <c r="L840" t="s">
        <v>100</v>
      </c>
      <c r="M840" t="s">
        <v>108</v>
      </c>
      <c r="N840">
        <v>1</v>
      </c>
      <c r="O840" t="s">
        <v>105</v>
      </c>
      <c r="P840" s="48">
        <v>17853.3</v>
      </c>
      <c r="Q840" s="48">
        <v>4994.93</v>
      </c>
      <c r="R840" s="48">
        <v>942.87</v>
      </c>
      <c r="S840" s="48">
        <v>371.32</v>
      </c>
      <c r="T840" s="48">
        <v>178.53</v>
      </c>
      <c r="U840" s="48">
        <v>777.85</v>
      </c>
      <c r="V840" s="48">
        <v>2119.59</v>
      </c>
      <c r="W840" s="48">
        <v>8468.2099999999991</v>
      </c>
      <c r="X840">
        <v>24</v>
      </c>
      <c r="Y840" t="s">
        <v>90</v>
      </c>
      <c r="Z840">
        <v>41.62</v>
      </c>
      <c r="AA840" t="s">
        <v>91</v>
      </c>
      <c r="AB840" t="s">
        <v>47</v>
      </c>
      <c r="AC840" t="s">
        <v>60</v>
      </c>
      <c r="AD840" t="s">
        <v>93</v>
      </c>
      <c r="AE840" t="s">
        <v>62</v>
      </c>
      <c r="AF840" s="5">
        <f>DATE(YEAR(C840),MONTH(C840),1)</f>
        <v>45839</v>
      </c>
      <c r="AG840">
        <f>E840-D840</f>
        <v>21</v>
      </c>
      <c r="AH840" s="6">
        <f t="shared" si="13"/>
        <v>47.43218340586894</v>
      </c>
    </row>
    <row r="841" spans="1:34">
      <c r="A841" t="s">
        <v>1795</v>
      </c>
      <c r="B841" t="s">
        <v>1796</v>
      </c>
      <c r="C841" s="1">
        <v>46009</v>
      </c>
      <c r="D841" s="1">
        <v>46013</v>
      </c>
      <c r="E841" s="1">
        <v>46029</v>
      </c>
      <c r="F841" t="s">
        <v>180</v>
      </c>
      <c r="G841" t="s">
        <v>181</v>
      </c>
      <c r="H841" t="s">
        <v>38</v>
      </c>
      <c r="I841" t="s">
        <v>56</v>
      </c>
      <c r="J841" t="s">
        <v>57</v>
      </c>
      <c r="K841" t="s">
        <v>58</v>
      </c>
      <c r="L841" t="s">
        <v>100</v>
      </c>
      <c r="M841" t="s">
        <v>79</v>
      </c>
      <c r="N841">
        <v>2</v>
      </c>
      <c r="O841" t="s">
        <v>54</v>
      </c>
      <c r="P841" s="48">
        <v>18593.64</v>
      </c>
      <c r="Q841" s="48">
        <v>4980.78</v>
      </c>
      <c r="R841" s="48">
        <v>1072.5999999999999</v>
      </c>
      <c r="S841" s="48">
        <v>213.11</v>
      </c>
      <c r="T841" s="48">
        <v>185.94</v>
      </c>
      <c r="U841" s="48">
        <v>736.59</v>
      </c>
      <c r="V841" s="48">
        <v>1441.42</v>
      </c>
      <c r="W841" s="48">
        <v>9963.2000000000007</v>
      </c>
      <c r="X841">
        <v>0</v>
      </c>
      <c r="Y841" t="s">
        <v>45</v>
      </c>
      <c r="Z841">
        <v>41.51</v>
      </c>
      <c r="AA841" t="s">
        <v>46</v>
      </c>
      <c r="AB841" t="s">
        <v>47</v>
      </c>
      <c r="AC841" t="s">
        <v>48</v>
      </c>
      <c r="AD841" t="s">
        <v>130</v>
      </c>
      <c r="AE841" t="s">
        <v>62</v>
      </c>
      <c r="AF841" s="5">
        <f>DATE(YEAR(C841),MONTH(C841),1)</f>
        <v>45992</v>
      </c>
      <c r="AG841">
        <f>E841-D841</f>
        <v>16</v>
      </c>
      <c r="AH841" s="6">
        <f t="shared" si="13"/>
        <v>53.583913639287417</v>
      </c>
    </row>
    <row r="842" spans="1:34">
      <c r="A842" t="s">
        <v>1797</v>
      </c>
      <c r="B842" t="s">
        <v>1798</v>
      </c>
      <c r="C842" s="1">
        <v>45947</v>
      </c>
      <c r="D842" s="1">
        <v>45949</v>
      </c>
      <c r="E842" s="1">
        <v>45972</v>
      </c>
      <c r="F842" t="s">
        <v>36</v>
      </c>
      <c r="G842" t="s">
        <v>37</v>
      </c>
      <c r="H842" t="s">
        <v>38</v>
      </c>
      <c r="I842" t="s">
        <v>115</v>
      </c>
      <c r="J842" t="s">
        <v>77</v>
      </c>
      <c r="K842" t="s">
        <v>41</v>
      </c>
      <c r="L842" t="s">
        <v>59</v>
      </c>
      <c r="M842" t="s">
        <v>68</v>
      </c>
      <c r="N842">
        <v>1</v>
      </c>
      <c r="O842" t="s">
        <v>80</v>
      </c>
      <c r="P842" s="48">
        <v>23121.05</v>
      </c>
      <c r="Q842" s="48">
        <v>4979.18</v>
      </c>
      <c r="R842" s="48">
        <v>1761.12</v>
      </c>
      <c r="S842" s="48">
        <v>651.42999999999995</v>
      </c>
      <c r="T842" s="48">
        <v>231.21</v>
      </c>
      <c r="U842" s="48">
        <v>256.01</v>
      </c>
      <c r="V842" s="48">
        <v>2188.0500000000002</v>
      </c>
      <c r="W842" s="48">
        <v>13054.05</v>
      </c>
      <c r="X842">
        <v>36</v>
      </c>
      <c r="Y842" t="s">
        <v>101</v>
      </c>
      <c r="Z842">
        <v>41.49</v>
      </c>
      <c r="AA842" t="s">
        <v>91</v>
      </c>
      <c r="AB842" t="s">
        <v>92</v>
      </c>
      <c r="AC842" t="s">
        <v>70</v>
      </c>
      <c r="AD842" t="s">
        <v>93</v>
      </c>
      <c r="AE842" t="s">
        <v>71</v>
      </c>
      <c r="AF842" s="5">
        <f>DATE(YEAR(C842),MONTH(C842),1)</f>
        <v>45931</v>
      </c>
      <c r="AG842">
        <f>E842-D842</f>
        <v>23</v>
      </c>
      <c r="AH842" s="6">
        <f t="shared" si="13"/>
        <v>56.459589854267001</v>
      </c>
    </row>
    <row r="843" spans="1:34">
      <c r="A843" t="s">
        <v>1799</v>
      </c>
      <c r="B843" t="s">
        <v>1800</v>
      </c>
      <c r="C843" s="1">
        <v>46007</v>
      </c>
      <c r="D843" s="1">
        <v>46010</v>
      </c>
      <c r="E843" s="1">
        <v>46035</v>
      </c>
      <c r="F843" t="s">
        <v>153</v>
      </c>
      <c r="G843" t="s">
        <v>75</v>
      </c>
      <c r="H843" t="s">
        <v>154</v>
      </c>
      <c r="I843" t="s">
        <v>40</v>
      </c>
      <c r="J843" t="s">
        <v>122</v>
      </c>
      <c r="K843" t="s">
        <v>123</v>
      </c>
      <c r="L843" t="s">
        <v>59</v>
      </c>
      <c r="M843" t="s">
        <v>43</v>
      </c>
      <c r="N843">
        <v>1</v>
      </c>
      <c r="O843" t="s">
        <v>44</v>
      </c>
      <c r="P843" s="48">
        <v>23338.11</v>
      </c>
      <c r="Q843" s="48">
        <v>4890.66</v>
      </c>
      <c r="R843" s="48">
        <v>1203.44</v>
      </c>
      <c r="S843" s="48">
        <v>457.66</v>
      </c>
      <c r="T843" s="48">
        <v>233.38</v>
      </c>
      <c r="U843" s="48">
        <v>492.23</v>
      </c>
      <c r="V843" s="48">
        <v>942.27</v>
      </c>
      <c r="W843" s="48">
        <v>15118.47</v>
      </c>
      <c r="X843">
        <v>0</v>
      </c>
      <c r="Y843" t="s">
        <v>45</v>
      </c>
      <c r="Z843">
        <v>40.76</v>
      </c>
      <c r="AA843" t="s">
        <v>46</v>
      </c>
      <c r="AB843" t="s">
        <v>47</v>
      </c>
      <c r="AC843" t="s">
        <v>60</v>
      </c>
      <c r="AD843" t="s">
        <v>49</v>
      </c>
      <c r="AE843" t="s">
        <v>71</v>
      </c>
      <c r="AF843" s="5">
        <f>DATE(YEAR(C843),MONTH(C843),1)</f>
        <v>45992</v>
      </c>
      <c r="AG843">
        <f>E843-D843</f>
        <v>25</v>
      </c>
      <c r="AH843" s="6">
        <f t="shared" si="13"/>
        <v>64.780181428573258</v>
      </c>
    </row>
    <row r="844" spans="1:34">
      <c r="A844" t="s">
        <v>1801</v>
      </c>
      <c r="B844" t="s">
        <v>1802</v>
      </c>
      <c r="C844" s="1">
        <v>45773</v>
      </c>
      <c r="D844" s="1">
        <v>45774</v>
      </c>
      <c r="E844" s="1">
        <v>45802</v>
      </c>
      <c r="F844" t="s">
        <v>74</v>
      </c>
      <c r="G844" t="s">
        <v>75</v>
      </c>
      <c r="H844" t="s">
        <v>76</v>
      </c>
      <c r="I844" t="s">
        <v>56</v>
      </c>
      <c r="J844" t="s">
        <v>57</v>
      </c>
      <c r="K844" t="s">
        <v>58</v>
      </c>
      <c r="L844" t="s">
        <v>127</v>
      </c>
      <c r="M844" t="s">
        <v>108</v>
      </c>
      <c r="N844">
        <v>2</v>
      </c>
      <c r="O844" t="s">
        <v>44</v>
      </c>
      <c r="P844" s="48">
        <v>18388.07</v>
      </c>
      <c r="Q844" s="48">
        <v>4867.59</v>
      </c>
      <c r="R844" s="48">
        <v>768.17</v>
      </c>
      <c r="S844" s="48">
        <v>342.81</v>
      </c>
      <c r="T844" s="48">
        <v>183.88</v>
      </c>
      <c r="U844" s="48">
        <v>555.15</v>
      </c>
      <c r="V844" s="48">
        <v>2151.9299999999998</v>
      </c>
      <c r="W844" s="48">
        <v>9518.5400000000009</v>
      </c>
      <c r="X844">
        <v>4</v>
      </c>
      <c r="Y844" t="s">
        <v>112</v>
      </c>
      <c r="Z844">
        <v>40.56</v>
      </c>
      <c r="AA844" t="s">
        <v>91</v>
      </c>
      <c r="AB844" t="s">
        <v>47</v>
      </c>
      <c r="AC844" t="s">
        <v>48</v>
      </c>
      <c r="AD844" t="s">
        <v>49</v>
      </c>
      <c r="AE844" t="s">
        <v>102</v>
      </c>
      <c r="AF844" s="5">
        <f>DATE(YEAR(C844),MONTH(C844),1)</f>
        <v>45748</v>
      </c>
      <c r="AG844">
        <f>E844-D844</f>
        <v>28</v>
      </c>
      <c r="AH844" s="6">
        <f t="shared" si="13"/>
        <v>51.764758346036324</v>
      </c>
    </row>
    <row r="845" spans="1:34">
      <c r="A845" t="s">
        <v>1803</v>
      </c>
      <c r="B845" t="s">
        <v>1804</v>
      </c>
      <c r="C845" s="1">
        <v>45771</v>
      </c>
      <c r="D845" s="1">
        <v>45774</v>
      </c>
      <c r="E845" s="1">
        <v>45799</v>
      </c>
      <c r="F845" t="s">
        <v>36</v>
      </c>
      <c r="G845" t="s">
        <v>37</v>
      </c>
      <c r="H845" t="s">
        <v>38</v>
      </c>
      <c r="I845" t="s">
        <v>40</v>
      </c>
      <c r="J845" t="s">
        <v>122</v>
      </c>
      <c r="K845" t="s">
        <v>123</v>
      </c>
      <c r="L845" t="s">
        <v>155</v>
      </c>
      <c r="M845" t="s">
        <v>68</v>
      </c>
      <c r="N845">
        <v>1</v>
      </c>
      <c r="O845" t="s">
        <v>54</v>
      </c>
      <c r="P845" s="48">
        <v>22870.47</v>
      </c>
      <c r="Q845" s="48">
        <v>4831.84</v>
      </c>
      <c r="R845" s="48">
        <v>1560.14</v>
      </c>
      <c r="S845" s="48">
        <v>586.79</v>
      </c>
      <c r="T845" s="48">
        <v>228.7</v>
      </c>
      <c r="U845" s="48">
        <v>545.64</v>
      </c>
      <c r="V845" s="48">
        <v>996.45</v>
      </c>
      <c r="W845" s="48">
        <v>14120.91</v>
      </c>
      <c r="X845">
        <v>0</v>
      </c>
      <c r="Y845" t="s">
        <v>45</v>
      </c>
      <c r="Z845">
        <v>40.270000000000003</v>
      </c>
      <c r="AA845" t="s">
        <v>46</v>
      </c>
      <c r="AB845" t="s">
        <v>92</v>
      </c>
      <c r="AC845" t="s">
        <v>48</v>
      </c>
      <c r="AD845" t="s">
        <v>130</v>
      </c>
      <c r="AE845" t="s">
        <v>71</v>
      </c>
      <c r="AF845" s="5">
        <f>DATE(YEAR(C845),MONTH(C845),1)</f>
        <v>45748</v>
      </c>
      <c r="AG845">
        <f>E845-D845</f>
        <v>25</v>
      </c>
      <c r="AH845" s="6">
        <f t="shared" si="13"/>
        <v>61.742981233004826</v>
      </c>
    </row>
    <row r="846" spans="1:34">
      <c r="A846" t="s">
        <v>1805</v>
      </c>
      <c r="B846" t="s">
        <v>1806</v>
      </c>
      <c r="C846" s="1">
        <v>45819</v>
      </c>
      <c r="D846" s="1">
        <v>45823</v>
      </c>
      <c r="E846" s="1">
        <v>45847</v>
      </c>
      <c r="F846" t="s">
        <v>149</v>
      </c>
      <c r="G846" t="s">
        <v>111</v>
      </c>
      <c r="H846" t="s">
        <v>150</v>
      </c>
      <c r="I846" t="s">
        <v>39</v>
      </c>
      <c r="J846" t="s">
        <v>86</v>
      </c>
      <c r="K846" t="s">
        <v>41</v>
      </c>
      <c r="L846" t="s">
        <v>124</v>
      </c>
      <c r="M846" t="s">
        <v>108</v>
      </c>
      <c r="N846">
        <v>4</v>
      </c>
      <c r="O846" t="s">
        <v>111</v>
      </c>
      <c r="P846" s="48">
        <v>27424.01</v>
      </c>
      <c r="Q846" s="48">
        <v>4819.6000000000004</v>
      </c>
      <c r="R846" s="48">
        <v>1403.95</v>
      </c>
      <c r="S846" s="48">
        <v>324.37</v>
      </c>
      <c r="T846" s="48">
        <v>274.24</v>
      </c>
      <c r="U846" s="48">
        <v>749.15</v>
      </c>
      <c r="V846" s="48">
        <v>632.54999999999995</v>
      </c>
      <c r="W846" s="48">
        <v>19220.150000000001</v>
      </c>
      <c r="X846">
        <v>0</v>
      </c>
      <c r="Y846" t="s">
        <v>45</v>
      </c>
      <c r="Z846">
        <v>40.159999999999997</v>
      </c>
      <c r="AA846" t="s">
        <v>46</v>
      </c>
      <c r="AB846" t="s">
        <v>47</v>
      </c>
      <c r="AC846" t="s">
        <v>60</v>
      </c>
      <c r="AD846" t="s">
        <v>130</v>
      </c>
      <c r="AE846" t="s">
        <v>50</v>
      </c>
      <c r="AF846" s="5">
        <f>DATE(YEAR(C846),MONTH(C846),1)</f>
        <v>45809</v>
      </c>
      <c r="AG846">
        <f>E846-D846</f>
        <v>24</v>
      </c>
      <c r="AH846" s="6">
        <f t="shared" si="13"/>
        <v>70.085118842940915</v>
      </c>
    </row>
    <row r="847" spans="1:34">
      <c r="A847" t="s">
        <v>1807</v>
      </c>
      <c r="B847" t="s">
        <v>1808</v>
      </c>
      <c r="C847" s="1">
        <v>45908</v>
      </c>
      <c r="D847" s="1">
        <v>45909</v>
      </c>
      <c r="E847" s="1">
        <v>45921</v>
      </c>
      <c r="F847" t="s">
        <v>83</v>
      </c>
      <c r="G847" t="s">
        <v>84</v>
      </c>
      <c r="H847" t="s">
        <v>85</v>
      </c>
      <c r="I847" t="s">
        <v>56</v>
      </c>
      <c r="J847" t="s">
        <v>57</v>
      </c>
      <c r="K847" t="s">
        <v>58</v>
      </c>
      <c r="L847" t="s">
        <v>116</v>
      </c>
      <c r="M847" t="s">
        <v>79</v>
      </c>
      <c r="N847">
        <v>2</v>
      </c>
      <c r="O847" t="s">
        <v>111</v>
      </c>
      <c r="P847" s="48">
        <v>22257.73</v>
      </c>
      <c r="Q847" s="48">
        <v>4818.8100000000004</v>
      </c>
      <c r="R847" s="48">
        <v>1095.17</v>
      </c>
      <c r="S847" s="48">
        <v>584.89</v>
      </c>
      <c r="T847" s="48">
        <v>222.58</v>
      </c>
      <c r="U847" s="48">
        <v>542.19000000000005</v>
      </c>
      <c r="V847" s="48">
        <v>1020.64</v>
      </c>
      <c r="W847" s="48">
        <v>13973.45</v>
      </c>
      <c r="X847">
        <v>24</v>
      </c>
      <c r="Y847" t="s">
        <v>101</v>
      </c>
      <c r="Z847">
        <v>40.159999999999997</v>
      </c>
      <c r="AA847" t="s">
        <v>91</v>
      </c>
      <c r="AB847" t="s">
        <v>47</v>
      </c>
      <c r="AC847" t="s">
        <v>60</v>
      </c>
      <c r="AD847" t="s">
        <v>61</v>
      </c>
      <c r="AE847" t="s">
        <v>50</v>
      </c>
      <c r="AF847" s="5">
        <f>DATE(YEAR(C847),MONTH(C847),1)</f>
        <v>45901</v>
      </c>
      <c r="AG847">
        <f>E847-D847</f>
        <v>12</v>
      </c>
      <c r="AH847" s="6">
        <f t="shared" si="13"/>
        <v>62.780211638832895</v>
      </c>
    </row>
    <row r="848" spans="1:34">
      <c r="A848" t="s">
        <v>1809</v>
      </c>
      <c r="B848" t="s">
        <v>1810</v>
      </c>
      <c r="C848" s="1">
        <v>45660</v>
      </c>
      <c r="D848" s="1">
        <v>45661</v>
      </c>
      <c r="E848" s="1">
        <v>45682</v>
      </c>
      <c r="F848" t="s">
        <v>65</v>
      </c>
      <c r="G848" t="s">
        <v>66</v>
      </c>
      <c r="H848" t="s">
        <v>67</v>
      </c>
      <c r="I848" t="s">
        <v>122</v>
      </c>
      <c r="J848" t="s">
        <v>56</v>
      </c>
      <c r="K848" t="s">
        <v>41</v>
      </c>
      <c r="L848" t="s">
        <v>127</v>
      </c>
      <c r="M848" t="s">
        <v>68</v>
      </c>
      <c r="N848">
        <v>2</v>
      </c>
      <c r="O848" t="s">
        <v>89</v>
      </c>
      <c r="P848" s="48">
        <v>24381.03</v>
      </c>
      <c r="Q848" s="48">
        <v>4792.7299999999996</v>
      </c>
      <c r="R848" s="48">
        <v>1231.07</v>
      </c>
      <c r="S848" s="48">
        <v>530.4</v>
      </c>
      <c r="T848" s="48">
        <v>243.81</v>
      </c>
      <c r="U848" s="48">
        <v>244.49</v>
      </c>
      <c r="V848" s="48">
        <v>2081.11</v>
      </c>
      <c r="W848" s="48">
        <v>15257.42</v>
      </c>
      <c r="X848">
        <v>36</v>
      </c>
      <c r="Y848" t="s">
        <v>101</v>
      </c>
      <c r="Z848">
        <v>39.94</v>
      </c>
      <c r="AA848" t="s">
        <v>91</v>
      </c>
      <c r="AB848" t="s">
        <v>92</v>
      </c>
      <c r="AC848" t="s">
        <v>60</v>
      </c>
      <c r="AD848" t="s">
        <v>93</v>
      </c>
      <c r="AE848" t="s">
        <v>50</v>
      </c>
      <c r="AF848" s="5">
        <f>DATE(YEAR(C848),MONTH(C848),1)</f>
        <v>45658</v>
      </c>
      <c r="AG848">
        <f>E848-D848</f>
        <v>21</v>
      </c>
      <c r="AH848" s="6">
        <f t="shared" si="13"/>
        <v>62.579062492437778</v>
      </c>
    </row>
    <row r="849" spans="1:34">
      <c r="A849" t="s">
        <v>1811</v>
      </c>
      <c r="B849" t="s">
        <v>1812</v>
      </c>
      <c r="C849" s="1">
        <v>45995</v>
      </c>
      <c r="D849" s="1">
        <v>45996</v>
      </c>
      <c r="E849" s="1">
        <v>46013</v>
      </c>
      <c r="F849" t="s">
        <v>53</v>
      </c>
      <c r="G849" t="s">
        <v>54</v>
      </c>
      <c r="H849" t="s">
        <v>55</v>
      </c>
      <c r="I849" t="s">
        <v>56</v>
      </c>
      <c r="J849" t="s">
        <v>57</v>
      </c>
      <c r="K849" t="s">
        <v>58</v>
      </c>
      <c r="L849" t="s">
        <v>59</v>
      </c>
      <c r="M849" t="s">
        <v>79</v>
      </c>
      <c r="N849">
        <v>2</v>
      </c>
      <c r="O849" t="s">
        <v>44</v>
      </c>
      <c r="P849" s="48">
        <v>26530.37</v>
      </c>
      <c r="Q849" s="48">
        <v>4776.05</v>
      </c>
      <c r="R849" s="48">
        <v>1746.62</v>
      </c>
      <c r="S849" s="48">
        <v>383.11</v>
      </c>
      <c r="T849" s="48">
        <v>265.3</v>
      </c>
      <c r="U849" s="48">
        <v>767.6</v>
      </c>
      <c r="V849" s="48">
        <v>2277.36</v>
      </c>
      <c r="W849" s="48">
        <v>16314.33</v>
      </c>
      <c r="X849">
        <v>0</v>
      </c>
      <c r="Y849" t="s">
        <v>45</v>
      </c>
      <c r="Z849">
        <v>39.799999999999997</v>
      </c>
      <c r="AA849" t="s">
        <v>46</v>
      </c>
      <c r="AB849" t="s">
        <v>92</v>
      </c>
      <c r="AC849" t="s">
        <v>70</v>
      </c>
      <c r="AD849" t="s">
        <v>144</v>
      </c>
      <c r="AE849" t="s">
        <v>102</v>
      </c>
      <c r="AF849" s="5">
        <f>DATE(YEAR(C849),MONTH(C849),1)</f>
        <v>45992</v>
      </c>
      <c r="AG849">
        <f>E849-D849</f>
        <v>17</v>
      </c>
      <c r="AH849" s="6">
        <f t="shared" si="13"/>
        <v>61.493036094106493</v>
      </c>
    </row>
    <row r="850" spans="1:34">
      <c r="A850" t="s">
        <v>1813</v>
      </c>
      <c r="B850" t="s">
        <v>1814</v>
      </c>
      <c r="C850" s="1">
        <v>45938</v>
      </c>
      <c r="D850" s="1">
        <v>45940</v>
      </c>
      <c r="E850" s="1">
        <v>45950</v>
      </c>
      <c r="F850" t="s">
        <v>96</v>
      </c>
      <c r="G850" t="s">
        <v>97</v>
      </c>
      <c r="H850" t="s">
        <v>76</v>
      </c>
      <c r="I850" t="s">
        <v>56</v>
      </c>
      <c r="J850" t="s">
        <v>57</v>
      </c>
      <c r="K850" t="s">
        <v>58</v>
      </c>
      <c r="L850" t="s">
        <v>78</v>
      </c>
      <c r="M850" t="s">
        <v>43</v>
      </c>
      <c r="N850">
        <v>2</v>
      </c>
      <c r="O850" t="s">
        <v>54</v>
      </c>
      <c r="P850" s="48">
        <v>21801.23</v>
      </c>
      <c r="Q850" s="48">
        <v>4737.41</v>
      </c>
      <c r="R850" s="48">
        <v>1499.31</v>
      </c>
      <c r="S850" s="48">
        <v>515.12</v>
      </c>
      <c r="T850" s="48">
        <v>218.01</v>
      </c>
      <c r="U850" s="48">
        <v>792.07</v>
      </c>
      <c r="V850" s="48">
        <v>537.54999999999995</v>
      </c>
      <c r="W850" s="48">
        <v>13501.76</v>
      </c>
      <c r="X850">
        <v>0</v>
      </c>
      <c r="Y850" t="s">
        <v>45</v>
      </c>
      <c r="Z850">
        <v>39.479999999999997</v>
      </c>
      <c r="AA850" t="s">
        <v>46</v>
      </c>
      <c r="AB850" t="s">
        <v>47</v>
      </c>
      <c r="AC850" t="s">
        <v>60</v>
      </c>
      <c r="AD850" t="s">
        <v>61</v>
      </c>
      <c r="AE850" t="s">
        <v>71</v>
      </c>
      <c r="AF850" s="5">
        <f>DATE(YEAR(C850),MONTH(C850),1)</f>
        <v>45931</v>
      </c>
      <c r="AG850">
        <f>E850-D850</f>
        <v>10</v>
      </c>
      <c r="AH850" s="6">
        <f t="shared" si="13"/>
        <v>61.931184616647784</v>
      </c>
    </row>
    <row r="851" spans="1:34">
      <c r="A851" t="s">
        <v>1815</v>
      </c>
      <c r="B851" t="s">
        <v>1816</v>
      </c>
      <c r="C851" s="1">
        <v>45973</v>
      </c>
      <c r="D851" s="1">
        <v>45976</v>
      </c>
      <c r="E851" s="1">
        <v>45989</v>
      </c>
      <c r="F851" t="s">
        <v>120</v>
      </c>
      <c r="G851" t="s">
        <v>75</v>
      </c>
      <c r="H851" t="s">
        <v>121</v>
      </c>
      <c r="I851" t="s">
        <v>57</v>
      </c>
      <c r="J851" t="s">
        <v>98</v>
      </c>
      <c r="K851" t="s">
        <v>99</v>
      </c>
      <c r="L851" t="s">
        <v>116</v>
      </c>
      <c r="M851" t="s">
        <v>79</v>
      </c>
      <c r="N851">
        <v>2</v>
      </c>
      <c r="O851" t="s">
        <v>44</v>
      </c>
      <c r="P851" s="48">
        <v>26954.39</v>
      </c>
      <c r="Q851" s="48">
        <v>4690.57</v>
      </c>
      <c r="R851" s="48">
        <v>1209.3800000000001</v>
      </c>
      <c r="S851" s="48">
        <v>548.46</v>
      </c>
      <c r="T851" s="48">
        <v>269.54000000000002</v>
      </c>
      <c r="U851" s="48">
        <v>264.79000000000002</v>
      </c>
      <c r="V851" s="48">
        <v>1798.05</v>
      </c>
      <c r="W851" s="48">
        <v>18173.599999999999</v>
      </c>
      <c r="X851">
        <v>0</v>
      </c>
      <c r="Y851" t="s">
        <v>45</v>
      </c>
      <c r="Z851">
        <v>39.090000000000003</v>
      </c>
      <c r="AA851" t="s">
        <v>46</v>
      </c>
      <c r="AB851" t="s">
        <v>47</v>
      </c>
      <c r="AC851" t="s">
        <v>48</v>
      </c>
      <c r="AD851" t="s">
        <v>144</v>
      </c>
      <c r="AE851" t="s">
        <v>62</v>
      </c>
      <c r="AF851" s="5">
        <f>DATE(YEAR(C851),MONTH(C851),1)</f>
        <v>45962</v>
      </c>
      <c r="AG851">
        <f>E851-D851</f>
        <v>13</v>
      </c>
      <c r="AH851" s="6">
        <f t="shared" si="13"/>
        <v>67.423525444278283</v>
      </c>
    </row>
    <row r="852" spans="1:34">
      <c r="A852" t="s">
        <v>1817</v>
      </c>
      <c r="B852" t="s">
        <v>1818</v>
      </c>
      <c r="C852" s="1">
        <v>45744</v>
      </c>
      <c r="D852" s="1">
        <v>45746</v>
      </c>
      <c r="E852" s="1">
        <v>45758</v>
      </c>
      <c r="F852" t="s">
        <v>120</v>
      </c>
      <c r="G852" t="s">
        <v>75</v>
      </c>
      <c r="H852" t="s">
        <v>121</v>
      </c>
      <c r="I852" t="s">
        <v>115</v>
      </c>
      <c r="J852" t="s">
        <v>98</v>
      </c>
      <c r="K852" t="s">
        <v>99</v>
      </c>
      <c r="L852" t="s">
        <v>59</v>
      </c>
      <c r="M852" t="s">
        <v>108</v>
      </c>
      <c r="N852">
        <v>1</v>
      </c>
      <c r="O852" t="s">
        <v>69</v>
      </c>
      <c r="P852" s="48">
        <v>28626.83</v>
      </c>
      <c r="Q852" s="48">
        <v>4678.7700000000004</v>
      </c>
      <c r="R852" s="48">
        <v>1355.56</v>
      </c>
      <c r="S852" s="48">
        <v>456.76</v>
      </c>
      <c r="T852" s="48">
        <v>286.27</v>
      </c>
      <c r="U852" s="48">
        <v>803.14</v>
      </c>
      <c r="V852" s="48">
        <v>2454.31</v>
      </c>
      <c r="W852" s="48">
        <v>18592.02</v>
      </c>
      <c r="X852">
        <v>36</v>
      </c>
      <c r="Y852" t="s">
        <v>117</v>
      </c>
      <c r="Z852">
        <v>38.99</v>
      </c>
      <c r="AA852" t="s">
        <v>91</v>
      </c>
      <c r="AB852" t="s">
        <v>47</v>
      </c>
      <c r="AC852" t="s">
        <v>60</v>
      </c>
      <c r="AD852" t="s">
        <v>61</v>
      </c>
      <c r="AE852" t="s">
        <v>50</v>
      </c>
      <c r="AF852" s="5">
        <f>DATE(YEAR(C852),MONTH(C852),1)</f>
        <v>45717</v>
      </c>
      <c r="AG852">
        <f>E852-D852</f>
        <v>12</v>
      </c>
      <c r="AH852" s="6">
        <f t="shared" si="13"/>
        <v>64.946136194611839</v>
      </c>
    </row>
    <row r="853" spans="1:34">
      <c r="A853" t="s">
        <v>1819</v>
      </c>
      <c r="B853" t="s">
        <v>1820</v>
      </c>
      <c r="C853" s="1">
        <v>45709</v>
      </c>
      <c r="D853" s="1">
        <v>45712</v>
      </c>
      <c r="E853" s="1">
        <v>45734</v>
      </c>
      <c r="F853" t="s">
        <v>83</v>
      </c>
      <c r="G853" t="s">
        <v>84</v>
      </c>
      <c r="H853" t="s">
        <v>85</v>
      </c>
      <c r="I853" t="s">
        <v>40</v>
      </c>
      <c r="J853" t="s">
        <v>122</v>
      </c>
      <c r="K853" t="s">
        <v>123</v>
      </c>
      <c r="L853" t="s">
        <v>124</v>
      </c>
      <c r="M853" t="s">
        <v>79</v>
      </c>
      <c r="N853">
        <v>1</v>
      </c>
      <c r="O853" t="s">
        <v>80</v>
      </c>
      <c r="P853" s="48">
        <v>22503.47</v>
      </c>
      <c r="Q853" s="48">
        <v>4659.72</v>
      </c>
      <c r="R853" s="48">
        <v>1671.42</v>
      </c>
      <c r="S853" s="48">
        <v>290.43</v>
      </c>
      <c r="T853" s="48">
        <v>225.03</v>
      </c>
      <c r="U853" s="48">
        <v>406.32</v>
      </c>
      <c r="V853" s="48">
        <v>1083.5899999999999</v>
      </c>
      <c r="W853" s="48">
        <v>14166.96</v>
      </c>
      <c r="X853">
        <v>4</v>
      </c>
      <c r="Y853" t="s">
        <v>135</v>
      </c>
      <c r="Z853">
        <v>38.83</v>
      </c>
      <c r="AA853" t="s">
        <v>91</v>
      </c>
      <c r="AB853" t="s">
        <v>47</v>
      </c>
      <c r="AC853" t="s">
        <v>60</v>
      </c>
      <c r="AD853" t="s">
        <v>49</v>
      </c>
      <c r="AE853" t="s">
        <v>71</v>
      </c>
      <c r="AF853" s="5">
        <f>DATE(YEAR(C853),MONTH(C853),1)</f>
        <v>45689</v>
      </c>
      <c r="AG853">
        <f>E853-D853</f>
        <v>22</v>
      </c>
      <c r="AH853" s="6">
        <f t="shared" si="13"/>
        <v>62.954557674883027</v>
      </c>
    </row>
    <row r="854" spans="1:34">
      <c r="A854" t="s">
        <v>1821</v>
      </c>
      <c r="B854" t="s">
        <v>1822</v>
      </c>
      <c r="C854" s="1">
        <v>45756</v>
      </c>
      <c r="D854" s="1">
        <v>45758</v>
      </c>
      <c r="E854" s="1">
        <v>45780</v>
      </c>
      <c r="F854" t="s">
        <v>53</v>
      </c>
      <c r="G854" t="s">
        <v>54</v>
      </c>
      <c r="H854" t="s">
        <v>55</v>
      </c>
      <c r="I854" t="s">
        <v>57</v>
      </c>
      <c r="J854" t="s">
        <v>98</v>
      </c>
      <c r="K854" t="s">
        <v>99</v>
      </c>
      <c r="L854" t="s">
        <v>124</v>
      </c>
      <c r="M854" t="s">
        <v>68</v>
      </c>
      <c r="N854">
        <v>2</v>
      </c>
      <c r="O854" t="s">
        <v>89</v>
      </c>
      <c r="P854" s="48">
        <v>28102.76</v>
      </c>
      <c r="Q854" s="48">
        <v>4635.8</v>
      </c>
      <c r="R854" s="48">
        <v>1414.52</v>
      </c>
      <c r="S854" s="48">
        <v>398.38</v>
      </c>
      <c r="T854" s="48">
        <v>281.02999999999997</v>
      </c>
      <c r="U854" s="48">
        <v>318.08</v>
      </c>
      <c r="V854" s="48">
        <v>1038.3399999999999</v>
      </c>
      <c r="W854" s="48">
        <v>20016.61</v>
      </c>
      <c r="X854">
        <v>0</v>
      </c>
      <c r="Y854" t="s">
        <v>45</v>
      </c>
      <c r="Z854">
        <v>38.630000000000003</v>
      </c>
      <c r="AA854" t="s">
        <v>46</v>
      </c>
      <c r="AB854" t="s">
        <v>47</v>
      </c>
      <c r="AC854" t="s">
        <v>60</v>
      </c>
      <c r="AD854" t="s">
        <v>93</v>
      </c>
      <c r="AE854" t="s">
        <v>62</v>
      </c>
      <c r="AF854" s="5">
        <f>DATE(YEAR(C854),MONTH(C854),1)</f>
        <v>45748</v>
      </c>
      <c r="AG854">
        <f>E854-D854</f>
        <v>22</v>
      </c>
      <c r="AH854" s="6">
        <f t="shared" si="13"/>
        <v>71.226491632850298</v>
      </c>
    </row>
    <row r="855" spans="1:34">
      <c r="A855" t="s">
        <v>1823</v>
      </c>
      <c r="B855" t="s">
        <v>1824</v>
      </c>
      <c r="C855" s="1">
        <v>45943</v>
      </c>
      <c r="D855" s="1">
        <v>45946</v>
      </c>
      <c r="E855" s="1">
        <v>45965</v>
      </c>
      <c r="F855" t="s">
        <v>96</v>
      </c>
      <c r="G855" t="s">
        <v>97</v>
      </c>
      <c r="H855" t="s">
        <v>76</v>
      </c>
      <c r="I855" t="s">
        <v>98</v>
      </c>
      <c r="J855" t="s">
        <v>56</v>
      </c>
      <c r="K855" t="s">
        <v>41</v>
      </c>
      <c r="L855" t="s">
        <v>100</v>
      </c>
      <c r="M855" t="s">
        <v>43</v>
      </c>
      <c r="N855">
        <v>4</v>
      </c>
      <c r="O855" t="s">
        <v>80</v>
      </c>
      <c r="P855" s="48">
        <v>28770.400000000001</v>
      </c>
      <c r="Q855" s="48">
        <v>4610.47</v>
      </c>
      <c r="R855" s="48">
        <v>1322.15</v>
      </c>
      <c r="S855" s="48">
        <v>461.76</v>
      </c>
      <c r="T855" s="48">
        <v>287.7</v>
      </c>
      <c r="U855" s="48">
        <v>882.64</v>
      </c>
      <c r="V855" s="48">
        <v>476.03</v>
      </c>
      <c r="W855" s="48">
        <v>20729.650000000001</v>
      </c>
      <c r="X855">
        <v>4</v>
      </c>
      <c r="Y855" t="s">
        <v>101</v>
      </c>
      <c r="Z855">
        <v>38.42</v>
      </c>
      <c r="AA855" t="s">
        <v>91</v>
      </c>
      <c r="AB855" t="s">
        <v>47</v>
      </c>
      <c r="AC855" t="s">
        <v>48</v>
      </c>
      <c r="AD855" t="s">
        <v>130</v>
      </c>
      <c r="AE855" t="s">
        <v>71</v>
      </c>
      <c r="AF855" s="5">
        <f>DATE(YEAR(C855),MONTH(C855),1)</f>
        <v>45931</v>
      </c>
      <c r="AG855">
        <f>E855-D855</f>
        <v>19</v>
      </c>
      <c r="AH855" s="6">
        <f t="shared" si="13"/>
        <v>72.052004838306033</v>
      </c>
    </row>
    <row r="856" spans="1:34">
      <c r="A856" t="s">
        <v>1825</v>
      </c>
      <c r="B856" t="s">
        <v>1826</v>
      </c>
      <c r="C856" s="1">
        <v>45919</v>
      </c>
      <c r="D856" s="1">
        <v>45922</v>
      </c>
      <c r="E856" s="1">
        <v>45944</v>
      </c>
      <c r="F856" t="s">
        <v>83</v>
      </c>
      <c r="G856" t="s">
        <v>84</v>
      </c>
      <c r="H856" t="s">
        <v>85</v>
      </c>
      <c r="I856" t="s">
        <v>56</v>
      </c>
      <c r="J856" t="s">
        <v>39</v>
      </c>
      <c r="K856" t="s">
        <v>41</v>
      </c>
      <c r="L856" t="s">
        <v>78</v>
      </c>
      <c r="M856" t="s">
        <v>108</v>
      </c>
      <c r="N856">
        <v>2</v>
      </c>
      <c r="O856" t="s">
        <v>69</v>
      </c>
      <c r="P856" s="48">
        <v>20014.189999999999</v>
      </c>
      <c r="Q856" s="48">
        <v>4576.26</v>
      </c>
      <c r="R856" s="48">
        <v>1134.32</v>
      </c>
      <c r="S856" s="48">
        <v>238.4</v>
      </c>
      <c r="T856" s="48">
        <v>200.14</v>
      </c>
      <c r="U856" s="48">
        <v>121.82</v>
      </c>
      <c r="V856" s="48">
        <v>1838.51</v>
      </c>
      <c r="W856" s="48">
        <v>11904.74</v>
      </c>
      <c r="X856">
        <v>48</v>
      </c>
      <c r="Y856" t="s">
        <v>101</v>
      </c>
      <c r="Z856">
        <v>38.14</v>
      </c>
      <c r="AA856" t="s">
        <v>91</v>
      </c>
      <c r="AB856" t="s">
        <v>92</v>
      </c>
      <c r="AC856" t="s">
        <v>70</v>
      </c>
      <c r="AD856" t="s">
        <v>130</v>
      </c>
      <c r="AE856" t="s">
        <v>50</v>
      </c>
      <c r="AF856" s="5">
        <f>DATE(YEAR(C856),MONTH(C856),1)</f>
        <v>45901</v>
      </c>
      <c r="AG856">
        <f>E856-D856</f>
        <v>22</v>
      </c>
      <c r="AH856" s="6">
        <f t="shared" si="13"/>
        <v>59.481497877256082</v>
      </c>
    </row>
    <row r="857" spans="1:34">
      <c r="A857" t="s">
        <v>1827</v>
      </c>
      <c r="B857" t="s">
        <v>1828</v>
      </c>
      <c r="C857" s="1">
        <v>45984</v>
      </c>
      <c r="D857" s="1">
        <v>45986</v>
      </c>
      <c r="E857" s="1">
        <v>46012</v>
      </c>
      <c r="F857" t="s">
        <v>53</v>
      </c>
      <c r="G857" t="s">
        <v>54</v>
      </c>
      <c r="H857" t="s">
        <v>55</v>
      </c>
      <c r="I857" t="s">
        <v>56</v>
      </c>
      <c r="J857" t="s">
        <v>57</v>
      </c>
      <c r="K857" t="s">
        <v>58</v>
      </c>
      <c r="L857" t="s">
        <v>127</v>
      </c>
      <c r="M857" t="s">
        <v>79</v>
      </c>
      <c r="N857">
        <v>2</v>
      </c>
      <c r="O857" t="s">
        <v>44</v>
      </c>
      <c r="P857" s="48">
        <v>23513.66</v>
      </c>
      <c r="Q857" s="48">
        <v>4530.88</v>
      </c>
      <c r="R857" s="48">
        <v>1005.1</v>
      </c>
      <c r="S857" s="48">
        <v>547.03</v>
      </c>
      <c r="T857" s="48">
        <v>235.14</v>
      </c>
      <c r="U857" s="48">
        <v>436.13</v>
      </c>
      <c r="V857" s="48">
        <v>2216.66</v>
      </c>
      <c r="W857" s="48">
        <v>14542.72</v>
      </c>
      <c r="X857">
        <v>0</v>
      </c>
      <c r="Y857" t="s">
        <v>45</v>
      </c>
      <c r="Z857">
        <v>37.76</v>
      </c>
      <c r="AA857" t="s">
        <v>46</v>
      </c>
      <c r="AB857" t="s">
        <v>47</v>
      </c>
      <c r="AC857" t="s">
        <v>48</v>
      </c>
      <c r="AD857" t="s">
        <v>61</v>
      </c>
      <c r="AE857" t="s">
        <v>62</v>
      </c>
      <c r="AF857" s="5">
        <f>DATE(YEAR(C857),MONTH(C857),1)</f>
        <v>45962</v>
      </c>
      <c r="AG857">
        <f>E857-D857</f>
        <v>26</v>
      </c>
      <c r="AH857" s="6">
        <f t="shared" si="13"/>
        <v>61.847964119579842</v>
      </c>
    </row>
    <row r="858" spans="1:34">
      <c r="A858" t="s">
        <v>1829</v>
      </c>
      <c r="B858" t="s">
        <v>1830</v>
      </c>
      <c r="C858" s="1">
        <v>45700</v>
      </c>
      <c r="D858" s="1">
        <v>45702</v>
      </c>
      <c r="E858" s="1">
        <v>45720</v>
      </c>
      <c r="F858" t="s">
        <v>96</v>
      </c>
      <c r="G858" t="s">
        <v>97</v>
      </c>
      <c r="H858" t="s">
        <v>76</v>
      </c>
      <c r="I858" t="s">
        <v>40</v>
      </c>
      <c r="J858" t="s">
        <v>122</v>
      </c>
      <c r="K858" t="s">
        <v>123</v>
      </c>
      <c r="L858" t="s">
        <v>127</v>
      </c>
      <c r="M858" t="s">
        <v>108</v>
      </c>
      <c r="N858">
        <v>1</v>
      </c>
      <c r="O858" t="s">
        <v>111</v>
      </c>
      <c r="P858" s="48">
        <v>17640.400000000001</v>
      </c>
      <c r="Q858" s="48">
        <v>4519.5600000000004</v>
      </c>
      <c r="R858" s="48">
        <v>1006.62</v>
      </c>
      <c r="S858" s="48">
        <v>359.47</v>
      </c>
      <c r="T858" s="48">
        <v>176.4</v>
      </c>
      <c r="U858" s="48">
        <v>730.01</v>
      </c>
      <c r="V858" s="48">
        <v>2428.73</v>
      </c>
      <c r="W858" s="48">
        <v>8419.61</v>
      </c>
      <c r="X858">
        <v>0</v>
      </c>
      <c r="Y858" t="s">
        <v>45</v>
      </c>
      <c r="Z858">
        <v>37.659999999999997</v>
      </c>
      <c r="AA858" t="s">
        <v>46</v>
      </c>
      <c r="AB858" t="s">
        <v>47</v>
      </c>
      <c r="AC858" t="s">
        <v>48</v>
      </c>
      <c r="AD858" t="s">
        <v>144</v>
      </c>
      <c r="AE858" t="s">
        <v>62</v>
      </c>
      <c r="AF858" s="5">
        <f>DATE(YEAR(C858),MONTH(C858),1)</f>
        <v>45689</v>
      </c>
      <c r="AG858">
        <f>E858-D858</f>
        <v>18</v>
      </c>
      <c r="AH858" s="6">
        <f t="shared" si="13"/>
        <v>47.729133126232966</v>
      </c>
    </row>
    <row r="859" spans="1:34">
      <c r="A859" t="s">
        <v>1831</v>
      </c>
      <c r="B859" t="s">
        <v>1832</v>
      </c>
      <c r="C859" s="1">
        <v>45847</v>
      </c>
      <c r="D859" s="1">
        <v>45849</v>
      </c>
      <c r="E859" s="1">
        <v>45860</v>
      </c>
      <c r="F859" t="s">
        <v>65</v>
      </c>
      <c r="G859" t="s">
        <v>66</v>
      </c>
      <c r="H859" t="s">
        <v>67</v>
      </c>
      <c r="I859" t="s">
        <v>86</v>
      </c>
      <c r="J859" t="s">
        <v>87</v>
      </c>
      <c r="K859" t="s">
        <v>88</v>
      </c>
      <c r="L859" t="s">
        <v>78</v>
      </c>
      <c r="M859" t="s">
        <v>79</v>
      </c>
      <c r="N859">
        <v>1</v>
      </c>
      <c r="O859" t="s">
        <v>69</v>
      </c>
      <c r="P859" s="48">
        <v>26660.39</v>
      </c>
      <c r="Q859" s="48">
        <v>4468.03</v>
      </c>
      <c r="R859" s="48">
        <v>2124.17</v>
      </c>
      <c r="S859" s="48">
        <v>323.52999999999997</v>
      </c>
      <c r="T859" s="48">
        <v>266.60000000000002</v>
      </c>
      <c r="U859" s="48">
        <v>811.82</v>
      </c>
      <c r="V859" s="48">
        <v>380.21</v>
      </c>
      <c r="W859" s="48">
        <v>18286.03</v>
      </c>
      <c r="X859">
        <v>24</v>
      </c>
      <c r="Y859" t="s">
        <v>101</v>
      </c>
      <c r="Z859">
        <v>37.229999999999997</v>
      </c>
      <c r="AA859" t="s">
        <v>91</v>
      </c>
      <c r="AB859" t="s">
        <v>47</v>
      </c>
      <c r="AC859" t="s">
        <v>70</v>
      </c>
      <c r="AD859" t="s">
        <v>130</v>
      </c>
      <c r="AE859" t="s">
        <v>102</v>
      </c>
      <c r="AF859" s="5">
        <f>DATE(YEAR(C859),MONTH(C859),1)</f>
        <v>45839</v>
      </c>
      <c r="AG859">
        <f>E859-D859</f>
        <v>11</v>
      </c>
      <c r="AH859" s="6">
        <f t="shared" si="13"/>
        <v>68.588756578579677</v>
      </c>
    </row>
    <row r="860" spans="1:34">
      <c r="A860" t="s">
        <v>1833</v>
      </c>
      <c r="B860" t="s">
        <v>1834</v>
      </c>
      <c r="C860" s="1">
        <v>45845</v>
      </c>
      <c r="D860" s="1">
        <v>45848</v>
      </c>
      <c r="E860" s="1">
        <v>45862</v>
      </c>
      <c r="F860" t="s">
        <v>138</v>
      </c>
      <c r="G860" t="s">
        <v>139</v>
      </c>
      <c r="H860" t="s">
        <v>76</v>
      </c>
      <c r="I860" t="s">
        <v>56</v>
      </c>
      <c r="J860" t="s">
        <v>57</v>
      </c>
      <c r="K860" t="s">
        <v>58</v>
      </c>
      <c r="L860" t="s">
        <v>127</v>
      </c>
      <c r="M860" t="s">
        <v>68</v>
      </c>
      <c r="N860">
        <v>1</v>
      </c>
      <c r="O860" t="s">
        <v>111</v>
      </c>
      <c r="P860" s="48">
        <v>19641.53</v>
      </c>
      <c r="Q860" s="48">
        <v>4436.5200000000004</v>
      </c>
      <c r="R860" s="48">
        <v>1345.13</v>
      </c>
      <c r="S860" s="48">
        <v>258.45999999999998</v>
      </c>
      <c r="T860" s="48">
        <v>196.42</v>
      </c>
      <c r="U860" s="48">
        <v>250.04</v>
      </c>
      <c r="V860" s="48">
        <v>2499.9499999999998</v>
      </c>
      <c r="W860" s="48">
        <v>10655.01</v>
      </c>
      <c r="X860">
        <v>36</v>
      </c>
      <c r="Y860" t="s">
        <v>90</v>
      </c>
      <c r="Z860">
        <v>36.97</v>
      </c>
      <c r="AA860" t="s">
        <v>91</v>
      </c>
      <c r="AB860" t="s">
        <v>47</v>
      </c>
      <c r="AC860" t="s">
        <v>48</v>
      </c>
      <c r="AD860" t="s">
        <v>130</v>
      </c>
      <c r="AE860" t="s">
        <v>50</v>
      </c>
      <c r="AF860" s="5">
        <f>DATE(YEAR(C860),MONTH(C860),1)</f>
        <v>45839</v>
      </c>
      <c r="AG860">
        <f>E860-D860</f>
        <v>14</v>
      </c>
      <c r="AH860" s="6">
        <f t="shared" si="13"/>
        <v>54.247352421119942</v>
      </c>
    </row>
    <row r="861" spans="1:34">
      <c r="A861" t="s">
        <v>1835</v>
      </c>
      <c r="B861" t="s">
        <v>1836</v>
      </c>
      <c r="C861" s="1">
        <v>45795</v>
      </c>
      <c r="D861" s="1">
        <v>45796</v>
      </c>
      <c r="E861" s="1">
        <v>45806</v>
      </c>
      <c r="F861" t="s">
        <v>180</v>
      </c>
      <c r="G861" t="s">
        <v>181</v>
      </c>
      <c r="H861" t="s">
        <v>38</v>
      </c>
      <c r="I861" t="s">
        <v>115</v>
      </c>
      <c r="J861" t="s">
        <v>77</v>
      </c>
      <c r="K861" t="s">
        <v>41</v>
      </c>
      <c r="L861" t="s">
        <v>78</v>
      </c>
      <c r="M861" t="s">
        <v>79</v>
      </c>
      <c r="N861">
        <v>1</v>
      </c>
      <c r="O861" t="s">
        <v>89</v>
      </c>
      <c r="P861" s="48">
        <v>22529.8</v>
      </c>
      <c r="Q861" s="48">
        <v>4430.43</v>
      </c>
      <c r="R861" s="48">
        <v>1110.96</v>
      </c>
      <c r="S861" s="48">
        <v>262.66000000000003</v>
      </c>
      <c r="T861" s="48">
        <v>225.3</v>
      </c>
      <c r="U861" s="48">
        <v>716.99</v>
      </c>
      <c r="V861" s="48">
        <v>2333.8200000000002</v>
      </c>
      <c r="W861" s="48">
        <v>13449.64</v>
      </c>
      <c r="X861">
        <v>8</v>
      </c>
      <c r="Y861" t="s">
        <v>135</v>
      </c>
      <c r="Z861">
        <v>36.92</v>
      </c>
      <c r="AA861" t="s">
        <v>91</v>
      </c>
      <c r="AB861" t="s">
        <v>92</v>
      </c>
      <c r="AC861" t="s">
        <v>70</v>
      </c>
      <c r="AD861" t="s">
        <v>144</v>
      </c>
      <c r="AE861" t="s">
        <v>50</v>
      </c>
      <c r="AF861" s="5">
        <f>DATE(YEAR(C861),MONTH(C861),1)</f>
        <v>45778</v>
      </c>
      <c r="AG861">
        <f>E861-D861</f>
        <v>10</v>
      </c>
      <c r="AH861" s="6">
        <f t="shared" si="13"/>
        <v>59.697112269083604</v>
      </c>
    </row>
    <row r="862" spans="1:34">
      <c r="A862" t="s">
        <v>1837</v>
      </c>
      <c r="B862" t="s">
        <v>1838</v>
      </c>
      <c r="C862" s="1">
        <v>45688</v>
      </c>
      <c r="D862" s="1">
        <v>45691</v>
      </c>
      <c r="E862" s="1">
        <v>45703</v>
      </c>
      <c r="F862" t="s">
        <v>120</v>
      </c>
      <c r="G862" t="s">
        <v>75</v>
      </c>
      <c r="H862" t="s">
        <v>121</v>
      </c>
      <c r="I862" t="s">
        <v>57</v>
      </c>
      <c r="J862" t="s">
        <v>98</v>
      </c>
      <c r="K862" t="s">
        <v>99</v>
      </c>
      <c r="L862" t="s">
        <v>78</v>
      </c>
      <c r="M862" t="s">
        <v>43</v>
      </c>
      <c r="N862">
        <v>1</v>
      </c>
      <c r="O862" t="s">
        <v>54</v>
      </c>
      <c r="P862" s="48">
        <v>18352.849999999999</v>
      </c>
      <c r="Q862" s="48">
        <v>4401.49</v>
      </c>
      <c r="R862" s="48">
        <v>1418.83</v>
      </c>
      <c r="S862" s="48">
        <v>400.41</v>
      </c>
      <c r="T862" s="48">
        <v>183.53</v>
      </c>
      <c r="U862" s="48">
        <v>415.97</v>
      </c>
      <c r="V862" s="48">
        <v>1558.63</v>
      </c>
      <c r="W862" s="48">
        <v>9973.99</v>
      </c>
      <c r="X862">
        <v>36</v>
      </c>
      <c r="Y862" t="s">
        <v>135</v>
      </c>
      <c r="Z862">
        <v>36.68</v>
      </c>
      <c r="AA862" t="s">
        <v>91</v>
      </c>
      <c r="AB862" t="s">
        <v>47</v>
      </c>
      <c r="AC862" t="s">
        <v>48</v>
      </c>
      <c r="AD862" t="s">
        <v>144</v>
      </c>
      <c r="AE862" t="s">
        <v>102</v>
      </c>
      <c r="AF862" s="5">
        <f>DATE(YEAR(C862),MONTH(C862),1)</f>
        <v>45658</v>
      </c>
      <c r="AG862">
        <f>E862-D862</f>
        <v>12</v>
      </c>
      <c r="AH862" s="6">
        <f t="shared" si="13"/>
        <v>54.345728320124678</v>
      </c>
    </row>
    <row r="863" spans="1:34">
      <c r="A863" t="s">
        <v>1839</v>
      </c>
      <c r="B863" t="s">
        <v>1840</v>
      </c>
      <c r="C863" s="1">
        <v>45810</v>
      </c>
      <c r="D863" s="1">
        <v>45813</v>
      </c>
      <c r="E863" s="1">
        <v>45832</v>
      </c>
      <c r="F863" t="s">
        <v>83</v>
      </c>
      <c r="G863" t="s">
        <v>84</v>
      </c>
      <c r="H863" t="s">
        <v>85</v>
      </c>
      <c r="I863" t="s">
        <v>77</v>
      </c>
      <c r="J863" t="s">
        <v>86</v>
      </c>
      <c r="K863" t="s">
        <v>41</v>
      </c>
      <c r="L863" t="s">
        <v>155</v>
      </c>
      <c r="M863" t="s">
        <v>79</v>
      </c>
      <c r="N863">
        <v>1</v>
      </c>
      <c r="O863" t="s">
        <v>111</v>
      </c>
      <c r="P863" s="48">
        <v>19128.36</v>
      </c>
      <c r="Q863" s="48">
        <v>4341.6499999999996</v>
      </c>
      <c r="R863" s="48">
        <v>981.29</v>
      </c>
      <c r="S863" s="48">
        <v>276.72000000000003</v>
      </c>
      <c r="T863" s="48">
        <v>191.28</v>
      </c>
      <c r="U863" s="48">
        <v>703.32</v>
      </c>
      <c r="V863" s="48">
        <v>2479.8000000000002</v>
      </c>
      <c r="W863" s="48">
        <v>10154.299999999999</v>
      </c>
      <c r="X863">
        <v>24</v>
      </c>
      <c r="Y863" t="s">
        <v>117</v>
      </c>
      <c r="Z863">
        <v>36.18</v>
      </c>
      <c r="AA863" t="s">
        <v>91</v>
      </c>
      <c r="AB863" t="s">
        <v>92</v>
      </c>
      <c r="AC863" t="s">
        <v>70</v>
      </c>
      <c r="AD863" t="s">
        <v>130</v>
      </c>
      <c r="AE863" t="s">
        <v>50</v>
      </c>
      <c r="AF863" s="5">
        <f>DATE(YEAR(C863),MONTH(C863),1)</f>
        <v>45809</v>
      </c>
      <c r="AG863">
        <f>E863-D863</f>
        <v>19</v>
      </c>
      <c r="AH863" s="6">
        <f t="shared" si="13"/>
        <v>53.085052769814034</v>
      </c>
    </row>
    <row r="864" spans="1:34">
      <c r="A864" t="s">
        <v>1841</v>
      </c>
      <c r="B864" t="s">
        <v>1842</v>
      </c>
      <c r="C864" s="1">
        <v>46009</v>
      </c>
      <c r="D864" s="1">
        <v>46011</v>
      </c>
      <c r="E864" s="1">
        <v>46032</v>
      </c>
      <c r="F864" t="s">
        <v>36</v>
      </c>
      <c r="G864" t="s">
        <v>37</v>
      </c>
      <c r="H864" t="s">
        <v>38</v>
      </c>
      <c r="I864" t="s">
        <v>56</v>
      </c>
      <c r="J864" t="s">
        <v>77</v>
      </c>
      <c r="K864" t="s">
        <v>41</v>
      </c>
      <c r="L864" t="s">
        <v>78</v>
      </c>
      <c r="M864" t="s">
        <v>79</v>
      </c>
      <c r="N864">
        <v>1</v>
      </c>
      <c r="O864" t="s">
        <v>89</v>
      </c>
      <c r="P864" s="48">
        <v>22306.080000000002</v>
      </c>
      <c r="Q864" s="48">
        <v>4340.8100000000004</v>
      </c>
      <c r="R864" s="48">
        <v>998.44</v>
      </c>
      <c r="S864" s="48">
        <v>290.45999999999998</v>
      </c>
      <c r="T864" s="48">
        <v>223.06</v>
      </c>
      <c r="U864" s="48">
        <v>387.91</v>
      </c>
      <c r="V864" s="48">
        <v>1590.31</v>
      </c>
      <c r="W864" s="48">
        <v>14475.09</v>
      </c>
      <c r="X864">
        <v>36</v>
      </c>
      <c r="Y864" t="s">
        <v>90</v>
      </c>
      <c r="Z864">
        <v>36.17</v>
      </c>
      <c r="AA864" t="s">
        <v>91</v>
      </c>
      <c r="AB864" t="s">
        <v>47</v>
      </c>
      <c r="AC864" t="s">
        <v>70</v>
      </c>
      <c r="AD864" t="s">
        <v>93</v>
      </c>
      <c r="AE864" t="s">
        <v>50</v>
      </c>
      <c r="AF864" s="5">
        <f>DATE(YEAR(C864),MONTH(C864),1)</f>
        <v>45992</v>
      </c>
      <c r="AG864">
        <f>E864-D864</f>
        <v>21</v>
      </c>
      <c r="AH864" s="6">
        <f t="shared" si="13"/>
        <v>64.893024682059774</v>
      </c>
    </row>
    <row r="865" spans="1:34">
      <c r="A865" t="s">
        <v>1843</v>
      </c>
      <c r="B865" t="s">
        <v>1844</v>
      </c>
      <c r="C865" s="1">
        <v>45801</v>
      </c>
      <c r="D865" s="1">
        <v>45802</v>
      </c>
      <c r="E865" s="1">
        <v>45827</v>
      </c>
      <c r="F865" t="s">
        <v>53</v>
      </c>
      <c r="G865" t="s">
        <v>54</v>
      </c>
      <c r="H865" t="s">
        <v>55</v>
      </c>
      <c r="I865" t="s">
        <v>115</v>
      </c>
      <c r="J865" t="s">
        <v>56</v>
      </c>
      <c r="K865" t="s">
        <v>41</v>
      </c>
      <c r="L865" t="s">
        <v>59</v>
      </c>
      <c r="M865" t="s">
        <v>43</v>
      </c>
      <c r="N865">
        <v>4</v>
      </c>
      <c r="O865" t="s">
        <v>44</v>
      </c>
      <c r="P865" s="48">
        <v>26571.01</v>
      </c>
      <c r="Q865" s="48">
        <v>4335.04</v>
      </c>
      <c r="R865" s="48">
        <v>1359.94</v>
      </c>
      <c r="S865" s="48">
        <v>384.35</v>
      </c>
      <c r="T865" s="48">
        <v>265.70999999999998</v>
      </c>
      <c r="U865" s="48">
        <v>863.22</v>
      </c>
      <c r="V865" s="48">
        <v>551.30999999999995</v>
      </c>
      <c r="W865" s="48">
        <v>18811.439999999999</v>
      </c>
      <c r="X865">
        <v>48</v>
      </c>
      <c r="Y865" t="s">
        <v>101</v>
      </c>
      <c r="Z865">
        <v>36.130000000000003</v>
      </c>
      <c r="AA865" t="s">
        <v>91</v>
      </c>
      <c r="AB865" t="s">
        <v>92</v>
      </c>
      <c r="AC865" t="s">
        <v>70</v>
      </c>
      <c r="AD865" t="s">
        <v>130</v>
      </c>
      <c r="AE865" t="s">
        <v>62</v>
      </c>
      <c r="AF865" s="5">
        <f>DATE(YEAR(C865),MONTH(C865),1)</f>
        <v>45778</v>
      </c>
      <c r="AG865">
        <f>E865-D865</f>
        <v>25</v>
      </c>
      <c r="AH865" s="6">
        <f t="shared" si="13"/>
        <v>70.796857176298531</v>
      </c>
    </row>
    <row r="866" spans="1:34">
      <c r="A866" t="s">
        <v>1845</v>
      </c>
      <c r="B866" t="s">
        <v>1846</v>
      </c>
      <c r="C866" s="1">
        <v>45968</v>
      </c>
      <c r="D866" s="1">
        <v>45971</v>
      </c>
      <c r="E866" s="1">
        <v>45986</v>
      </c>
      <c r="F866" t="s">
        <v>96</v>
      </c>
      <c r="G866" t="s">
        <v>97</v>
      </c>
      <c r="H866" t="s">
        <v>76</v>
      </c>
      <c r="I866" t="s">
        <v>40</v>
      </c>
      <c r="J866" t="s">
        <v>122</v>
      </c>
      <c r="K866" t="s">
        <v>123</v>
      </c>
      <c r="L866" t="s">
        <v>78</v>
      </c>
      <c r="M866" t="s">
        <v>68</v>
      </c>
      <c r="N866">
        <v>1</v>
      </c>
      <c r="O866" t="s">
        <v>80</v>
      </c>
      <c r="P866" s="48">
        <v>16279.26</v>
      </c>
      <c r="Q866" s="48">
        <v>4328.2299999999996</v>
      </c>
      <c r="R866" s="48">
        <v>1279.5</v>
      </c>
      <c r="S866" s="48">
        <v>252.75</v>
      </c>
      <c r="T866" s="48">
        <v>162.79</v>
      </c>
      <c r="U866" s="48">
        <v>536.13</v>
      </c>
      <c r="V866" s="48">
        <v>1619.71</v>
      </c>
      <c r="W866" s="48">
        <v>8100.15</v>
      </c>
      <c r="X866">
        <v>4</v>
      </c>
      <c r="Y866" t="s">
        <v>135</v>
      </c>
      <c r="Z866">
        <v>36.07</v>
      </c>
      <c r="AA866" t="s">
        <v>91</v>
      </c>
      <c r="AB866" t="s">
        <v>47</v>
      </c>
      <c r="AC866" t="s">
        <v>60</v>
      </c>
      <c r="AD866" t="s">
        <v>61</v>
      </c>
      <c r="AE866" t="s">
        <v>102</v>
      </c>
      <c r="AF866" s="5">
        <f>DATE(YEAR(C866),MONTH(C866),1)</f>
        <v>45962</v>
      </c>
      <c r="AG866">
        <f>E866-D866</f>
        <v>15</v>
      </c>
      <c r="AH866" s="6">
        <f t="shared" si="13"/>
        <v>49.757482833986309</v>
      </c>
    </row>
    <row r="867" spans="1:34">
      <c r="A867" t="s">
        <v>1847</v>
      </c>
      <c r="B867" t="s">
        <v>1848</v>
      </c>
      <c r="C867" s="1">
        <v>45690</v>
      </c>
      <c r="D867" s="1">
        <v>45691</v>
      </c>
      <c r="E867" s="1">
        <v>45716</v>
      </c>
      <c r="F867" t="s">
        <v>74</v>
      </c>
      <c r="G867" t="s">
        <v>75</v>
      </c>
      <c r="H867" t="s">
        <v>76</v>
      </c>
      <c r="I867" t="s">
        <v>115</v>
      </c>
      <c r="J867" t="s">
        <v>98</v>
      </c>
      <c r="K867" t="s">
        <v>99</v>
      </c>
      <c r="L867" t="s">
        <v>155</v>
      </c>
      <c r="M867" t="s">
        <v>68</v>
      </c>
      <c r="N867">
        <v>1</v>
      </c>
      <c r="O867" t="s">
        <v>105</v>
      </c>
      <c r="P867" s="48">
        <v>16282.94</v>
      </c>
      <c r="Q867" s="48">
        <v>4320.59</v>
      </c>
      <c r="R867" s="48">
        <v>955.47</v>
      </c>
      <c r="S867" s="48">
        <v>453.48</v>
      </c>
      <c r="T867" s="48">
        <v>162.83000000000001</v>
      </c>
      <c r="U867" s="48">
        <v>168.57</v>
      </c>
      <c r="V867" s="48">
        <v>919.79</v>
      </c>
      <c r="W867" s="48">
        <v>9302.2099999999991</v>
      </c>
      <c r="X867">
        <v>0</v>
      </c>
      <c r="Y867" t="s">
        <v>45</v>
      </c>
      <c r="Z867">
        <v>36</v>
      </c>
      <c r="AA867" t="s">
        <v>46</v>
      </c>
      <c r="AB867" t="s">
        <v>47</v>
      </c>
      <c r="AC867" t="s">
        <v>48</v>
      </c>
      <c r="AD867" t="s">
        <v>130</v>
      </c>
      <c r="AE867" t="s">
        <v>71</v>
      </c>
      <c r="AF867" s="5">
        <f>DATE(YEAR(C867),MONTH(C867),1)</f>
        <v>45689</v>
      </c>
      <c r="AG867">
        <f>E867-D867</f>
        <v>25</v>
      </c>
      <c r="AH867" s="6">
        <f t="shared" si="13"/>
        <v>57.128565234533802</v>
      </c>
    </row>
    <row r="868" spans="1:34">
      <c r="A868" t="s">
        <v>1849</v>
      </c>
      <c r="B868" t="s">
        <v>1850</v>
      </c>
      <c r="C868" s="1">
        <v>45678</v>
      </c>
      <c r="D868" s="1">
        <v>45679</v>
      </c>
      <c r="E868" s="1">
        <v>45707</v>
      </c>
      <c r="F868" t="s">
        <v>153</v>
      </c>
      <c r="G868" t="s">
        <v>75</v>
      </c>
      <c r="H868" t="s">
        <v>154</v>
      </c>
      <c r="I868" t="s">
        <v>115</v>
      </c>
      <c r="J868" t="s">
        <v>98</v>
      </c>
      <c r="K868" t="s">
        <v>99</v>
      </c>
      <c r="L868" t="s">
        <v>127</v>
      </c>
      <c r="M868" t="s">
        <v>108</v>
      </c>
      <c r="N868">
        <v>1</v>
      </c>
      <c r="O868" t="s">
        <v>54</v>
      </c>
      <c r="P868" s="48">
        <v>18268.810000000001</v>
      </c>
      <c r="Q868" s="48">
        <v>4307.3599999999997</v>
      </c>
      <c r="R868" s="48">
        <v>1028.6099999999999</v>
      </c>
      <c r="S868" s="48">
        <v>349.7</v>
      </c>
      <c r="T868" s="48">
        <v>182.69</v>
      </c>
      <c r="U868" s="48">
        <v>636.34</v>
      </c>
      <c r="V868" s="48">
        <v>497.2</v>
      </c>
      <c r="W868" s="48">
        <v>11266.91</v>
      </c>
      <c r="X868">
        <v>0</v>
      </c>
      <c r="Y868" t="s">
        <v>45</v>
      </c>
      <c r="Z868">
        <v>35.89</v>
      </c>
      <c r="AA868" t="s">
        <v>46</v>
      </c>
      <c r="AB868" t="s">
        <v>47</v>
      </c>
      <c r="AC868" t="s">
        <v>48</v>
      </c>
      <c r="AD868" t="s">
        <v>144</v>
      </c>
      <c r="AE868" t="s">
        <v>50</v>
      </c>
      <c r="AF868" s="5">
        <f>DATE(YEAR(C868),MONTH(C868),1)</f>
        <v>45658</v>
      </c>
      <c r="AG868">
        <f>E868-D868</f>
        <v>28</v>
      </c>
      <c r="AH868" s="6">
        <f t="shared" si="13"/>
        <v>61.672927793326437</v>
      </c>
    </row>
    <row r="869" spans="1:34">
      <c r="A869" t="s">
        <v>1851</v>
      </c>
      <c r="B869" t="s">
        <v>1852</v>
      </c>
      <c r="C869" s="1">
        <v>46000</v>
      </c>
      <c r="D869" s="1">
        <v>46001</v>
      </c>
      <c r="E869" s="1">
        <v>46027</v>
      </c>
      <c r="F869" t="s">
        <v>120</v>
      </c>
      <c r="G869" t="s">
        <v>75</v>
      </c>
      <c r="H869" t="s">
        <v>121</v>
      </c>
      <c r="I869" t="s">
        <v>56</v>
      </c>
      <c r="J869" t="s">
        <v>57</v>
      </c>
      <c r="K869" t="s">
        <v>58</v>
      </c>
      <c r="L869" t="s">
        <v>42</v>
      </c>
      <c r="M869" t="s">
        <v>79</v>
      </c>
      <c r="N869">
        <v>2</v>
      </c>
      <c r="O869" t="s">
        <v>69</v>
      </c>
      <c r="P869" s="48">
        <v>26846.6</v>
      </c>
      <c r="Q869" s="48">
        <v>4299.1099999999997</v>
      </c>
      <c r="R869" s="48">
        <v>1964.36</v>
      </c>
      <c r="S869" s="48">
        <v>779.4</v>
      </c>
      <c r="T869" s="48">
        <v>268.47000000000003</v>
      </c>
      <c r="U869" s="48">
        <v>726.49</v>
      </c>
      <c r="V869" s="48">
        <v>1610.11</v>
      </c>
      <c r="W869" s="48">
        <v>17198.66</v>
      </c>
      <c r="X869">
        <v>12</v>
      </c>
      <c r="Y869" t="s">
        <v>112</v>
      </c>
      <c r="Z869">
        <v>35.83</v>
      </c>
      <c r="AA869" t="s">
        <v>91</v>
      </c>
      <c r="AB869" t="s">
        <v>47</v>
      </c>
      <c r="AC869" t="s">
        <v>70</v>
      </c>
      <c r="AD869" t="s">
        <v>49</v>
      </c>
      <c r="AE869" t="s">
        <v>71</v>
      </c>
      <c r="AF869" s="5">
        <f>DATE(YEAR(C869),MONTH(C869),1)</f>
        <v>45992</v>
      </c>
      <c r="AG869">
        <f>E869-D869</f>
        <v>26</v>
      </c>
      <c r="AH869" s="6">
        <f t="shared" si="13"/>
        <v>64.062711851780122</v>
      </c>
    </row>
    <row r="870" spans="1:34">
      <c r="A870" t="s">
        <v>1853</v>
      </c>
      <c r="B870" t="s">
        <v>1854</v>
      </c>
      <c r="C870" s="1">
        <v>45823</v>
      </c>
      <c r="D870" s="1">
        <v>45827</v>
      </c>
      <c r="E870" s="1">
        <v>45844</v>
      </c>
      <c r="F870" t="s">
        <v>83</v>
      </c>
      <c r="G870" t="s">
        <v>84</v>
      </c>
      <c r="H870" t="s">
        <v>85</v>
      </c>
      <c r="I870" t="s">
        <v>56</v>
      </c>
      <c r="J870" t="s">
        <v>57</v>
      </c>
      <c r="K870" t="s">
        <v>58</v>
      </c>
      <c r="L870" t="s">
        <v>42</v>
      </c>
      <c r="M870" t="s">
        <v>108</v>
      </c>
      <c r="N870">
        <v>2</v>
      </c>
      <c r="O870" t="s">
        <v>54</v>
      </c>
      <c r="P870" s="48">
        <v>15779.64</v>
      </c>
      <c r="Q870" s="48">
        <v>4284.22</v>
      </c>
      <c r="R870" s="48">
        <v>1167.07</v>
      </c>
      <c r="S870" s="48">
        <v>316.38</v>
      </c>
      <c r="T870" s="48">
        <v>157.80000000000001</v>
      </c>
      <c r="U870" s="48">
        <v>787.16</v>
      </c>
      <c r="V870" s="48">
        <v>2220.2600000000002</v>
      </c>
      <c r="W870" s="48">
        <v>6846.75</v>
      </c>
      <c r="X870">
        <v>4</v>
      </c>
      <c r="Y870" t="s">
        <v>135</v>
      </c>
      <c r="Z870">
        <v>35.700000000000003</v>
      </c>
      <c r="AA870" t="s">
        <v>91</v>
      </c>
      <c r="AB870" t="s">
        <v>92</v>
      </c>
      <c r="AC870" t="s">
        <v>48</v>
      </c>
      <c r="AD870" t="s">
        <v>49</v>
      </c>
      <c r="AE870" t="s">
        <v>62</v>
      </c>
      <c r="AF870" s="5">
        <f>DATE(YEAR(C870),MONTH(C870),1)</f>
        <v>45809</v>
      </c>
      <c r="AG870">
        <f>E870-D870</f>
        <v>17</v>
      </c>
      <c r="AH870" s="6">
        <f t="shared" si="13"/>
        <v>43.38977315071827</v>
      </c>
    </row>
    <row r="871" spans="1:34">
      <c r="A871" t="s">
        <v>1855</v>
      </c>
      <c r="B871" t="s">
        <v>1856</v>
      </c>
      <c r="C871" s="1">
        <v>45674</v>
      </c>
      <c r="D871" s="1">
        <v>45676</v>
      </c>
      <c r="E871" s="1">
        <v>45701</v>
      </c>
      <c r="F871" t="s">
        <v>83</v>
      </c>
      <c r="G871" t="s">
        <v>84</v>
      </c>
      <c r="H871" t="s">
        <v>85</v>
      </c>
      <c r="I871" t="s">
        <v>86</v>
      </c>
      <c r="J871" t="s">
        <v>87</v>
      </c>
      <c r="K871" t="s">
        <v>88</v>
      </c>
      <c r="L871" t="s">
        <v>59</v>
      </c>
      <c r="M871" t="s">
        <v>108</v>
      </c>
      <c r="N871">
        <v>2</v>
      </c>
      <c r="O871" t="s">
        <v>80</v>
      </c>
      <c r="P871" s="48">
        <v>23166.080000000002</v>
      </c>
      <c r="Q871" s="48">
        <v>4245.45</v>
      </c>
      <c r="R871" s="48">
        <v>1537.53</v>
      </c>
      <c r="S871" s="48">
        <v>575.41999999999996</v>
      </c>
      <c r="T871" s="48">
        <v>231.66</v>
      </c>
      <c r="U871" s="48">
        <v>162.56</v>
      </c>
      <c r="V871" s="48">
        <v>574.64</v>
      </c>
      <c r="W871" s="48">
        <v>15838.82</v>
      </c>
      <c r="X871">
        <v>0</v>
      </c>
      <c r="Y871" t="s">
        <v>45</v>
      </c>
      <c r="Z871">
        <v>35.380000000000003</v>
      </c>
      <c r="AA871" t="s">
        <v>46</v>
      </c>
      <c r="AB871" t="s">
        <v>47</v>
      </c>
      <c r="AC871" t="s">
        <v>60</v>
      </c>
      <c r="AD871" t="s">
        <v>93</v>
      </c>
      <c r="AE871" t="s">
        <v>71</v>
      </c>
      <c r="AF871" s="5">
        <f>DATE(YEAR(C871),MONTH(C871),1)</f>
        <v>45658</v>
      </c>
      <c r="AG871">
        <f>E871-D871</f>
        <v>25</v>
      </c>
      <c r="AH871" s="6">
        <f t="shared" si="13"/>
        <v>68.370738597121303</v>
      </c>
    </row>
    <row r="872" spans="1:34">
      <c r="A872" t="s">
        <v>1857</v>
      </c>
      <c r="B872" t="s">
        <v>1858</v>
      </c>
      <c r="C872" s="1">
        <v>45949</v>
      </c>
      <c r="D872" s="1">
        <v>45950</v>
      </c>
      <c r="E872" s="1">
        <v>45966</v>
      </c>
      <c r="F872" t="s">
        <v>138</v>
      </c>
      <c r="G872" t="s">
        <v>139</v>
      </c>
      <c r="H872" t="s">
        <v>76</v>
      </c>
      <c r="I872" t="s">
        <v>77</v>
      </c>
      <c r="J872" t="s">
        <v>86</v>
      </c>
      <c r="K872" t="s">
        <v>41</v>
      </c>
      <c r="L872" t="s">
        <v>59</v>
      </c>
      <c r="M872" t="s">
        <v>108</v>
      </c>
      <c r="N872">
        <v>2</v>
      </c>
      <c r="O872" t="s">
        <v>105</v>
      </c>
      <c r="P872" s="48">
        <v>15285</v>
      </c>
      <c r="Q872" s="48">
        <v>4219.3</v>
      </c>
      <c r="R872" s="48">
        <v>890.18</v>
      </c>
      <c r="S872" s="48">
        <v>221.52</v>
      </c>
      <c r="T872" s="48">
        <v>152.85</v>
      </c>
      <c r="U872" s="48">
        <v>276.79000000000002</v>
      </c>
      <c r="V872" s="48">
        <v>768.98</v>
      </c>
      <c r="W872" s="48">
        <v>8755.3799999999992</v>
      </c>
      <c r="X872">
        <v>0</v>
      </c>
      <c r="Y872" t="s">
        <v>45</v>
      </c>
      <c r="Z872">
        <v>35.159999999999997</v>
      </c>
      <c r="AA872" t="s">
        <v>46</v>
      </c>
      <c r="AB872" t="s">
        <v>47</v>
      </c>
      <c r="AC872" t="s">
        <v>60</v>
      </c>
      <c r="AD872" t="s">
        <v>130</v>
      </c>
      <c r="AE872" t="s">
        <v>50</v>
      </c>
      <c r="AF872" s="5">
        <f>DATE(YEAR(C872),MONTH(C872),1)</f>
        <v>45931</v>
      </c>
      <c r="AG872">
        <f>E872-D872</f>
        <v>16</v>
      </c>
      <c r="AH872" s="6">
        <f t="shared" si="13"/>
        <v>57.280863591756614</v>
      </c>
    </row>
    <row r="873" spans="1:34">
      <c r="A873" t="s">
        <v>1859</v>
      </c>
      <c r="B873" t="s">
        <v>1860</v>
      </c>
      <c r="C873" s="1">
        <v>45740</v>
      </c>
      <c r="D873" s="1">
        <v>45744</v>
      </c>
      <c r="E873" s="1">
        <v>45761</v>
      </c>
      <c r="F873" t="s">
        <v>65</v>
      </c>
      <c r="G873" t="s">
        <v>66</v>
      </c>
      <c r="H873" t="s">
        <v>67</v>
      </c>
      <c r="I873" t="s">
        <v>115</v>
      </c>
      <c r="J873" t="s">
        <v>98</v>
      </c>
      <c r="K873" t="s">
        <v>99</v>
      </c>
      <c r="L873" t="s">
        <v>100</v>
      </c>
      <c r="M873" t="s">
        <v>68</v>
      </c>
      <c r="N873">
        <v>2</v>
      </c>
      <c r="O873" t="s">
        <v>54</v>
      </c>
      <c r="P873" s="48">
        <v>17572.900000000001</v>
      </c>
      <c r="Q873" s="48">
        <v>4201.7299999999996</v>
      </c>
      <c r="R873" s="48">
        <v>912.58</v>
      </c>
      <c r="S873" s="48">
        <v>452.94</v>
      </c>
      <c r="T873" s="48">
        <v>175.73</v>
      </c>
      <c r="U873" s="48">
        <v>810.49</v>
      </c>
      <c r="V873" s="48">
        <v>1830.25</v>
      </c>
      <c r="W873" s="48">
        <v>9189.18</v>
      </c>
      <c r="X873">
        <v>12</v>
      </c>
      <c r="Y873" t="s">
        <v>90</v>
      </c>
      <c r="Z873">
        <v>35.01</v>
      </c>
      <c r="AA873" t="s">
        <v>91</v>
      </c>
      <c r="AB873" t="s">
        <v>47</v>
      </c>
      <c r="AC873" t="s">
        <v>48</v>
      </c>
      <c r="AD873" t="s">
        <v>144</v>
      </c>
      <c r="AE873" t="s">
        <v>71</v>
      </c>
      <c r="AF873" s="5">
        <f>DATE(YEAR(C873),MONTH(C873),1)</f>
        <v>45717</v>
      </c>
      <c r="AG873">
        <f>E873-D873</f>
        <v>17</v>
      </c>
      <c r="AH873" s="6">
        <f t="shared" si="13"/>
        <v>52.291767437360939</v>
      </c>
    </row>
    <row r="874" spans="1:34">
      <c r="A874" t="s">
        <v>1861</v>
      </c>
      <c r="B874" t="s">
        <v>1862</v>
      </c>
      <c r="C874" s="1">
        <v>45748</v>
      </c>
      <c r="D874" s="1">
        <v>45750</v>
      </c>
      <c r="E874" s="1">
        <v>45764</v>
      </c>
      <c r="F874" t="s">
        <v>120</v>
      </c>
      <c r="G874" t="s">
        <v>75</v>
      </c>
      <c r="H874" t="s">
        <v>121</v>
      </c>
      <c r="I874" t="s">
        <v>40</v>
      </c>
      <c r="J874" t="s">
        <v>122</v>
      </c>
      <c r="K874" t="s">
        <v>123</v>
      </c>
      <c r="L874" t="s">
        <v>59</v>
      </c>
      <c r="M874" t="s">
        <v>108</v>
      </c>
      <c r="N874">
        <v>2</v>
      </c>
      <c r="O874" t="s">
        <v>44</v>
      </c>
      <c r="P874" s="48">
        <v>21668.61</v>
      </c>
      <c r="Q874" s="48">
        <v>4178.18</v>
      </c>
      <c r="R874" s="48">
        <v>1414.25</v>
      </c>
      <c r="S874" s="48">
        <v>256.95</v>
      </c>
      <c r="T874" s="48">
        <v>216.69</v>
      </c>
      <c r="U874" s="48">
        <v>210.25</v>
      </c>
      <c r="V874" s="48">
        <v>2461.4299999999998</v>
      </c>
      <c r="W874" s="48">
        <v>12930.86</v>
      </c>
      <c r="X874">
        <v>24</v>
      </c>
      <c r="Y874" t="s">
        <v>101</v>
      </c>
      <c r="Z874">
        <v>34.82</v>
      </c>
      <c r="AA874" t="s">
        <v>91</v>
      </c>
      <c r="AB874" t="s">
        <v>47</v>
      </c>
      <c r="AC874" t="s">
        <v>48</v>
      </c>
      <c r="AD874" t="s">
        <v>49</v>
      </c>
      <c r="AE874" t="s">
        <v>71</v>
      </c>
      <c r="AF874" s="5">
        <f>DATE(YEAR(C874),MONTH(C874),1)</f>
        <v>45748</v>
      </c>
      <c r="AG874">
        <f>E874-D874</f>
        <v>14</v>
      </c>
      <c r="AH874" s="6">
        <f t="shared" si="13"/>
        <v>59.675539870808514</v>
      </c>
    </row>
    <row r="875" spans="1:34">
      <c r="A875" t="s">
        <v>1863</v>
      </c>
      <c r="B875" t="s">
        <v>1864</v>
      </c>
      <c r="C875" s="1">
        <v>45658</v>
      </c>
      <c r="D875" s="1">
        <v>45661</v>
      </c>
      <c r="E875" s="1">
        <v>45684</v>
      </c>
      <c r="F875" t="s">
        <v>53</v>
      </c>
      <c r="G875" t="s">
        <v>54</v>
      </c>
      <c r="H875" t="s">
        <v>55</v>
      </c>
      <c r="I875" t="s">
        <v>56</v>
      </c>
      <c r="J875" t="s">
        <v>57</v>
      </c>
      <c r="K875" t="s">
        <v>58</v>
      </c>
      <c r="L875" t="s">
        <v>127</v>
      </c>
      <c r="M875" t="s">
        <v>43</v>
      </c>
      <c r="N875">
        <v>1</v>
      </c>
      <c r="O875" t="s">
        <v>44</v>
      </c>
      <c r="P875" s="48">
        <v>21591.19</v>
      </c>
      <c r="Q875" s="48">
        <v>4173.34</v>
      </c>
      <c r="R875" s="48">
        <v>1023.26</v>
      </c>
      <c r="S875" s="48">
        <v>464.09</v>
      </c>
      <c r="T875" s="48">
        <v>215.91</v>
      </c>
      <c r="U875" s="48">
        <v>438.15</v>
      </c>
      <c r="V875" s="48">
        <v>1616.95</v>
      </c>
      <c r="W875" s="48">
        <v>13659.49</v>
      </c>
      <c r="X875">
        <v>0</v>
      </c>
      <c r="Y875" t="s">
        <v>45</v>
      </c>
      <c r="Z875">
        <v>34.78</v>
      </c>
      <c r="AA875" t="s">
        <v>46</v>
      </c>
      <c r="AB875" t="s">
        <v>47</v>
      </c>
      <c r="AC875" t="s">
        <v>48</v>
      </c>
      <c r="AD875" t="s">
        <v>49</v>
      </c>
      <c r="AE875" t="s">
        <v>71</v>
      </c>
      <c r="AF875" s="5">
        <f>DATE(YEAR(C875),MONTH(C875),1)</f>
        <v>45658</v>
      </c>
      <c r="AG875">
        <f>E875-D875</f>
        <v>23</v>
      </c>
      <c r="AH875" s="6">
        <f t="shared" si="13"/>
        <v>63.264183215468904</v>
      </c>
    </row>
    <row r="876" spans="1:34">
      <c r="A876" t="s">
        <v>1865</v>
      </c>
      <c r="B876" t="s">
        <v>1866</v>
      </c>
      <c r="C876" s="1">
        <v>45830</v>
      </c>
      <c r="D876" s="1">
        <v>45832</v>
      </c>
      <c r="E876" s="1">
        <v>45860</v>
      </c>
      <c r="F876" t="s">
        <v>83</v>
      </c>
      <c r="G876" t="s">
        <v>84</v>
      </c>
      <c r="H876" t="s">
        <v>85</v>
      </c>
      <c r="I876" t="s">
        <v>86</v>
      </c>
      <c r="J876" t="s">
        <v>87</v>
      </c>
      <c r="K876" t="s">
        <v>88</v>
      </c>
      <c r="L876" t="s">
        <v>59</v>
      </c>
      <c r="M876" t="s">
        <v>43</v>
      </c>
      <c r="N876">
        <v>1</v>
      </c>
      <c r="O876" t="s">
        <v>44</v>
      </c>
      <c r="P876" s="48">
        <v>23599.05</v>
      </c>
      <c r="Q876" s="48">
        <v>4157.3900000000003</v>
      </c>
      <c r="R876" s="48">
        <v>1667.75</v>
      </c>
      <c r="S876" s="48">
        <v>443.87</v>
      </c>
      <c r="T876" s="48">
        <v>235.99</v>
      </c>
      <c r="U876" s="48">
        <v>804.91</v>
      </c>
      <c r="V876" s="48">
        <v>2298</v>
      </c>
      <c r="W876" s="48">
        <v>13991.14</v>
      </c>
      <c r="X876">
        <v>0</v>
      </c>
      <c r="Y876" t="s">
        <v>45</v>
      </c>
      <c r="Z876">
        <v>34.64</v>
      </c>
      <c r="AA876" t="s">
        <v>46</v>
      </c>
      <c r="AB876" t="s">
        <v>92</v>
      </c>
      <c r="AC876" t="s">
        <v>60</v>
      </c>
      <c r="AD876" t="s">
        <v>93</v>
      </c>
      <c r="AE876" t="s">
        <v>71</v>
      </c>
      <c r="AF876" s="5">
        <f>DATE(YEAR(C876),MONTH(C876),1)</f>
        <v>45809</v>
      </c>
      <c r="AG876">
        <f>E876-D876</f>
        <v>28</v>
      </c>
      <c r="AH876" s="6">
        <f t="shared" si="13"/>
        <v>59.286878073481773</v>
      </c>
    </row>
    <row r="877" spans="1:34">
      <c r="A877" t="s">
        <v>1867</v>
      </c>
      <c r="B877" t="s">
        <v>1868</v>
      </c>
      <c r="C877" s="1">
        <v>45667</v>
      </c>
      <c r="D877" s="1">
        <v>45670</v>
      </c>
      <c r="E877" s="1">
        <v>45687</v>
      </c>
      <c r="F877" t="s">
        <v>96</v>
      </c>
      <c r="G877" t="s">
        <v>97</v>
      </c>
      <c r="H877" t="s">
        <v>76</v>
      </c>
      <c r="I877" t="s">
        <v>57</v>
      </c>
      <c r="J877" t="s">
        <v>98</v>
      </c>
      <c r="K877" t="s">
        <v>99</v>
      </c>
      <c r="L877" t="s">
        <v>100</v>
      </c>
      <c r="M877" t="s">
        <v>108</v>
      </c>
      <c r="N877">
        <v>1</v>
      </c>
      <c r="O877" t="s">
        <v>111</v>
      </c>
      <c r="P877" s="48">
        <v>17867.45</v>
      </c>
      <c r="Q877" s="48">
        <v>4135.7700000000004</v>
      </c>
      <c r="R877" s="48">
        <v>1196.22</v>
      </c>
      <c r="S877" s="48">
        <v>349.13</v>
      </c>
      <c r="T877" s="48">
        <v>178.67</v>
      </c>
      <c r="U877" s="48">
        <v>735.46</v>
      </c>
      <c r="V877" s="48">
        <v>1288.18</v>
      </c>
      <c r="W877" s="48">
        <v>9984.02</v>
      </c>
      <c r="X877">
        <v>48</v>
      </c>
      <c r="Y877" t="s">
        <v>135</v>
      </c>
      <c r="Z877">
        <v>34.46</v>
      </c>
      <c r="AA877" t="s">
        <v>91</v>
      </c>
      <c r="AB877" t="s">
        <v>47</v>
      </c>
      <c r="AC877" t="s">
        <v>48</v>
      </c>
      <c r="AD877" t="s">
        <v>144</v>
      </c>
      <c r="AE877" t="s">
        <v>71</v>
      </c>
      <c r="AF877" s="5">
        <f>DATE(YEAR(C877),MONTH(C877),1)</f>
        <v>45658</v>
      </c>
      <c r="AG877">
        <f>E877-D877</f>
        <v>17</v>
      </c>
      <c r="AH877" s="6">
        <f t="shared" si="13"/>
        <v>55.878259068865454</v>
      </c>
    </row>
    <row r="878" spans="1:34">
      <c r="A878" t="s">
        <v>1869</v>
      </c>
      <c r="B878" t="s">
        <v>1870</v>
      </c>
      <c r="C878" s="1">
        <v>45879</v>
      </c>
      <c r="D878" s="1">
        <v>45880</v>
      </c>
      <c r="E878" s="1">
        <v>45908</v>
      </c>
      <c r="F878" t="s">
        <v>234</v>
      </c>
      <c r="G878" t="s">
        <v>111</v>
      </c>
      <c r="H878" t="s">
        <v>150</v>
      </c>
      <c r="I878" t="s">
        <v>86</v>
      </c>
      <c r="J878" t="s">
        <v>87</v>
      </c>
      <c r="K878" t="s">
        <v>88</v>
      </c>
      <c r="L878" t="s">
        <v>42</v>
      </c>
      <c r="M878" t="s">
        <v>79</v>
      </c>
      <c r="N878">
        <v>2</v>
      </c>
      <c r="O878" t="s">
        <v>111</v>
      </c>
      <c r="P878" s="48">
        <v>20650.38</v>
      </c>
      <c r="Q878" s="48">
        <v>4110.3</v>
      </c>
      <c r="R878" s="48">
        <v>1139.3800000000001</v>
      </c>
      <c r="S878" s="48">
        <v>577.03</v>
      </c>
      <c r="T878" s="48">
        <v>206.5</v>
      </c>
      <c r="U878" s="48">
        <v>321.54000000000002</v>
      </c>
      <c r="V878" s="48">
        <v>1600.13</v>
      </c>
      <c r="W878" s="48">
        <v>12695.5</v>
      </c>
      <c r="X878">
        <v>4</v>
      </c>
      <c r="Y878" t="s">
        <v>117</v>
      </c>
      <c r="Z878">
        <v>34.25</v>
      </c>
      <c r="AA878" t="s">
        <v>91</v>
      </c>
      <c r="AB878" t="s">
        <v>47</v>
      </c>
      <c r="AC878" t="s">
        <v>48</v>
      </c>
      <c r="AD878" t="s">
        <v>49</v>
      </c>
      <c r="AE878" t="s">
        <v>50</v>
      </c>
      <c r="AF878" s="5">
        <f>DATE(YEAR(C878),MONTH(C878),1)</f>
        <v>45870</v>
      </c>
      <c r="AG878">
        <f>E878-D878</f>
        <v>28</v>
      </c>
      <c r="AH878" s="6">
        <f t="shared" si="13"/>
        <v>61.478287566621049</v>
      </c>
    </row>
    <row r="879" spans="1:34">
      <c r="A879" t="s">
        <v>1871</v>
      </c>
      <c r="B879" t="s">
        <v>1872</v>
      </c>
      <c r="C879" s="1">
        <v>45740</v>
      </c>
      <c r="D879" s="1">
        <v>45742</v>
      </c>
      <c r="E879" s="1">
        <v>45764</v>
      </c>
      <c r="F879" t="s">
        <v>149</v>
      </c>
      <c r="G879" t="s">
        <v>111</v>
      </c>
      <c r="H879" t="s">
        <v>150</v>
      </c>
      <c r="I879" t="s">
        <v>40</v>
      </c>
      <c r="J879" t="s">
        <v>122</v>
      </c>
      <c r="K879" t="s">
        <v>123</v>
      </c>
      <c r="L879" t="s">
        <v>78</v>
      </c>
      <c r="M879" t="s">
        <v>43</v>
      </c>
      <c r="N879">
        <v>1</v>
      </c>
      <c r="O879" t="s">
        <v>111</v>
      </c>
      <c r="P879" s="48">
        <v>15023.82</v>
      </c>
      <c r="Q879" s="48">
        <v>4079.37</v>
      </c>
      <c r="R879" s="48">
        <v>741.07</v>
      </c>
      <c r="S879" s="48">
        <v>262.86</v>
      </c>
      <c r="T879" s="48">
        <v>150.24</v>
      </c>
      <c r="U879" s="48">
        <v>286.22000000000003</v>
      </c>
      <c r="V879" s="48">
        <v>1097.21</v>
      </c>
      <c r="W879" s="48">
        <v>8406.85</v>
      </c>
      <c r="X879">
        <v>0</v>
      </c>
      <c r="Y879" t="s">
        <v>45</v>
      </c>
      <c r="Z879">
        <v>33.99</v>
      </c>
      <c r="AA879" t="s">
        <v>46</v>
      </c>
      <c r="AB879" t="s">
        <v>47</v>
      </c>
      <c r="AC879" t="s">
        <v>70</v>
      </c>
      <c r="AD879" t="s">
        <v>144</v>
      </c>
      <c r="AE879" t="s">
        <v>50</v>
      </c>
      <c r="AF879" s="5">
        <f>DATE(YEAR(C879),MONTH(C879),1)</f>
        <v>45717</v>
      </c>
      <c r="AG879">
        <f>E879-D879</f>
        <v>22</v>
      </c>
      <c r="AH879" s="6">
        <f t="shared" si="13"/>
        <v>55.956807256742955</v>
      </c>
    </row>
    <row r="880" spans="1:34">
      <c r="A880" t="s">
        <v>1873</v>
      </c>
      <c r="B880" t="s">
        <v>1874</v>
      </c>
      <c r="C880" s="1">
        <v>45692</v>
      </c>
      <c r="D880" s="1">
        <v>45696</v>
      </c>
      <c r="E880" s="1">
        <v>45723</v>
      </c>
      <c r="F880" t="s">
        <v>149</v>
      </c>
      <c r="G880" t="s">
        <v>111</v>
      </c>
      <c r="H880" t="s">
        <v>150</v>
      </c>
      <c r="I880" t="s">
        <v>56</v>
      </c>
      <c r="J880" t="s">
        <v>87</v>
      </c>
      <c r="K880" t="s">
        <v>41</v>
      </c>
      <c r="L880" t="s">
        <v>100</v>
      </c>
      <c r="M880" t="s">
        <v>79</v>
      </c>
      <c r="N880">
        <v>2</v>
      </c>
      <c r="O880" t="s">
        <v>105</v>
      </c>
      <c r="P880" s="48">
        <v>15466.69</v>
      </c>
      <c r="Q880" s="48">
        <v>4072.65</v>
      </c>
      <c r="R880" s="48">
        <v>963.59</v>
      </c>
      <c r="S880" s="48">
        <v>178.33</v>
      </c>
      <c r="T880" s="48">
        <v>154.66999999999999</v>
      </c>
      <c r="U880" s="48">
        <v>811.62</v>
      </c>
      <c r="V880" s="48">
        <v>926.81</v>
      </c>
      <c r="W880" s="48">
        <v>8359.02</v>
      </c>
      <c r="X880">
        <v>12</v>
      </c>
      <c r="Y880" t="s">
        <v>135</v>
      </c>
      <c r="Z880">
        <v>33.94</v>
      </c>
      <c r="AA880" t="s">
        <v>91</v>
      </c>
      <c r="AB880" t="s">
        <v>47</v>
      </c>
      <c r="AC880" t="s">
        <v>70</v>
      </c>
      <c r="AD880" t="s">
        <v>144</v>
      </c>
      <c r="AE880" t="s">
        <v>102</v>
      </c>
      <c r="AF880" s="5">
        <f>DATE(YEAR(C880),MONTH(C880),1)</f>
        <v>45689</v>
      </c>
      <c r="AG880">
        <f>E880-D880</f>
        <v>27</v>
      </c>
      <c r="AH880" s="6">
        <f t="shared" si="13"/>
        <v>54.045306397167067</v>
      </c>
    </row>
    <row r="881" spans="1:34">
      <c r="A881" t="s">
        <v>1875</v>
      </c>
      <c r="B881" t="s">
        <v>1876</v>
      </c>
      <c r="C881" s="1">
        <v>45903</v>
      </c>
      <c r="D881" s="1">
        <v>45906</v>
      </c>
      <c r="E881" s="1">
        <v>45916</v>
      </c>
      <c r="F881" t="s">
        <v>180</v>
      </c>
      <c r="G881" t="s">
        <v>181</v>
      </c>
      <c r="H881" t="s">
        <v>38</v>
      </c>
      <c r="I881" t="s">
        <v>56</v>
      </c>
      <c r="J881" t="s">
        <v>57</v>
      </c>
      <c r="K881" t="s">
        <v>58</v>
      </c>
      <c r="L881" t="s">
        <v>78</v>
      </c>
      <c r="M881" t="s">
        <v>68</v>
      </c>
      <c r="N881">
        <v>2</v>
      </c>
      <c r="O881" t="s">
        <v>69</v>
      </c>
      <c r="P881" s="48">
        <v>14739.93</v>
      </c>
      <c r="Q881" s="48">
        <v>4062.99</v>
      </c>
      <c r="R881" s="48">
        <v>917.26</v>
      </c>
      <c r="S881" s="48">
        <v>215.85</v>
      </c>
      <c r="T881" s="48">
        <v>147.4</v>
      </c>
      <c r="U881" s="48">
        <v>358.36</v>
      </c>
      <c r="V881" s="48">
        <v>894.5</v>
      </c>
      <c r="W881" s="48">
        <v>8143.57</v>
      </c>
      <c r="X881">
        <v>0</v>
      </c>
      <c r="Y881" t="s">
        <v>45</v>
      </c>
      <c r="Z881">
        <v>33.86</v>
      </c>
      <c r="AA881" t="s">
        <v>46</v>
      </c>
      <c r="AB881" t="s">
        <v>47</v>
      </c>
      <c r="AC881" t="s">
        <v>70</v>
      </c>
      <c r="AD881" t="s">
        <v>144</v>
      </c>
      <c r="AE881" t="s">
        <v>71</v>
      </c>
      <c r="AF881" s="5">
        <f>DATE(YEAR(C881),MONTH(C881),1)</f>
        <v>45901</v>
      </c>
      <c r="AG881">
        <f>E881-D881</f>
        <v>10</v>
      </c>
      <c r="AH881" s="6">
        <f t="shared" si="13"/>
        <v>55.248362780555937</v>
      </c>
    </row>
    <row r="882" spans="1:34">
      <c r="A882" t="s">
        <v>1877</v>
      </c>
      <c r="B882" t="s">
        <v>1878</v>
      </c>
      <c r="C882" s="1">
        <v>45684</v>
      </c>
      <c r="D882" s="1">
        <v>45686</v>
      </c>
      <c r="E882" s="1">
        <v>45705</v>
      </c>
      <c r="F882" t="s">
        <v>149</v>
      </c>
      <c r="G882" t="s">
        <v>111</v>
      </c>
      <c r="H882" t="s">
        <v>150</v>
      </c>
      <c r="I882" t="s">
        <v>86</v>
      </c>
      <c r="J882" t="s">
        <v>87</v>
      </c>
      <c r="K882" t="s">
        <v>88</v>
      </c>
      <c r="L882" t="s">
        <v>124</v>
      </c>
      <c r="M882" t="s">
        <v>108</v>
      </c>
      <c r="N882">
        <v>1</v>
      </c>
      <c r="O882" t="s">
        <v>111</v>
      </c>
      <c r="P882" s="48">
        <v>21660.560000000001</v>
      </c>
      <c r="Q882" s="48">
        <v>4060.24</v>
      </c>
      <c r="R882" s="48">
        <v>883.29</v>
      </c>
      <c r="S882" s="48">
        <v>271.95</v>
      </c>
      <c r="T882" s="48">
        <v>216.61</v>
      </c>
      <c r="U882" s="48">
        <v>348.7</v>
      </c>
      <c r="V882" s="48">
        <v>774.5</v>
      </c>
      <c r="W882" s="48">
        <v>15105.27</v>
      </c>
      <c r="X882">
        <v>0</v>
      </c>
      <c r="Y882" t="s">
        <v>45</v>
      </c>
      <c r="Z882">
        <v>33.840000000000003</v>
      </c>
      <c r="AA882" t="s">
        <v>46</v>
      </c>
      <c r="AB882" t="s">
        <v>47</v>
      </c>
      <c r="AC882" t="s">
        <v>48</v>
      </c>
      <c r="AD882" t="s">
        <v>93</v>
      </c>
      <c r="AE882" t="s">
        <v>71</v>
      </c>
      <c r="AF882" s="5">
        <f>DATE(YEAR(C882),MONTH(C882),1)</f>
        <v>45658</v>
      </c>
      <c r="AG882">
        <f>E882-D882</f>
        <v>19</v>
      </c>
      <c r="AH882" s="6">
        <f t="shared" si="13"/>
        <v>69.736285673131263</v>
      </c>
    </row>
    <row r="883" spans="1:34">
      <c r="A883" t="s">
        <v>1879</v>
      </c>
      <c r="B883" t="s">
        <v>1880</v>
      </c>
      <c r="C883" s="1">
        <v>45898</v>
      </c>
      <c r="D883" s="1">
        <v>45899</v>
      </c>
      <c r="E883" s="1">
        <v>45925</v>
      </c>
      <c r="F883" t="s">
        <v>153</v>
      </c>
      <c r="G883" t="s">
        <v>75</v>
      </c>
      <c r="H883" t="s">
        <v>154</v>
      </c>
      <c r="I883" t="s">
        <v>57</v>
      </c>
      <c r="J883" t="s">
        <v>98</v>
      </c>
      <c r="K883" t="s">
        <v>99</v>
      </c>
      <c r="L883" t="s">
        <v>124</v>
      </c>
      <c r="M883" t="s">
        <v>79</v>
      </c>
      <c r="N883">
        <v>2</v>
      </c>
      <c r="O883" t="s">
        <v>105</v>
      </c>
      <c r="P883" s="48">
        <v>21164.45</v>
      </c>
      <c r="Q883" s="48">
        <v>4042.24</v>
      </c>
      <c r="R883" s="48">
        <v>1253.18</v>
      </c>
      <c r="S883" s="48">
        <v>455.25</v>
      </c>
      <c r="T883" s="48">
        <v>211.64</v>
      </c>
      <c r="U883" s="48">
        <v>130.22999999999999</v>
      </c>
      <c r="V883" s="48">
        <v>1196.05</v>
      </c>
      <c r="W883" s="48">
        <v>13875.86</v>
      </c>
      <c r="X883">
        <v>48</v>
      </c>
      <c r="Y883" t="s">
        <v>135</v>
      </c>
      <c r="Z883">
        <v>33.69</v>
      </c>
      <c r="AA883" t="s">
        <v>91</v>
      </c>
      <c r="AB883" t="s">
        <v>47</v>
      </c>
      <c r="AC883" t="s">
        <v>70</v>
      </c>
      <c r="AD883" t="s">
        <v>49</v>
      </c>
      <c r="AE883" t="s">
        <v>62</v>
      </c>
      <c r="AF883" s="5">
        <f>DATE(YEAR(C883),MONTH(C883),1)</f>
        <v>45870</v>
      </c>
      <c r="AG883">
        <f>E883-D883</f>
        <v>26</v>
      </c>
      <c r="AH883" s="6">
        <f t="shared" si="13"/>
        <v>65.562110047745165</v>
      </c>
    </row>
    <row r="884" spans="1:34">
      <c r="A884" t="s">
        <v>1881</v>
      </c>
      <c r="B884" t="s">
        <v>1882</v>
      </c>
      <c r="C884" s="1">
        <v>46010</v>
      </c>
      <c r="D884" s="1">
        <v>46011</v>
      </c>
      <c r="E884" s="1">
        <v>46033</v>
      </c>
      <c r="F884" t="s">
        <v>36</v>
      </c>
      <c r="G884" t="s">
        <v>37</v>
      </c>
      <c r="H884" t="s">
        <v>38</v>
      </c>
      <c r="I884" t="s">
        <v>115</v>
      </c>
      <c r="J884" t="s">
        <v>98</v>
      </c>
      <c r="K884" t="s">
        <v>99</v>
      </c>
      <c r="L884" t="s">
        <v>116</v>
      </c>
      <c r="M884" t="s">
        <v>108</v>
      </c>
      <c r="N884">
        <v>1</v>
      </c>
      <c r="O884" t="s">
        <v>89</v>
      </c>
      <c r="P884" s="48">
        <v>22936.34</v>
      </c>
      <c r="Q884" s="48">
        <v>4032.74</v>
      </c>
      <c r="R884" s="48">
        <v>936.07</v>
      </c>
      <c r="S884" s="48">
        <v>440.44</v>
      </c>
      <c r="T884" s="48">
        <v>229.36</v>
      </c>
      <c r="U884" s="48">
        <v>648.55999999999995</v>
      </c>
      <c r="V884" s="48">
        <v>1343</v>
      </c>
      <c r="W884" s="48">
        <v>15306.17</v>
      </c>
      <c r="X884">
        <v>48</v>
      </c>
      <c r="Y884" t="s">
        <v>135</v>
      </c>
      <c r="Z884">
        <v>33.61</v>
      </c>
      <c r="AA884" t="s">
        <v>91</v>
      </c>
      <c r="AB884" t="s">
        <v>47</v>
      </c>
      <c r="AC884" t="s">
        <v>48</v>
      </c>
      <c r="AD884" t="s">
        <v>144</v>
      </c>
      <c r="AE884" t="s">
        <v>71</v>
      </c>
      <c r="AF884" s="5">
        <f>DATE(YEAR(C884),MONTH(C884),1)</f>
        <v>45992</v>
      </c>
      <c r="AG884">
        <f>E884-D884</f>
        <v>22</v>
      </c>
      <c r="AH884" s="6">
        <f t="shared" si="13"/>
        <v>66.733271306581614</v>
      </c>
    </row>
    <row r="885" spans="1:34">
      <c r="A885" t="s">
        <v>1883</v>
      </c>
      <c r="B885" t="s">
        <v>1884</v>
      </c>
      <c r="C885" s="1">
        <v>45933</v>
      </c>
      <c r="D885" s="1">
        <v>45935</v>
      </c>
      <c r="E885" s="1">
        <v>45957</v>
      </c>
      <c r="F885" t="s">
        <v>96</v>
      </c>
      <c r="G885" t="s">
        <v>97</v>
      </c>
      <c r="H885" t="s">
        <v>76</v>
      </c>
      <c r="I885" t="s">
        <v>39</v>
      </c>
      <c r="J885" t="s">
        <v>98</v>
      </c>
      <c r="K885" t="s">
        <v>41</v>
      </c>
      <c r="L885" t="s">
        <v>78</v>
      </c>
      <c r="M885" t="s">
        <v>43</v>
      </c>
      <c r="N885">
        <v>2</v>
      </c>
      <c r="O885" t="s">
        <v>54</v>
      </c>
      <c r="P885" s="48">
        <v>14162.46</v>
      </c>
      <c r="Q885" s="48">
        <v>4006.47</v>
      </c>
      <c r="R885" s="48">
        <v>566.91</v>
      </c>
      <c r="S885" s="48">
        <v>158.88999999999999</v>
      </c>
      <c r="T885" s="48">
        <v>141.62</v>
      </c>
      <c r="U885" s="48">
        <v>305.91000000000003</v>
      </c>
      <c r="V885" s="48">
        <v>2270.73</v>
      </c>
      <c r="W885" s="48">
        <v>6711.93</v>
      </c>
      <c r="X885">
        <v>0</v>
      </c>
      <c r="Y885" t="s">
        <v>45</v>
      </c>
      <c r="Z885">
        <v>33.39</v>
      </c>
      <c r="AA885" t="s">
        <v>46</v>
      </c>
      <c r="AB885" t="s">
        <v>92</v>
      </c>
      <c r="AC885" t="s">
        <v>60</v>
      </c>
      <c r="AD885" t="s">
        <v>144</v>
      </c>
      <c r="AE885" t="s">
        <v>71</v>
      </c>
      <c r="AF885" s="5">
        <f>DATE(YEAR(C885),MONTH(C885),1)</f>
        <v>45931</v>
      </c>
      <c r="AG885">
        <f>E885-D885</f>
        <v>22</v>
      </c>
      <c r="AH885" s="6">
        <f t="shared" si="13"/>
        <v>47.392402167420073</v>
      </c>
    </row>
    <row r="886" spans="1:34">
      <c r="A886" t="s">
        <v>1885</v>
      </c>
      <c r="B886" t="s">
        <v>1886</v>
      </c>
      <c r="C886" s="1">
        <v>45893</v>
      </c>
      <c r="D886" s="1">
        <v>45894</v>
      </c>
      <c r="E886" s="1">
        <v>45918</v>
      </c>
      <c r="F886" t="s">
        <v>96</v>
      </c>
      <c r="G886" t="s">
        <v>97</v>
      </c>
      <c r="H886" t="s">
        <v>76</v>
      </c>
      <c r="I886" t="s">
        <v>57</v>
      </c>
      <c r="J886" t="s">
        <v>86</v>
      </c>
      <c r="K886" t="s">
        <v>41</v>
      </c>
      <c r="L886" t="s">
        <v>155</v>
      </c>
      <c r="M886" t="s">
        <v>43</v>
      </c>
      <c r="N886">
        <v>2</v>
      </c>
      <c r="O886" t="s">
        <v>80</v>
      </c>
      <c r="P886" s="48">
        <v>22257.08</v>
      </c>
      <c r="Q886" s="48">
        <v>3995.17</v>
      </c>
      <c r="R886" s="48">
        <v>1456.54</v>
      </c>
      <c r="S886" s="48">
        <v>604.78</v>
      </c>
      <c r="T886" s="48">
        <v>222.57</v>
      </c>
      <c r="U886" s="48">
        <v>625.95000000000005</v>
      </c>
      <c r="V886" s="48">
        <v>556.5</v>
      </c>
      <c r="W886" s="48">
        <v>14795.57</v>
      </c>
      <c r="X886">
        <v>8</v>
      </c>
      <c r="Y886" t="s">
        <v>101</v>
      </c>
      <c r="Z886">
        <v>33.29</v>
      </c>
      <c r="AA886" t="s">
        <v>91</v>
      </c>
      <c r="AB886" t="s">
        <v>92</v>
      </c>
      <c r="AC886" t="s">
        <v>70</v>
      </c>
      <c r="AD886" t="s">
        <v>130</v>
      </c>
      <c r="AE886" t="s">
        <v>102</v>
      </c>
      <c r="AF886" s="5">
        <f>DATE(YEAR(C886),MONTH(C886),1)</f>
        <v>45870</v>
      </c>
      <c r="AG886">
        <f>E886-D886</f>
        <v>24</v>
      </c>
      <c r="AH886" s="6">
        <f t="shared" si="13"/>
        <v>66.475791074121133</v>
      </c>
    </row>
    <row r="887" spans="1:34">
      <c r="A887" t="s">
        <v>1887</v>
      </c>
      <c r="B887" t="s">
        <v>1888</v>
      </c>
      <c r="C887" s="1">
        <v>45865</v>
      </c>
      <c r="D887" s="1">
        <v>45867</v>
      </c>
      <c r="E887" s="1">
        <v>45894</v>
      </c>
      <c r="F887" t="s">
        <v>138</v>
      </c>
      <c r="G887" t="s">
        <v>139</v>
      </c>
      <c r="H887" t="s">
        <v>76</v>
      </c>
      <c r="I887" t="s">
        <v>86</v>
      </c>
      <c r="J887" t="s">
        <v>87</v>
      </c>
      <c r="K887" t="s">
        <v>88</v>
      </c>
      <c r="L887" t="s">
        <v>127</v>
      </c>
      <c r="M887" t="s">
        <v>68</v>
      </c>
      <c r="N887">
        <v>1</v>
      </c>
      <c r="O887" t="s">
        <v>54</v>
      </c>
      <c r="P887" s="48">
        <v>20738.599999999999</v>
      </c>
      <c r="Q887" s="48">
        <v>3983.15</v>
      </c>
      <c r="R887" s="48">
        <v>903.99</v>
      </c>
      <c r="S887" s="48">
        <v>386.23</v>
      </c>
      <c r="T887" s="48">
        <v>207.39</v>
      </c>
      <c r="U887" s="48">
        <v>698.72</v>
      </c>
      <c r="V887" s="48">
        <v>724.85</v>
      </c>
      <c r="W887" s="48">
        <v>13834.27</v>
      </c>
      <c r="X887">
        <v>0</v>
      </c>
      <c r="Y887" t="s">
        <v>45</v>
      </c>
      <c r="Z887">
        <v>33.19</v>
      </c>
      <c r="AA887" t="s">
        <v>46</v>
      </c>
      <c r="AB887" t="s">
        <v>92</v>
      </c>
      <c r="AC887" t="s">
        <v>48</v>
      </c>
      <c r="AD887" t="s">
        <v>93</v>
      </c>
      <c r="AE887" t="s">
        <v>102</v>
      </c>
      <c r="AF887" s="5">
        <f>DATE(YEAR(C887),MONTH(C887),1)</f>
        <v>45839</v>
      </c>
      <c r="AG887">
        <f>E887-D887</f>
        <v>27</v>
      </c>
      <c r="AH887" s="6">
        <f t="shared" si="13"/>
        <v>66.707829843866023</v>
      </c>
    </row>
    <row r="888" spans="1:34">
      <c r="A888" t="s">
        <v>1889</v>
      </c>
      <c r="B888" t="s">
        <v>1890</v>
      </c>
      <c r="C888" s="1">
        <v>46015</v>
      </c>
      <c r="D888" s="1">
        <v>46016</v>
      </c>
      <c r="E888" s="1">
        <v>46034</v>
      </c>
      <c r="F888" t="s">
        <v>149</v>
      </c>
      <c r="G888" t="s">
        <v>111</v>
      </c>
      <c r="H888" t="s">
        <v>150</v>
      </c>
      <c r="I888" t="s">
        <v>86</v>
      </c>
      <c r="J888" t="s">
        <v>87</v>
      </c>
      <c r="K888" t="s">
        <v>88</v>
      </c>
      <c r="L888" t="s">
        <v>127</v>
      </c>
      <c r="M888" t="s">
        <v>79</v>
      </c>
      <c r="N888">
        <v>2</v>
      </c>
      <c r="O888" t="s">
        <v>44</v>
      </c>
      <c r="P888" s="48">
        <v>13587.42</v>
      </c>
      <c r="Q888" s="48">
        <v>3973.9</v>
      </c>
      <c r="R888" s="48">
        <v>687.74</v>
      </c>
      <c r="S888" s="48">
        <v>262.20999999999998</v>
      </c>
      <c r="T888" s="48">
        <v>135.87</v>
      </c>
      <c r="U888" s="48">
        <v>801.89</v>
      </c>
      <c r="V888" s="48">
        <v>468.12</v>
      </c>
      <c r="W888" s="48">
        <v>7257.69</v>
      </c>
      <c r="X888">
        <v>0</v>
      </c>
      <c r="Y888" t="s">
        <v>45</v>
      </c>
      <c r="Z888">
        <v>33.119999999999997</v>
      </c>
      <c r="AA888" t="s">
        <v>46</v>
      </c>
      <c r="AB888" t="s">
        <v>47</v>
      </c>
      <c r="AC888" t="s">
        <v>60</v>
      </c>
      <c r="AD888" t="s">
        <v>61</v>
      </c>
      <c r="AE888" t="s">
        <v>102</v>
      </c>
      <c r="AF888" s="5">
        <f>DATE(YEAR(C888),MONTH(C888),1)</f>
        <v>45992</v>
      </c>
      <c r="AG888">
        <f>E888-D888</f>
        <v>18</v>
      </c>
      <c r="AH888" s="6">
        <f t="shared" si="13"/>
        <v>53.414776315150334</v>
      </c>
    </row>
    <row r="889" spans="1:34">
      <c r="A889" t="s">
        <v>1891</v>
      </c>
      <c r="B889" t="s">
        <v>1892</v>
      </c>
      <c r="C889" s="1">
        <v>46014</v>
      </c>
      <c r="D889" s="1">
        <v>46017</v>
      </c>
      <c r="E889" s="1">
        <v>46027</v>
      </c>
      <c r="F889" t="s">
        <v>120</v>
      </c>
      <c r="G889" t="s">
        <v>75</v>
      </c>
      <c r="H889" t="s">
        <v>121</v>
      </c>
      <c r="I889" t="s">
        <v>98</v>
      </c>
      <c r="J889" t="s">
        <v>77</v>
      </c>
      <c r="K889" t="s">
        <v>41</v>
      </c>
      <c r="L889" t="s">
        <v>78</v>
      </c>
      <c r="M889" t="s">
        <v>108</v>
      </c>
      <c r="N889">
        <v>2</v>
      </c>
      <c r="O889" t="s">
        <v>54</v>
      </c>
      <c r="P889" s="48">
        <v>16278.69</v>
      </c>
      <c r="Q889" s="48">
        <v>3973.69</v>
      </c>
      <c r="R889" s="48">
        <v>714.09</v>
      </c>
      <c r="S889" s="48">
        <v>477.89</v>
      </c>
      <c r="T889" s="48">
        <v>162.79</v>
      </c>
      <c r="U889" s="48">
        <v>233.87</v>
      </c>
      <c r="V889" s="48">
        <v>583.89</v>
      </c>
      <c r="W889" s="48">
        <v>10132.469999999999</v>
      </c>
      <c r="X889">
        <v>12</v>
      </c>
      <c r="Y889" t="s">
        <v>101</v>
      </c>
      <c r="Z889">
        <v>33.11</v>
      </c>
      <c r="AA889" t="s">
        <v>91</v>
      </c>
      <c r="AB889" t="s">
        <v>47</v>
      </c>
      <c r="AC889" t="s">
        <v>60</v>
      </c>
      <c r="AD889" t="s">
        <v>49</v>
      </c>
      <c r="AE889" t="s">
        <v>50</v>
      </c>
      <c r="AF889" s="5">
        <f>DATE(YEAR(C889),MONTH(C889),1)</f>
        <v>45992</v>
      </c>
      <c r="AG889">
        <f>E889-D889</f>
        <v>10</v>
      </c>
      <c r="AH889" s="6">
        <f t="shared" si="13"/>
        <v>62.243767772468175</v>
      </c>
    </row>
    <row r="890" spans="1:34">
      <c r="A890" t="s">
        <v>1893</v>
      </c>
      <c r="B890" t="s">
        <v>1894</v>
      </c>
      <c r="C890" s="1">
        <v>45950</v>
      </c>
      <c r="D890" s="1">
        <v>45954</v>
      </c>
      <c r="E890" s="1">
        <v>45964</v>
      </c>
      <c r="F890" t="s">
        <v>96</v>
      </c>
      <c r="G890" t="s">
        <v>97</v>
      </c>
      <c r="H890" t="s">
        <v>76</v>
      </c>
      <c r="I890" t="s">
        <v>39</v>
      </c>
      <c r="J890" t="s">
        <v>87</v>
      </c>
      <c r="K890" t="s">
        <v>41</v>
      </c>
      <c r="L890" t="s">
        <v>78</v>
      </c>
      <c r="M890" t="s">
        <v>68</v>
      </c>
      <c r="N890">
        <v>2</v>
      </c>
      <c r="O890" t="s">
        <v>80</v>
      </c>
      <c r="P890" s="48">
        <v>15748.19</v>
      </c>
      <c r="Q890" s="48">
        <v>3928.56</v>
      </c>
      <c r="R890" s="48">
        <v>1258.06</v>
      </c>
      <c r="S890" s="48">
        <v>187.4</v>
      </c>
      <c r="T890" s="48">
        <v>157.47999999999999</v>
      </c>
      <c r="U890" s="48">
        <v>428.02</v>
      </c>
      <c r="V890" s="48">
        <v>2320.0700000000002</v>
      </c>
      <c r="W890" s="48">
        <v>7468.6</v>
      </c>
      <c r="X890">
        <v>0</v>
      </c>
      <c r="Y890" t="s">
        <v>45</v>
      </c>
      <c r="Z890">
        <v>32.74</v>
      </c>
      <c r="AA890" t="s">
        <v>46</v>
      </c>
      <c r="AB890" t="s">
        <v>92</v>
      </c>
      <c r="AC890" t="s">
        <v>48</v>
      </c>
      <c r="AD890" t="s">
        <v>93</v>
      </c>
      <c r="AE890" t="s">
        <v>62</v>
      </c>
      <c r="AF890" s="5">
        <f>DATE(YEAR(C890),MONTH(C890),1)</f>
        <v>45931</v>
      </c>
      <c r="AG890">
        <f>E890-D890</f>
        <v>10</v>
      </c>
      <c r="AH890" s="6">
        <f t="shared" si="13"/>
        <v>47.425132666039715</v>
      </c>
    </row>
    <row r="891" spans="1:34">
      <c r="A891" t="s">
        <v>1895</v>
      </c>
      <c r="B891" t="s">
        <v>1896</v>
      </c>
      <c r="C891" s="1">
        <v>45858</v>
      </c>
      <c r="D891" s="1">
        <v>45860</v>
      </c>
      <c r="E891" s="1">
        <v>45870</v>
      </c>
      <c r="F891" t="s">
        <v>74</v>
      </c>
      <c r="G891" t="s">
        <v>75</v>
      </c>
      <c r="H891" t="s">
        <v>76</v>
      </c>
      <c r="I891" t="s">
        <v>57</v>
      </c>
      <c r="J891" t="s">
        <v>39</v>
      </c>
      <c r="K891" t="s">
        <v>41</v>
      </c>
      <c r="L891" t="s">
        <v>127</v>
      </c>
      <c r="M891" t="s">
        <v>79</v>
      </c>
      <c r="N891">
        <v>1</v>
      </c>
      <c r="O891" t="s">
        <v>44</v>
      </c>
      <c r="P891" s="48">
        <v>13382.07</v>
      </c>
      <c r="Q891" s="48">
        <v>3895.94</v>
      </c>
      <c r="R891" s="48">
        <v>1022.81</v>
      </c>
      <c r="S891" s="48">
        <v>376.82</v>
      </c>
      <c r="T891" s="48">
        <v>133.82</v>
      </c>
      <c r="U891" s="48">
        <v>794.43</v>
      </c>
      <c r="V891" s="48">
        <v>1827.42</v>
      </c>
      <c r="W891" s="48">
        <v>5330.83</v>
      </c>
      <c r="X891">
        <v>0</v>
      </c>
      <c r="Y891" t="s">
        <v>45</v>
      </c>
      <c r="Z891">
        <v>32.47</v>
      </c>
      <c r="AA891" t="s">
        <v>46</v>
      </c>
      <c r="AB891" t="s">
        <v>92</v>
      </c>
      <c r="AC891" t="s">
        <v>60</v>
      </c>
      <c r="AD891" t="s">
        <v>61</v>
      </c>
      <c r="AE891" t="s">
        <v>62</v>
      </c>
      <c r="AF891" s="5">
        <f>DATE(YEAR(C891),MONTH(C891),1)</f>
        <v>45839</v>
      </c>
      <c r="AG891">
        <f>E891-D891</f>
        <v>10</v>
      </c>
      <c r="AH891" s="6">
        <f t="shared" si="13"/>
        <v>39.835615865109055</v>
      </c>
    </row>
    <row r="892" spans="1:34">
      <c r="A892" t="s">
        <v>1897</v>
      </c>
      <c r="B892" t="s">
        <v>1898</v>
      </c>
      <c r="C892" s="1">
        <v>45694</v>
      </c>
      <c r="D892" s="1">
        <v>45696</v>
      </c>
      <c r="E892" s="1">
        <v>45724</v>
      </c>
      <c r="F892" t="s">
        <v>53</v>
      </c>
      <c r="G892" t="s">
        <v>54</v>
      </c>
      <c r="H892" t="s">
        <v>55</v>
      </c>
      <c r="I892" t="s">
        <v>115</v>
      </c>
      <c r="J892" t="s">
        <v>98</v>
      </c>
      <c r="K892" t="s">
        <v>99</v>
      </c>
      <c r="L892" t="s">
        <v>116</v>
      </c>
      <c r="M892" t="s">
        <v>43</v>
      </c>
      <c r="N892">
        <v>1</v>
      </c>
      <c r="O892" t="s">
        <v>69</v>
      </c>
      <c r="P892" s="48">
        <v>21533.67</v>
      </c>
      <c r="Q892" s="48">
        <v>3886.93</v>
      </c>
      <c r="R892" s="48">
        <v>1681.82</v>
      </c>
      <c r="S892" s="48">
        <v>351.63</v>
      </c>
      <c r="T892" s="48">
        <v>215.34</v>
      </c>
      <c r="U892" s="48">
        <v>783.64</v>
      </c>
      <c r="V892" s="48">
        <v>1380.71</v>
      </c>
      <c r="W892" s="48">
        <v>13233.6</v>
      </c>
      <c r="X892">
        <v>0</v>
      </c>
      <c r="Y892" t="s">
        <v>45</v>
      </c>
      <c r="Z892">
        <v>32.39</v>
      </c>
      <c r="AA892" t="s">
        <v>46</v>
      </c>
      <c r="AB892" t="s">
        <v>92</v>
      </c>
      <c r="AC892" t="s">
        <v>48</v>
      </c>
      <c r="AD892" t="s">
        <v>49</v>
      </c>
      <c r="AE892" t="s">
        <v>71</v>
      </c>
      <c r="AF892" s="5">
        <f>DATE(YEAR(C892),MONTH(C892),1)</f>
        <v>45689</v>
      </c>
      <c r="AG892">
        <f>E892-D892</f>
        <v>28</v>
      </c>
      <c r="AH892" s="6">
        <f t="shared" si="13"/>
        <v>61.455385914244999</v>
      </c>
    </row>
    <row r="893" spans="1:34">
      <c r="A893" t="s">
        <v>1899</v>
      </c>
      <c r="B893" t="s">
        <v>1900</v>
      </c>
      <c r="C893" s="1">
        <v>45868</v>
      </c>
      <c r="D893" s="1">
        <v>45869</v>
      </c>
      <c r="E893" s="1">
        <v>45886</v>
      </c>
      <c r="F893" t="s">
        <v>96</v>
      </c>
      <c r="G893" t="s">
        <v>97</v>
      </c>
      <c r="H893" t="s">
        <v>76</v>
      </c>
      <c r="I893" t="s">
        <v>86</v>
      </c>
      <c r="J893" t="s">
        <v>87</v>
      </c>
      <c r="K893" t="s">
        <v>88</v>
      </c>
      <c r="L893" t="s">
        <v>59</v>
      </c>
      <c r="M893" t="s">
        <v>43</v>
      </c>
      <c r="N893">
        <v>1</v>
      </c>
      <c r="O893" t="s">
        <v>105</v>
      </c>
      <c r="P893" s="48">
        <v>17936.54</v>
      </c>
      <c r="Q893" s="48">
        <v>3853.75</v>
      </c>
      <c r="R893" s="48">
        <v>1021.52</v>
      </c>
      <c r="S893" s="48">
        <v>228.89</v>
      </c>
      <c r="T893" s="48">
        <v>179.37</v>
      </c>
      <c r="U893" s="48">
        <v>546.24</v>
      </c>
      <c r="V893" s="48">
        <v>2176.79</v>
      </c>
      <c r="W893" s="48">
        <v>9929.98</v>
      </c>
      <c r="X893">
        <v>12</v>
      </c>
      <c r="Y893" t="s">
        <v>90</v>
      </c>
      <c r="Z893">
        <v>32.11</v>
      </c>
      <c r="AA893" t="s">
        <v>91</v>
      </c>
      <c r="AB893" t="s">
        <v>47</v>
      </c>
      <c r="AC893" t="s">
        <v>70</v>
      </c>
      <c r="AD893" t="s">
        <v>93</v>
      </c>
      <c r="AE893" t="s">
        <v>62</v>
      </c>
      <c r="AF893" s="5">
        <f>DATE(YEAR(C893),MONTH(C893),1)</f>
        <v>45839</v>
      </c>
      <c r="AG893">
        <f>E893-D893</f>
        <v>17</v>
      </c>
      <c r="AH893" s="6">
        <f t="shared" si="13"/>
        <v>55.361736433002129</v>
      </c>
    </row>
    <row r="894" spans="1:34">
      <c r="A894" t="s">
        <v>1901</v>
      </c>
      <c r="B894" t="s">
        <v>1902</v>
      </c>
      <c r="C894" s="1">
        <v>45752</v>
      </c>
      <c r="D894" s="1">
        <v>45755</v>
      </c>
      <c r="E894" s="1">
        <v>45783</v>
      </c>
      <c r="F894" t="s">
        <v>65</v>
      </c>
      <c r="G894" t="s">
        <v>66</v>
      </c>
      <c r="H894" t="s">
        <v>67</v>
      </c>
      <c r="I894" t="s">
        <v>86</v>
      </c>
      <c r="J894" t="s">
        <v>87</v>
      </c>
      <c r="K894" t="s">
        <v>88</v>
      </c>
      <c r="L894" t="s">
        <v>78</v>
      </c>
      <c r="M894" t="s">
        <v>43</v>
      </c>
      <c r="N894">
        <v>2</v>
      </c>
      <c r="O894" t="s">
        <v>89</v>
      </c>
      <c r="P894" s="48">
        <v>16542.330000000002</v>
      </c>
      <c r="Q894" s="48">
        <v>3774.38</v>
      </c>
      <c r="R894" s="48">
        <v>930.49</v>
      </c>
      <c r="S894" s="48">
        <v>421.43</v>
      </c>
      <c r="T894" s="48">
        <v>165.42</v>
      </c>
      <c r="U894" s="48">
        <v>383.34</v>
      </c>
      <c r="V894" s="48">
        <v>1674.52</v>
      </c>
      <c r="W894" s="48">
        <v>9192.75</v>
      </c>
      <c r="X894">
        <v>0</v>
      </c>
      <c r="Y894" t="s">
        <v>45</v>
      </c>
      <c r="Z894">
        <v>31.45</v>
      </c>
      <c r="AA894" t="s">
        <v>46</v>
      </c>
      <c r="AB894" t="s">
        <v>47</v>
      </c>
      <c r="AC894" t="s">
        <v>70</v>
      </c>
      <c r="AD894" t="s">
        <v>93</v>
      </c>
      <c r="AE894" t="s">
        <v>50</v>
      </c>
      <c r="AF894" s="5">
        <f>DATE(YEAR(C894),MONTH(C894),1)</f>
        <v>45748</v>
      </c>
      <c r="AG894">
        <f>E894-D894</f>
        <v>28</v>
      </c>
      <c r="AH894" s="6">
        <f t="shared" si="13"/>
        <v>55.571071306158196</v>
      </c>
    </row>
    <row r="895" spans="1:34">
      <c r="A895" t="s">
        <v>1903</v>
      </c>
      <c r="B895" t="s">
        <v>1904</v>
      </c>
      <c r="C895" s="1">
        <v>45926</v>
      </c>
      <c r="D895" s="1">
        <v>45929</v>
      </c>
      <c r="E895" s="1">
        <v>45950</v>
      </c>
      <c r="F895" t="s">
        <v>234</v>
      </c>
      <c r="G895" t="s">
        <v>111</v>
      </c>
      <c r="H895" t="s">
        <v>150</v>
      </c>
      <c r="I895" t="s">
        <v>56</v>
      </c>
      <c r="J895" t="s">
        <v>57</v>
      </c>
      <c r="K895" t="s">
        <v>58</v>
      </c>
      <c r="L895" t="s">
        <v>42</v>
      </c>
      <c r="M895" t="s">
        <v>79</v>
      </c>
      <c r="N895">
        <v>1</v>
      </c>
      <c r="O895" t="s">
        <v>80</v>
      </c>
      <c r="P895" s="48">
        <v>18925.62</v>
      </c>
      <c r="Q895" s="48">
        <v>3766.19</v>
      </c>
      <c r="R895" s="48">
        <v>1087.97</v>
      </c>
      <c r="S895" s="48">
        <v>241.94</v>
      </c>
      <c r="T895" s="48">
        <v>189.26</v>
      </c>
      <c r="U895" s="48">
        <v>621.37</v>
      </c>
      <c r="V895" s="48">
        <v>1864.76</v>
      </c>
      <c r="W895" s="48">
        <v>11154.13</v>
      </c>
      <c r="X895">
        <v>24</v>
      </c>
      <c r="Y895" t="s">
        <v>117</v>
      </c>
      <c r="Z895">
        <v>31.38</v>
      </c>
      <c r="AA895" t="s">
        <v>91</v>
      </c>
      <c r="AB895" t="s">
        <v>92</v>
      </c>
      <c r="AC895" t="s">
        <v>60</v>
      </c>
      <c r="AD895" t="s">
        <v>144</v>
      </c>
      <c r="AE895" t="s">
        <v>102</v>
      </c>
      <c r="AF895" s="5">
        <f>DATE(YEAR(C895),MONTH(C895),1)</f>
        <v>45901</v>
      </c>
      <c r="AG895">
        <f>E895-D895</f>
        <v>21</v>
      </c>
      <c r="AH895" s="6">
        <f t="shared" si="13"/>
        <v>58.936668917583681</v>
      </c>
    </row>
    <row r="896" spans="1:34">
      <c r="A896" t="s">
        <v>1905</v>
      </c>
      <c r="B896" t="s">
        <v>1906</v>
      </c>
      <c r="C896" s="1">
        <v>45683</v>
      </c>
      <c r="D896" s="1">
        <v>45684</v>
      </c>
      <c r="E896" s="1">
        <v>45706</v>
      </c>
      <c r="F896" t="s">
        <v>138</v>
      </c>
      <c r="G896" t="s">
        <v>139</v>
      </c>
      <c r="H896" t="s">
        <v>76</v>
      </c>
      <c r="I896" t="s">
        <v>57</v>
      </c>
      <c r="J896" t="s">
        <v>98</v>
      </c>
      <c r="K896" t="s">
        <v>99</v>
      </c>
      <c r="L896" t="s">
        <v>42</v>
      </c>
      <c r="M896" t="s">
        <v>79</v>
      </c>
      <c r="N896">
        <v>1</v>
      </c>
      <c r="O896" t="s">
        <v>111</v>
      </c>
      <c r="P896" s="48">
        <v>15802.5</v>
      </c>
      <c r="Q896" s="48">
        <v>3756.92</v>
      </c>
      <c r="R896" s="48">
        <v>1224.05</v>
      </c>
      <c r="S896" s="48">
        <v>453.26</v>
      </c>
      <c r="T896" s="48">
        <v>158.03</v>
      </c>
      <c r="U896" s="48">
        <v>521.85</v>
      </c>
      <c r="V896" s="48">
        <v>1152.29</v>
      </c>
      <c r="W896" s="48">
        <v>8536.1</v>
      </c>
      <c r="X896">
        <v>0</v>
      </c>
      <c r="Y896" t="s">
        <v>45</v>
      </c>
      <c r="Z896">
        <v>31.31</v>
      </c>
      <c r="AA896" t="s">
        <v>46</v>
      </c>
      <c r="AB896" t="s">
        <v>92</v>
      </c>
      <c r="AC896" t="s">
        <v>60</v>
      </c>
      <c r="AD896" t="s">
        <v>61</v>
      </c>
      <c r="AE896" t="s">
        <v>62</v>
      </c>
      <c r="AF896" s="5">
        <f>DATE(YEAR(C896),MONTH(C896),1)</f>
        <v>45658</v>
      </c>
      <c r="AG896">
        <f>E896-D896</f>
        <v>22</v>
      </c>
      <c r="AH896" s="6">
        <f t="shared" si="13"/>
        <v>54.017402309761117</v>
      </c>
    </row>
    <row r="897" spans="1:34">
      <c r="A897" t="s">
        <v>1907</v>
      </c>
      <c r="B897" t="s">
        <v>1908</v>
      </c>
      <c r="C897" s="1">
        <v>45844</v>
      </c>
      <c r="D897" s="1">
        <v>45846</v>
      </c>
      <c r="E897" s="1">
        <v>45865</v>
      </c>
      <c r="F897" t="s">
        <v>65</v>
      </c>
      <c r="G897" t="s">
        <v>66</v>
      </c>
      <c r="H897" t="s">
        <v>67</v>
      </c>
      <c r="I897" t="s">
        <v>115</v>
      </c>
      <c r="J897" t="s">
        <v>98</v>
      </c>
      <c r="K897" t="s">
        <v>99</v>
      </c>
      <c r="L897" t="s">
        <v>42</v>
      </c>
      <c r="M897" t="s">
        <v>79</v>
      </c>
      <c r="N897">
        <v>2</v>
      </c>
      <c r="O897" t="s">
        <v>80</v>
      </c>
      <c r="P897" s="48">
        <v>15859.35</v>
      </c>
      <c r="Q897" s="48">
        <v>3752.72</v>
      </c>
      <c r="R897" s="48">
        <v>716.46</v>
      </c>
      <c r="S897" s="48">
        <v>387.92</v>
      </c>
      <c r="T897" s="48">
        <v>158.59</v>
      </c>
      <c r="U897" s="48">
        <v>793.74</v>
      </c>
      <c r="V897" s="48">
        <v>1292.3900000000001</v>
      </c>
      <c r="W897" s="48">
        <v>8757.5300000000007</v>
      </c>
      <c r="X897">
        <v>24</v>
      </c>
      <c r="Y897" t="s">
        <v>117</v>
      </c>
      <c r="Z897">
        <v>31.27</v>
      </c>
      <c r="AA897" t="s">
        <v>91</v>
      </c>
      <c r="AB897" t="s">
        <v>47</v>
      </c>
      <c r="AC897" t="s">
        <v>60</v>
      </c>
      <c r="AD897" t="s">
        <v>61</v>
      </c>
      <c r="AE897" t="s">
        <v>62</v>
      </c>
      <c r="AF897" s="5">
        <f>DATE(YEAR(C897),MONTH(C897),1)</f>
        <v>45839</v>
      </c>
      <c r="AG897">
        <f>E897-D897</f>
        <v>19</v>
      </c>
      <c r="AH897" s="6">
        <f t="shared" si="13"/>
        <v>55.219980642334022</v>
      </c>
    </row>
    <row r="898" spans="1:34">
      <c r="A898" t="s">
        <v>1909</v>
      </c>
      <c r="B898" t="s">
        <v>1910</v>
      </c>
      <c r="C898" s="1">
        <v>45832</v>
      </c>
      <c r="D898" s="1">
        <v>45834</v>
      </c>
      <c r="E898" s="1">
        <v>45864</v>
      </c>
      <c r="F898" t="s">
        <v>65</v>
      </c>
      <c r="G898" t="s">
        <v>66</v>
      </c>
      <c r="H898" t="s">
        <v>67</v>
      </c>
      <c r="I898" t="s">
        <v>115</v>
      </c>
      <c r="J898" t="s">
        <v>98</v>
      </c>
      <c r="K898" t="s">
        <v>99</v>
      </c>
      <c r="L898" t="s">
        <v>59</v>
      </c>
      <c r="M898" t="s">
        <v>43</v>
      </c>
      <c r="N898">
        <v>2</v>
      </c>
      <c r="O898" t="s">
        <v>69</v>
      </c>
      <c r="P898" s="48">
        <v>19782.63</v>
      </c>
      <c r="Q898" s="48">
        <v>3750.28</v>
      </c>
      <c r="R898" s="48">
        <v>1574.65</v>
      </c>
      <c r="S898" s="48">
        <v>320.82</v>
      </c>
      <c r="T898" s="48">
        <v>197.83</v>
      </c>
      <c r="U898" s="48">
        <v>682.25</v>
      </c>
      <c r="V898" s="48">
        <v>1188.75</v>
      </c>
      <c r="W898" s="48">
        <v>12068.05</v>
      </c>
      <c r="X898">
        <v>48</v>
      </c>
      <c r="Y898" t="s">
        <v>112</v>
      </c>
      <c r="Z898">
        <v>31.25</v>
      </c>
      <c r="AA898" t="s">
        <v>91</v>
      </c>
      <c r="AB898" t="s">
        <v>47</v>
      </c>
      <c r="AC898" t="s">
        <v>70</v>
      </c>
      <c r="AD898" t="s">
        <v>61</v>
      </c>
      <c r="AE898" t="s">
        <v>50</v>
      </c>
      <c r="AF898" s="5">
        <f>DATE(YEAR(C898),MONTH(C898),1)</f>
        <v>45809</v>
      </c>
      <c r="AG898">
        <f>E898-D898</f>
        <v>30</v>
      </c>
      <c r="AH898" s="6">
        <f t="shared" si="13"/>
        <v>61.003263974506929</v>
      </c>
    </row>
    <row r="899" spans="1:34">
      <c r="A899" t="s">
        <v>1911</v>
      </c>
      <c r="B899" t="s">
        <v>1912</v>
      </c>
      <c r="C899" s="1">
        <v>45912</v>
      </c>
      <c r="D899" s="1">
        <v>45914</v>
      </c>
      <c r="E899" s="1">
        <v>45925</v>
      </c>
      <c r="F899" t="s">
        <v>153</v>
      </c>
      <c r="G899" t="s">
        <v>75</v>
      </c>
      <c r="H899" t="s">
        <v>154</v>
      </c>
      <c r="I899" t="s">
        <v>56</v>
      </c>
      <c r="J899" t="s">
        <v>57</v>
      </c>
      <c r="K899" t="s">
        <v>58</v>
      </c>
      <c r="L899" t="s">
        <v>59</v>
      </c>
      <c r="M899" t="s">
        <v>68</v>
      </c>
      <c r="N899">
        <v>1</v>
      </c>
      <c r="O899" t="s">
        <v>111</v>
      </c>
      <c r="P899" s="48">
        <v>18763.25</v>
      </c>
      <c r="Q899" s="48">
        <v>3734.29</v>
      </c>
      <c r="R899" s="48">
        <v>1344.14</v>
      </c>
      <c r="S899" s="48">
        <v>464.46</v>
      </c>
      <c r="T899" s="48">
        <v>187.63</v>
      </c>
      <c r="U899" s="48">
        <v>737.44</v>
      </c>
      <c r="V899" s="48">
        <v>310.7</v>
      </c>
      <c r="W899" s="48">
        <v>11984.59</v>
      </c>
      <c r="X899">
        <v>12</v>
      </c>
      <c r="Y899" t="s">
        <v>117</v>
      </c>
      <c r="Z899">
        <v>31.12</v>
      </c>
      <c r="AA899" t="s">
        <v>91</v>
      </c>
      <c r="AB899" t="s">
        <v>92</v>
      </c>
      <c r="AC899" t="s">
        <v>48</v>
      </c>
      <c r="AD899" t="s">
        <v>93</v>
      </c>
      <c r="AE899" t="s">
        <v>62</v>
      </c>
      <c r="AF899" s="5">
        <f>DATE(YEAR(C899),MONTH(C899),1)</f>
        <v>45901</v>
      </c>
      <c r="AG899">
        <f>E899-D899</f>
        <v>11</v>
      </c>
      <c r="AH899" s="6">
        <f t="shared" ref="AH899:AH962" si="14">W899/P899*100</f>
        <v>63.872676641839767</v>
      </c>
    </row>
    <row r="900" spans="1:34">
      <c r="A900" t="s">
        <v>1913</v>
      </c>
      <c r="B900" t="s">
        <v>1914</v>
      </c>
      <c r="C900" s="1">
        <v>45721</v>
      </c>
      <c r="D900" s="1">
        <v>45722</v>
      </c>
      <c r="E900" s="1">
        <v>45744</v>
      </c>
      <c r="F900" t="s">
        <v>36</v>
      </c>
      <c r="G900" t="s">
        <v>37</v>
      </c>
      <c r="H900" t="s">
        <v>38</v>
      </c>
      <c r="I900" t="s">
        <v>86</v>
      </c>
      <c r="J900" t="s">
        <v>87</v>
      </c>
      <c r="K900" t="s">
        <v>88</v>
      </c>
      <c r="L900" t="s">
        <v>124</v>
      </c>
      <c r="M900" t="s">
        <v>43</v>
      </c>
      <c r="N900">
        <v>1</v>
      </c>
      <c r="O900" t="s">
        <v>105</v>
      </c>
      <c r="P900" s="48">
        <v>13181.05</v>
      </c>
      <c r="Q900" s="48">
        <v>3712.59</v>
      </c>
      <c r="R900" s="48">
        <v>708.16</v>
      </c>
      <c r="S900" s="48">
        <v>339.9</v>
      </c>
      <c r="T900" s="48">
        <v>131.81</v>
      </c>
      <c r="U900" s="48">
        <v>847.44</v>
      </c>
      <c r="V900" s="48">
        <v>1429.36</v>
      </c>
      <c r="W900" s="48">
        <v>6011.79</v>
      </c>
      <c r="X900">
        <v>48</v>
      </c>
      <c r="Y900" t="s">
        <v>101</v>
      </c>
      <c r="Z900">
        <v>30.94</v>
      </c>
      <c r="AA900" t="s">
        <v>91</v>
      </c>
      <c r="AB900" t="s">
        <v>92</v>
      </c>
      <c r="AC900" t="s">
        <v>60</v>
      </c>
      <c r="AD900" t="s">
        <v>93</v>
      </c>
      <c r="AE900" t="s">
        <v>50</v>
      </c>
      <c r="AF900" s="5">
        <f>DATE(YEAR(C900),MONTH(C900),1)</f>
        <v>45717</v>
      </c>
      <c r="AG900">
        <f>E900-D900</f>
        <v>22</v>
      </c>
      <c r="AH900" s="6">
        <f t="shared" si="14"/>
        <v>45.609340682267344</v>
      </c>
    </row>
    <row r="901" spans="1:34">
      <c r="A901" t="s">
        <v>1915</v>
      </c>
      <c r="B901" t="s">
        <v>1916</v>
      </c>
      <c r="C901" s="1">
        <v>45856</v>
      </c>
      <c r="D901" s="1">
        <v>45860</v>
      </c>
      <c r="E901" s="1">
        <v>45874</v>
      </c>
      <c r="F901" t="s">
        <v>65</v>
      </c>
      <c r="G901" t="s">
        <v>66</v>
      </c>
      <c r="H901" t="s">
        <v>67</v>
      </c>
      <c r="I901" t="s">
        <v>98</v>
      </c>
      <c r="J901" t="s">
        <v>115</v>
      </c>
      <c r="K901" t="s">
        <v>41</v>
      </c>
      <c r="L901" t="s">
        <v>127</v>
      </c>
      <c r="M901" t="s">
        <v>108</v>
      </c>
      <c r="N901">
        <v>1</v>
      </c>
      <c r="O901" t="s">
        <v>80</v>
      </c>
      <c r="P901" s="48">
        <v>12864.98</v>
      </c>
      <c r="Q901" s="48">
        <v>3690.24</v>
      </c>
      <c r="R901" s="48">
        <v>784.14</v>
      </c>
      <c r="S901" s="48">
        <v>308.04000000000002</v>
      </c>
      <c r="T901" s="48">
        <v>128.65</v>
      </c>
      <c r="U901" s="48">
        <v>873.13</v>
      </c>
      <c r="V901" s="48">
        <v>1654.8</v>
      </c>
      <c r="W901" s="48">
        <v>5425.98</v>
      </c>
      <c r="X901">
        <v>12</v>
      </c>
      <c r="Y901" t="s">
        <v>135</v>
      </c>
      <c r="Z901">
        <v>30.75</v>
      </c>
      <c r="AA901" t="s">
        <v>91</v>
      </c>
      <c r="AB901" t="s">
        <v>92</v>
      </c>
      <c r="AC901" t="s">
        <v>48</v>
      </c>
      <c r="AD901" t="s">
        <v>61</v>
      </c>
      <c r="AE901" t="s">
        <v>71</v>
      </c>
      <c r="AF901" s="5">
        <f>DATE(YEAR(C901),MONTH(C901),1)</f>
        <v>45839</v>
      </c>
      <c r="AG901">
        <f>E901-D901</f>
        <v>14</v>
      </c>
      <c r="AH901" s="6">
        <f t="shared" si="14"/>
        <v>42.176357833436192</v>
      </c>
    </row>
    <row r="902" spans="1:34">
      <c r="A902" t="s">
        <v>1917</v>
      </c>
      <c r="B902" t="s">
        <v>1918</v>
      </c>
      <c r="C902" s="1">
        <v>45774</v>
      </c>
      <c r="D902" s="1">
        <v>45776</v>
      </c>
      <c r="E902" s="1">
        <v>45799</v>
      </c>
      <c r="F902" t="s">
        <v>234</v>
      </c>
      <c r="G902" t="s">
        <v>111</v>
      </c>
      <c r="H902" t="s">
        <v>150</v>
      </c>
      <c r="I902" t="s">
        <v>40</v>
      </c>
      <c r="J902" t="s">
        <v>40</v>
      </c>
      <c r="K902" t="s">
        <v>41</v>
      </c>
      <c r="L902" t="s">
        <v>124</v>
      </c>
      <c r="M902" t="s">
        <v>68</v>
      </c>
      <c r="N902">
        <v>2</v>
      </c>
      <c r="O902" t="s">
        <v>54</v>
      </c>
      <c r="P902" s="48">
        <v>17444.18</v>
      </c>
      <c r="Q902" s="48">
        <v>3675.9</v>
      </c>
      <c r="R902" s="48">
        <v>901.35</v>
      </c>
      <c r="S902" s="48">
        <v>283.12</v>
      </c>
      <c r="T902" s="48">
        <v>174.44</v>
      </c>
      <c r="U902" s="48">
        <v>692.77</v>
      </c>
      <c r="V902" s="48">
        <v>945</v>
      </c>
      <c r="W902" s="48">
        <v>10771.6</v>
      </c>
      <c r="X902">
        <v>4</v>
      </c>
      <c r="Y902" t="s">
        <v>135</v>
      </c>
      <c r="Z902">
        <v>30.63</v>
      </c>
      <c r="AA902" t="s">
        <v>91</v>
      </c>
      <c r="AB902" t="s">
        <v>92</v>
      </c>
      <c r="AC902" t="s">
        <v>60</v>
      </c>
      <c r="AD902" t="s">
        <v>49</v>
      </c>
      <c r="AE902" t="s">
        <v>102</v>
      </c>
      <c r="AF902" s="5">
        <f>DATE(YEAR(C902),MONTH(C902),1)</f>
        <v>45748</v>
      </c>
      <c r="AG902">
        <f>E902-D902</f>
        <v>23</v>
      </c>
      <c r="AH902" s="6">
        <f t="shared" si="14"/>
        <v>61.748961544767369</v>
      </c>
    </row>
    <row r="903" spans="1:34">
      <c r="A903" t="s">
        <v>1919</v>
      </c>
      <c r="B903" t="s">
        <v>1920</v>
      </c>
      <c r="C903" s="1">
        <v>45917</v>
      </c>
      <c r="D903" s="1">
        <v>45918</v>
      </c>
      <c r="E903" s="1">
        <v>45943</v>
      </c>
      <c r="F903" t="s">
        <v>153</v>
      </c>
      <c r="G903" t="s">
        <v>75</v>
      </c>
      <c r="H903" t="s">
        <v>154</v>
      </c>
      <c r="I903" t="s">
        <v>40</v>
      </c>
      <c r="J903" t="s">
        <v>122</v>
      </c>
      <c r="K903" t="s">
        <v>123</v>
      </c>
      <c r="L903" t="s">
        <v>100</v>
      </c>
      <c r="M903" t="s">
        <v>68</v>
      </c>
      <c r="N903">
        <v>2</v>
      </c>
      <c r="O903" t="s">
        <v>80</v>
      </c>
      <c r="P903" s="48">
        <v>14632.44</v>
      </c>
      <c r="Q903" s="48">
        <v>3672.71</v>
      </c>
      <c r="R903" s="48">
        <v>1071.19</v>
      </c>
      <c r="S903" s="48">
        <v>330.45</v>
      </c>
      <c r="T903" s="48">
        <v>146.32</v>
      </c>
      <c r="U903" s="48">
        <v>442.06</v>
      </c>
      <c r="V903" s="48">
        <v>1807.84</v>
      </c>
      <c r="W903" s="48">
        <v>7161.87</v>
      </c>
      <c r="X903">
        <v>24</v>
      </c>
      <c r="Y903" t="s">
        <v>90</v>
      </c>
      <c r="Z903">
        <v>30.61</v>
      </c>
      <c r="AA903" t="s">
        <v>91</v>
      </c>
      <c r="AB903" t="s">
        <v>47</v>
      </c>
      <c r="AC903" t="s">
        <v>60</v>
      </c>
      <c r="AD903" t="s">
        <v>130</v>
      </c>
      <c r="AE903" t="s">
        <v>102</v>
      </c>
      <c r="AF903" s="5">
        <f>DATE(YEAR(C903),MONTH(C903),1)</f>
        <v>45901</v>
      </c>
      <c r="AG903">
        <f>E903-D903</f>
        <v>25</v>
      </c>
      <c r="AH903" s="6">
        <f t="shared" si="14"/>
        <v>48.945152004723745</v>
      </c>
    </row>
    <row r="904" spans="1:34">
      <c r="A904" t="s">
        <v>1921</v>
      </c>
      <c r="B904" t="s">
        <v>1922</v>
      </c>
      <c r="C904" s="1">
        <v>45676</v>
      </c>
      <c r="D904" s="1">
        <v>45680</v>
      </c>
      <c r="E904" s="1">
        <v>45698</v>
      </c>
      <c r="F904" t="s">
        <v>96</v>
      </c>
      <c r="G904" t="s">
        <v>97</v>
      </c>
      <c r="H904" t="s">
        <v>76</v>
      </c>
      <c r="I904" t="s">
        <v>115</v>
      </c>
      <c r="J904" t="s">
        <v>39</v>
      </c>
      <c r="K904" t="s">
        <v>41</v>
      </c>
      <c r="L904" t="s">
        <v>116</v>
      </c>
      <c r="M904" t="s">
        <v>79</v>
      </c>
      <c r="N904">
        <v>1</v>
      </c>
      <c r="O904" t="s">
        <v>80</v>
      </c>
      <c r="P904" s="48">
        <v>21139.23</v>
      </c>
      <c r="Q904" s="48">
        <v>3640.77</v>
      </c>
      <c r="R904" s="48">
        <v>1521.24</v>
      </c>
      <c r="S904" s="48">
        <v>281.13</v>
      </c>
      <c r="T904" s="48">
        <v>211.39</v>
      </c>
      <c r="U904" s="48">
        <v>141.4</v>
      </c>
      <c r="V904" s="48">
        <v>2010.04</v>
      </c>
      <c r="W904" s="48">
        <v>13333.26</v>
      </c>
      <c r="X904">
        <v>0</v>
      </c>
      <c r="Y904" t="s">
        <v>45</v>
      </c>
      <c r="Z904">
        <v>30.34</v>
      </c>
      <c r="AA904" t="s">
        <v>46</v>
      </c>
      <c r="AB904" t="s">
        <v>92</v>
      </c>
      <c r="AC904" t="s">
        <v>70</v>
      </c>
      <c r="AD904" t="s">
        <v>49</v>
      </c>
      <c r="AE904" t="s">
        <v>62</v>
      </c>
      <c r="AF904" s="5">
        <f>DATE(YEAR(C904),MONTH(C904),1)</f>
        <v>45658</v>
      </c>
      <c r="AG904">
        <f>E904-D904</f>
        <v>18</v>
      </c>
      <c r="AH904" s="6">
        <f t="shared" si="14"/>
        <v>63.073536737147009</v>
      </c>
    </row>
    <row r="905" spans="1:34">
      <c r="A905" t="s">
        <v>1923</v>
      </c>
      <c r="B905" t="s">
        <v>1924</v>
      </c>
      <c r="C905" s="1">
        <v>45903</v>
      </c>
      <c r="D905" s="1">
        <v>45905</v>
      </c>
      <c r="E905" s="1">
        <v>45920</v>
      </c>
      <c r="F905" t="s">
        <v>74</v>
      </c>
      <c r="G905" t="s">
        <v>75</v>
      </c>
      <c r="H905" t="s">
        <v>76</v>
      </c>
      <c r="I905" t="s">
        <v>122</v>
      </c>
      <c r="J905" t="s">
        <v>77</v>
      </c>
      <c r="K905" t="s">
        <v>41</v>
      </c>
      <c r="L905" t="s">
        <v>100</v>
      </c>
      <c r="M905" t="s">
        <v>108</v>
      </c>
      <c r="N905">
        <v>2</v>
      </c>
      <c r="O905" t="s">
        <v>69</v>
      </c>
      <c r="P905" s="48">
        <v>12934.53</v>
      </c>
      <c r="Q905" s="48">
        <v>3631.72</v>
      </c>
      <c r="R905" s="48">
        <v>891.86</v>
      </c>
      <c r="S905" s="48">
        <v>374.47</v>
      </c>
      <c r="T905" s="48">
        <v>129.35</v>
      </c>
      <c r="U905" s="48">
        <v>583.91999999999996</v>
      </c>
      <c r="V905" s="48">
        <v>1881.43</v>
      </c>
      <c r="W905" s="48">
        <v>5441.78</v>
      </c>
      <c r="X905">
        <v>48</v>
      </c>
      <c r="Y905" t="s">
        <v>112</v>
      </c>
      <c r="Z905">
        <v>30.26</v>
      </c>
      <c r="AA905" t="s">
        <v>91</v>
      </c>
      <c r="AB905" t="s">
        <v>47</v>
      </c>
      <c r="AC905" t="s">
        <v>70</v>
      </c>
      <c r="AD905" t="s">
        <v>144</v>
      </c>
      <c r="AE905" t="s">
        <v>62</v>
      </c>
      <c r="AF905" s="5">
        <f>DATE(YEAR(C905),MONTH(C905),1)</f>
        <v>45901</v>
      </c>
      <c r="AG905">
        <f>E905-D905</f>
        <v>15</v>
      </c>
      <c r="AH905" s="6">
        <f t="shared" si="14"/>
        <v>42.071725837738207</v>
      </c>
    </row>
    <row r="906" spans="1:34">
      <c r="A906" t="s">
        <v>1925</v>
      </c>
      <c r="B906" t="s">
        <v>1926</v>
      </c>
      <c r="C906" s="1">
        <v>45944</v>
      </c>
      <c r="D906" s="1">
        <v>45945</v>
      </c>
      <c r="E906" s="1">
        <v>45972</v>
      </c>
      <c r="F906" t="s">
        <v>36</v>
      </c>
      <c r="G906" t="s">
        <v>37</v>
      </c>
      <c r="H906" t="s">
        <v>38</v>
      </c>
      <c r="I906" t="s">
        <v>40</v>
      </c>
      <c r="J906" t="s">
        <v>122</v>
      </c>
      <c r="K906" t="s">
        <v>123</v>
      </c>
      <c r="L906" t="s">
        <v>59</v>
      </c>
      <c r="M906" t="s">
        <v>68</v>
      </c>
      <c r="N906">
        <v>1</v>
      </c>
      <c r="O906" t="s">
        <v>44</v>
      </c>
      <c r="P906" s="48">
        <v>16223.06</v>
      </c>
      <c r="Q906" s="48">
        <v>3624.39</v>
      </c>
      <c r="R906" s="48">
        <v>971.9</v>
      </c>
      <c r="S906" s="48">
        <v>480.09</v>
      </c>
      <c r="T906" s="48">
        <v>162.22999999999999</v>
      </c>
      <c r="U906" s="48">
        <v>217.72</v>
      </c>
      <c r="V906" s="48">
        <v>591.66999999999996</v>
      </c>
      <c r="W906" s="48">
        <v>10175.06</v>
      </c>
      <c r="X906">
        <v>48</v>
      </c>
      <c r="Y906" t="s">
        <v>101</v>
      </c>
      <c r="Z906">
        <v>30.2</v>
      </c>
      <c r="AA906" t="s">
        <v>91</v>
      </c>
      <c r="AB906" t="s">
        <v>47</v>
      </c>
      <c r="AC906" t="s">
        <v>48</v>
      </c>
      <c r="AD906" t="s">
        <v>130</v>
      </c>
      <c r="AE906" t="s">
        <v>62</v>
      </c>
      <c r="AF906" s="5">
        <f>DATE(YEAR(C906),MONTH(C906),1)</f>
        <v>45931</v>
      </c>
      <c r="AG906">
        <f>E906-D906</f>
        <v>27</v>
      </c>
      <c r="AH906" s="6">
        <f t="shared" si="14"/>
        <v>62.719733515132162</v>
      </c>
    </row>
    <row r="907" spans="1:34">
      <c r="A907" t="s">
        <v>1927</v>
      </c>
      <c r="B907" t="s">
        <v>1928</v>
      </c>
      <c r="C907" s="1">
        <v>45945</v>
      </c>
      <c r="D907" s="1">
        <v>45949</v>
      </c>
      <c r="E907" s="1">
        <v>45965</v>
      </c>
      <c r="F907" t="s">
        <v>153</v>
      </c>
      <c r="G907" t="s">
        <v>75</v>
      </c>
      <c r="H907" t="s">
        <v>154</v>
      </c>
      <c r="I907" t="s">
        <v>57</v>
      </c>
      <c r="J907" t="s">
        <v>98</v>
      </c>
      <c r="K907" t="s">
        <v>99</v>
      </c>
      <c r="L907" t="s">
        <v>100</v>
      </c>
      <c r="M907" t="s">
        <v>68</v>
      </c>
      <c r="N907">
        <v>2</v>
      </c>
      <c r="O907" t="s">
        <v>105</v>
      </c>
      <c r="P907" s="48">
        <v>13088.93</v>
      </c>
      <c r="Q907" s="48">
        <v>3612.8</v>
      </c>
      <c r="R907" s="48">
        <v>733.78</v>
      </c>
      <c r="S907" s="48">
        <v>181.58</v>
      </c>
      <c r="T907" s="48">
        <v>130.88999999999999</v>
      </c>
      <c r="U907" s="48">
        <v>782.73</v>
      </c>
      <c r="V907" s="48">
        <v>2101.9699999999998</v>
      </c>
      <c r="W907" s="48">
        <v>5545.18</v>
      </c>
      <c r="X907">
        <v>48</v>
      </c>
      <c r="Y907" t="s">
        <v>135</v>
      </c>
      <c r="Z907">
        <v>30.11</v>
      </c>
      <c r="AA907" t="s">
        <v>91</v>
      </c>
      <c r="AB907" t="s">
        <v>47</v>
      </c>
      <c r="AC907" t="s">
        <v>60</v>
      </c>
      <c r="AD907" t="s">
        <v>93</v>
      </c>
      <c r="AE907" t="s">
        <v>102</v>
      </c>
      <c r="AF907" s="5">
        <f>DATE(YEAR(C907),MONTH(C907),1)</f>
        <v>45931</v>
      </c>
      <c r="AG907">
        <f>E907-D907</f>
        <v>16</v>
      </c>
      <c r="AH907" s="6">
        <f t="shared" si="14"/>
        <v>42.365418716426781</v>
      </c>
    </row>
    <row r="908" spans="1:34">
      <c r="A908" t="s">
        <v>1929</v>
      </c>
      <c r="B908" t="s">
        <v>1930</v>
      </c>
      <c r="C908" s="1">
        <v>45709</v>
      </c>
      <c r="D908" s="1">
        <v>45711</v>
      </c>
      <c r="E908" s="1">
        <v>45734</v>
      </c>
      <c r="F908" t="s">
        <v>149</v>
      </c>
      <c r="G908" t="s">
        <v>111</v>
      </c>
      <c r="H908" t="s">
        <v>150</v>
      </c>
      <c r="I908" t="s">
        <v>57</v>
      </c>
      <c r="J908" t="s">
        <v>98</v>
      </c>
      <c r="K908" t="s">
        <v>99</v>
      </c>
      <c r="L908" t="s">
        <v>124</v>
      </c>
      <c r="M908" t="s">
        <v>79</v>
      </c>
      <c r="N908">
        <v>1</v>
      </c>
      <c r="O908" t="s">
        <v>89</v>
      </c>
      <c r="P908" s="48">
        <v>15313.31</v>
      </c>
      <c r="Q908" s="48">
        <v>3600.58</v>
      </c>
      <c r="R908" s="48">
        <v>825.07</v>
      </c>
      <c r="S908" s="48">
        <v>208.13</v>
      </c>
      <c r="T908" s="48">
        <v>153.13</v>
      </c>
      <c r="U908" s="48">
        <v>387.55</v>
      </c>
      <c r="V908" s="48">
        <v>617.59</v>
      </c>
      <c r="W908" s="48">
        <v>9521.26</v>
      </c>
      <c r="X908">
        <v>4</v>
      </c>
      <c r="Y908" t="s">
        <v>101</v>
      </c>
      <c r="Z908">
        <v>30</v>
      </c>
      <c r="AA908" t="s">
        <v>91</v>
      </c>
      <c r="AB908" t="s">
        <v>92</v>
      </c>
      <c r="AC908" t="s">
        <v>60</v>
      </c>
      <c r="AD908" t="s">
        <v>61</v>
      </c>
      <c r="AE908" t="s">
        <v>62</v>
      </c>
      <c r="AF908" s="5">
        <f>DATE(YEAR(C908),MONTH(C908),1)</f>
        <v>45689</v>
      </c>
      <c r="AG908">
        <f>E908-D908</f>
        <v>23</v>
      </c>
      <c r="AH908" s="6">
        <f t="shared" si="14"/>
        <v>62.176368139873098</v>
      </c>
    </row>
    <row r="909" spans="1:34">
      <c r="A909" t="s">
        <v>1931</v>
      </c>
      <c r="B909" t="s">
        <v>1932</v>
      </c>
      <c r="C909" s="1">
        <v>45872</v>
      </c>
      <c r="D909" s="1">
        <v>45873</v>
      </c>
      <c r="E909" s="1">
        <v>45888</v>
      </c>
      <c r="F909" t="s">
        <v>149</v>
      </c>
      <c r="G909" t="s">
        <v>111</v>
      </c>
      <c r="H909" t="s">
        <v>150</v>
      </c>
      <c r="I909" t="s">
        <v>77</v>
      </c>
      <c r="J909" t="s">
        <v>57</v>
      </c>
      <c r="K909" t="s">
        <v>41</v>
      </c>
      <c r="L909" t="s">
        <v>78</v>
      </c>
      <c r="M909" t="s">
        <v>68</v>
      </c>
      <c r="N909">
        <v>2</v>
      </c>
      <c r="O909" t="s">
        <v>89</v>
      </c>
      <c r="P909" s="48">
        <v>14035.03</v>
      </c>
      <c r="Q909" s="48">
        <v>3598.17</v>
      </c>
      <c r="R909" s="48">
        <v>1092.5</v>
      </c>
      <c r="S909" s="48">
        <v>366.82</v>
      </c>
      <c r="T909" s="48">
        <v>140.35</v>
      </c>
      <c r="U909" s="48">
        <v>456.43</v>
      </c>
      <c r="V909" s="48">
        <v>593.77</v>
      </c>
      <c r="W909" s="48">
        <v>7786.99</v>
      </c>
      <c r="X909">
        <v>0</v>
      </c>
      <c r="Y909" t="s">
        <v>45</v>
      </c>
      <c r="Z909">
        <v>29.98</v>
      </c>
      <c r="AA909" t="s">
        <v>46</v>
      </c>
      <c r="AB909" t="s">
        <v>92</v>
      </c>
      <c r="AC909" t="s">
        <v>60</v>
      </c>
      <c r="AD909" t="s">
        <v>49</v>
      </c>
      <c r="AE909" t="s">
        <v>71</v>
      </c>
      <c r="AF909" s="5">
        <f>DATE(YEAR(C909),MONTH(C909),1)</f>
        <v>45870</v>
      </c>
      <c r="AG909">
        <f>E909-D909</f>
        <v>15</v>
      </c>
      <c r="AH909" s="6">
        <f t="shared" si="14"/>
        <v>55.482531921912525</v>
      </c>
    </row>
    <row r="910" spans="1:34">
      <c r="A910" t="s">
        <v>1933</v>
      </c>
      <c r="B910" t="s">
        <v>1934</v>
      </c>
      <c r="C910" s="1">
        <v>45765</v>
      </c>
      <c r="D910" s="1">
        <v>45768</v>
      </c>
      <c r="E910" s="1">
        <v>45794</v>
      </c>
      <c r="F910" t="s">
        <v>180</v>
      </c>
      <c r="G910" t="s">
        <v>181</v>
      </c>
      <c r="H910" t="s">
        <v>38</v>
      </c>
      <c r="I910" t="s">
        <v>56</v>
      </c>
      <c r="J910" t="s">
        <v>77</v>
      </c>
      <c r="K910" t="s">
        <v>41</v>
      </c>
      <c r="L910" t="s">
        <v>155</v>
      </c>
      <c r="M910" t="s">
        <v>108</v>
      </c>
      <c r="N910">
        <v>2</v>
      </c>
      <c r="O910" t="s">
        <v>69</v>
      </c>
      <c r="P910" s="48">
        <v>21528.81</v>
      </c>
      <c r="Q910" s="48">
        <v>3579.86</v>
      </c>
      <c r="R910" s="48">
        <v>1377.99</v>
      </c>
      <c r="S910" s="48">
        <v>618.04999999999995</v>
      </c>
      <c r="T910" s="48">
        <v>215.29</v>
      </c>
      <c r="U910" s="48">
        <v>820.96</v>
      </c>
      <c r="V910" s="48">
        <v>646.62</v>
      </c>
      <c r="W910" s="48">
        <v>14270.04</v>
      </c>
      <c r="X910">
        <v>36</v>
      </c>
      <c r="Y910" t="s">
        <v>101</v>
      </c>
      <c r="Z910">
        <v>29.83</v>
      </c>
      <c r="AA910" t="s">
        <v>91</v>
      </c>
      <c r="AB910" t="s">
        <v>92</v>
      </c>
      <c r="AC910" t="s">
        <v>48</v>
      </c>
      <c r="AD910" t="s">
        <v>130</v>
      </c>
      <c r="AE910" t="s">
        <v>71</v>
      </c>
      <c r="AF910" s="5">
        <f>DATE(YEAR(C910),MONTH(C910),1)</f>
        <v>45748</v>
      </c>
      <c r="AG910">
        <f>E910-D910</f>
        <v>26</v>
      </c>
      <c r="AH910" s="6">
        <f t="shared" si="14"/>
        <v>66.283459234393348</v>
      </c>
    </row>
    <row r="911" spans="1:34">
      <c r="A911" t="s">
        <v>1935</v>
      </c>
      <c r="B911" t="s">
        <v>1936</v>
      </c>
      <c r="C911" s="1">
        <v>45985</v>
      </c>
      <c r="D911" s="1">
        <v>45989</v>
      </c>
      <c r="E911" s="1">
        <v>46009</v>
      </c>
      <c r="F911" t="s">
        <v>65</v>
      </c>
      <c r="G911" t="s">
        <v>66</v>
      </c>
      <c r="H911" t="s">
        <v>67</v>
      </c>
      <c r="I911" t="s">
        <v>98</v>
      </c>
      <c r="J911" t="s">
        <v>57</v>
      </c>
      <c r="K911" t="s">
        <v>41</v>
      </c>
      <c r="L911" t="s">
        <v>78</v>
      </c>
      <c r="M911" t="s">
        <v>68</v>
      </c>
      <c r="N911">
        <v>1</v>
      </c>
      <c r="O911" t="s">
        <v>80</v>
      </c>
      <c r="P911" s="48">
        <v>13886.26</v>
      </c>
      <c r="Q911" s="48">
        <v>3571.77</v>
      </c>
      <c r="R911" s="48">
        <v>725.07</v>
      </c>
      <c r="S911" s="48">
        <v>322.04000000000002</v>
      </c>
      <c r="T911" s="48">
        <v>138.86000000000001</v>
      </c>
      <c r="U911" s="48">
        <v>602.29</v>
      </c>
      <c r="V911" s="48">
        <v>2031.07</v>
      </c>
      <c r="W911" s="48">
        <v>6495.16</v>
      </c>
      <c r="X911">
        <v>0</v>
      </c>
      <c r="Y911" t="s">
        <v>45</v>
      </c>
      <c r="Z911">
        <v>29.76</v>
      </c>
      <c r="AA911" t="s">
        <v>46</v>
      </c>
      <c r="AB911" t="s">
        <v>92</v>
      </c>
      <c r="AC911" t="s">
        <v>70</v>
      </c>
      <c r="AD911" t="s">
        <v>49</v>
      </c>
      <c r="AE911" t="s">
        <v>102</v>
      </c>
      <c r="AF911" s="5">
        <f>DATE(YEAR(C911),MONTH(C911),1)</f>
        <v>45962</v>
      </c>
      <c r="AG911">
        <f>E911-D911</f>
        <v>20</v>
      </c>
      <c r="AH911" s="6">
        <f t="shared" si="14"/>
        <v>46.774005383739031</v>
      </c>
    </row>
    <row r="912" spans="1:34">
      <c r="A912" t="s">
        <v>1937</v>
      </c>
      <c r="B912" t="s">
        <v>1938</v>
      </c>
      <c r="C912" s="1">
        <v>45924</v>
      </c>
      <c r="D912" s="1">
        <v>45925</v>
      </c>
      <c r="E912" s="1">
        <v>45945</v>
      </c>
      <c r="F912" t="s">
        <v>120</v>
      </c>
      <c r="G912" t="s">
        <v>75</v>
      </c>
      <c r="H912" t="s">
        <v>121</v>
      </c>
      <c r="I912" t="s">
        <v>86</v>
      </c>
      <c r="J912" t="s">
        <v>87</v>
      </c>
      <c r="K912" t="s">
        <v>88</v>
      </c>
      <c r="L912" t="s">
        <v>59</v>
      </c>
      <c r="M912" t="s">
        <v>68</v>
      </c>
      <c r="N912">
        <v>2</v>
      </c>
      <c r="O912" t="s">
        <v>44</v>
      </c>
      <c r="P912" s="48">
        <v>13392.16</v>
      </c>
      <c r="Q912" s="48">
        <v>3556.35</v>
      </c>
      <c r="R912" s="48">
        <v>922.91</v>
      </c>
      <c r="S912" s="48">
        <v>146.5</v>
      </c>
      <c r="T912" s="48">
        <v>133.91999999999999</v>
      </c>
      <c r="U912" s="48">
        <v>773.11</v>
      </c>
      <c r="V912" s="48">
        <v>2329.54</v>
      </c>
      <c r="W912" s="48">
        <v>5529.83</v>
      </c>
      <c r="X912">
        <v>8</v>
      </c>
      <c r="Y912" t="s">
        <v>90</v>
      </c>
      <c r="Z912">
        <v>29.64</v>
      </c>
      <c r="AA912" t="s">
        <v>91</v>
      </c>
      <c r="AB912" t="s">
        <v>92</v>
      </c>
      <c r="AC912" t="s">
        <v>70</v>
      </c>
      <c r="AD912" t="s">
        <v>49</v>
      </c>
      <c r="AE912" t="s">
        <v>102</v>
      </c>
      <c r="AF912" s="5">
        <f>DATE(YEAR(C912),MONTH(C912),1)</f>
        <v>45901</v>
      </c>
      <c r="AG912">
        <f>E912-D912</f>
        <v>20</v>
      </c>
      <c r="AH912" s="6">
        <f t="shared" si="14"/>
        <v>41.291546695977352</v>
      </c>
    </row>
    <row r="913" spans="1:34">
      <c r="A913" t="s">
        <v>1939</v>
      </c>
      <c r="B913" t="s">
        <v>1940</v>
      </c>
      <c r="C913" s="1">
        <v>45784</v>
      </c>
      <c r="D913" s="1">
        <v>45785</v>
      </c>
      <c r="E913" s="1">
        <v>45801</v>
      </c>
      <c r="F913" t="s">
        <v>180</v>
      </c>
      <c r="G913" t="s">
        <v>181</v>
      </c>
      <c r="H913" t="s">
        <v>38</v>
      </c>
      <c r="I913" t="s">
        <v>98</v>
      </c>
      <c r="J913" t="s">
        <v>86</v>
      </c>
      <c r="K913" t="s">
        <v>41</v>
      </c>
      <c r="L913" t="s">
        <v>116</v>
      </c>
      <c r="M913" t="s">
        <v>68</v>
      </c>
      <c r="N913">
        <v>1</v>
      </c>
      <c r="O913" t="s">
        <v>69</v>
      </c>
      <c r="P913" s="48">
        <v>12537.65</v>
      </c>
      <c r="Q913" s="48">
        <v>3491.34</v>
      </c>
      <c r="R913" s="48">
        <v>811.01</v>
      </c>
      <c r="S913" s="48">
        <v>183.59</v>
      </c>
      <c r="T913" s="48">
        <v>125.38</v>
      </c>
      <c r="U913" s="48">
        <v>112.29</v>
      </c>
      <c r="V913" s="48">
        <v>2031.33</v>
      </c>
      <c r="W913" s="48">
        <v>5782.71</v>
      </c>
      <c r="X913">
        <v>24</v>
      </c>
      <c r="Y913" t="s">
        <v>112</v>
      </c>
      <c r="Z913">
        <v>29.09</v>
      </c>
      <c r="AA913" t="s">
        <v>91</v>
      </c>
      <c r="AB913" t="s">
        <v>92</v>
      </c>
      <c r="AC913" t="s">
        <v>48</v>
      </c>
      <c r="AD913" t="s">
        <v>144</v>
      </c>
      <c r="AE913" t="s">
        <v>71</v>
      </c>
      <c r="AF913" s="5">
        <f>DATE(YEAR(C913),MONTH(C913),1)</f>
        <v>45778</v>
      </c>
      <c r="AG913">
        <f>E913-D913</f>
        <v>16</v>
      </c>
      <c r="AH913" s="6">
        <f t="shared" si="14"/>
        <v>46.122758252144543</v>
      </c>
    </row>
    <row r="914" spans="1:34">
      <c r="A914" t="s">
        <v>1941</v>
      </c>
      <c r="B914" t="s">
        <v>1942</v>
      </c>
      <c r="C914" s="1">
        <v>45709</v>
      </c>
      <c r="D914" s="1">
        <v>45713</v>
      </c>
      <c r="E914" s="1">
        <v>45734</v>
      </c>
      <c r="F914" t="s">
        <v>53</v>
      </c>
      <c r="G914" t="s">
        <v>54</v>
      </c>
      <c r="H914" t="s">
        <v>55</v>
      </c>
      <c r="I914" t="s">
        <v>56</v>
      </c>
      <c r="J914" t="s">
        <v>57</v>
      </c>
      <c r="K914" t="s">
        <v>58</v>
      </c>
      <c r="L914" t="s">
        <v>155</v>
      </c>
      <c r="M914" t="s">
        <v>68</v>
      </c>
      <c r="N914">
        <v>2</v>
      </c>
      <c r="O914" t="s">
        <v>80</v>
      </c>
      <c r="P914" s="48">
        <v>15765.77</v>
      </c>
      <c r="Q914" s="48">
        <v>3474.81</v>
      </c>
      <c r="R914" s="48">
        <v>921.76</v>
      </c>
      <c r="S914" s="48">
        <v>196.04</v>
      </c>
      <c r="T914" s="48">
        <v>157.66</v>
      </c>
      <c r="U914" s="48">
        <v>599</v>
      </c>
      <c r="V914" s="48">
        <v>2295.48</v>
      </c>
      <c r="W914" s="48">
        <v>8121.02</v>
      </c>
      <c r="X914">
        <v>0</v>
      </c>
      <c r="Y914" t="s">
        <v>45</v>
      </c>
      <c r="Z914">
        <v>28.96</v>
      </c>
      <c r="AA914" t="s">
        <v>46</v>
      </c>
      <c r="AB914" t="s">
        <v>92</v>
      </c>
      <c r="AC914" t="s">
        <v>70</v>
      </c>
      <c r="AD914" t="s">
        <v>130</v>
      </c>
      <c r="AE914" t="s">
        <v>50</v>
      </c>
      <c r="AF914" s="5">
        <f>DATE(YEAR(C914),MONTH(C914),1)</f>
        <v>45689</v>
      </c>
      <c r="AG914">
        <f>E914-D914</f>
        <v>21</v>
      </c>
      <c r="AH914" s="6">
        <f t="shared" si="14"/>
        <v>51.510455880048987</v>
      </c>
    </row>
    <row r="915" spans="1:34">
      <c r="A915" t="s">
        <v>1943</v>
      </c>
      <c r="B915" t="s">
        <v>1944</v>
      </c>
      <c r="C915" s="1">
        <v>45753</v>
      </c>
      <c r="D915" s="1">
        <v>45756</v>
      </c>
      <c r="E915" s="1">
        <v>45770</v>
      </c>
      <c r="F915" t="s">
        <v>96</v>
      </c>
      <c r="G915" t="s">
        <v>97</v>
      </c>
      <c r="H915" t="s">
        <v>76</v>
      </c>
      <c r="I915" t="s">
        <v>115</v>
      </c>
      <c r="J915" t="s">
        <v>98</v>
      </c>
      <c r="K915" t="s">
        <v>99</v>
      </c>
      <c r="L915" t="s">
        <v>155</v>
      </c>
      <c r="M915" t="s">
        <v>108</v>
      </c>
      <c r="N915">
        <v>2</v>
      </c>
      <c r="O915" t="s">
        <v>111</v>
      </c>
      <c r="P915" s="48">
        <v>20005.150000000001</v>
      </c>
      <c r="Q915" s="48">
        <v>3447.11</v>
      </c>
      <c r="R915" s="48">
        <v>836.62</v>
      </c>
      <c r="S915" s="48">
        <v>281.95</v>
      </c>
      <c r="T915" s="48">
        <v>200.05</v>
      </c>
      <c r="U915" s="48">
        <v>415.96</v>
      </c>
      <c r="V915" s="48">
        <v>978.42</v>
      </c>
      <c r="W915" s="48">
        <v>13845.04</v>
      </c>
      <c r="X915">
        <v>0</v>
      </c>
      <c r="Y915" t="s">
        <v>45</v>
      </c>
      <c r="Z915">
        <v>28.73</v>
      </c>
      <c r="AA915" t="s">
        <v>46</v>
      </c>
      <c r="AB915" t="s">
        <v>92</v>
      </c>
      <c r="AC915" t="s">
        <v>48</v>
      </c>
      <c r="AD915" t="s">
        <v>93</v>
      </c>
      <c r="AE915" t="s">
        <v>62</v>
      </c>
      <c r="AF915" s="5">
        <f>DATE(YEAR(C915),MONTH(C915),1)</f>
        <v>45748</v>
      </c>
      <c r="AG915">
        <f>E915-D915</f>
        <v>14</v>
      </c>
      <c r="AH915" s="6">
        <f t="shared" si="14"/>
        <v>69.207379099881777</v>
      </c>
    </row>
    <row r="916" spans="1:34">
      <c r="A916" t="s">
        <v>1945</v>
      </c>
      <c r="B916" t="s">
        <v>1946</v>
      </c>
      <c r="C916" s="1">
        <v>45953</v>
      </c>
      <c r="D916" s="1">
        <v>45955</v>
      </c>
      <c r="E916" s="1">
        <v>45978</v>
      </c>
      <c r="F916" t="s">
        <v>65</v>
      </c>
      <c r="G916" t="s">
        <v>66</v>
      </c>
      <c r="H916" t="s">
        <v>67</v>
      </c>
      <c r="I916" t="s">
        <v>57</v>
      </c>
      <c r="J916" t="s">
        <v>98</v>
      </c>
      <c r="K916" t="s">
        <v>99</v>
      </c>
      <c r="L916" t="s">
        <v>155</v>
      </c>
      <c r="M916" t="s">
        <v>108</v>
      </c>
      <c r="N916">
        <v>1</v>
      </c>
      <c r="O916" t="s">
        <v>111</v>
      </c>
      <c r="P916" s="48">
        <v>14762.71</v>
      </c>
      <c r="Q916" s="48">
        <v>3399.73</v>
      </c>
      <c r="R916" s="48">
        <v>867.71</v>
      </c>
      <c r="S916" s="48">
        <v>340.47</v>
      </c>
      <c r="T916" s="48">
        <v>147.63</v>
      </c>
      <c r="U916" s="48">
        <v>588.58000000000004</v>
      </c>
      <c r="V916" s="48">
        <v>1015.98</v>
      </c>
      <c r="W916" s="48">
        <v>8402.61</v>
      </c>
      <c r="X916">
        <v>36</v>
      </c>
      <c r="Y916" t="s">
        <v>112</v>
      </c>
      <c r="Z916">
        <v>28.33</v>
      </c>
      <c r="AA916" t="s">
        <v>91</v>
      </c>
      <c r="AB916" t="s">
        <v>47</v>
      </c>
      <c r="AC916" t="s">
        <v>48</v>
      </c>
      <c r="AD916" t="s">
        <v>61</v>
      </c>
      <c r="AE916" t="s">
        <v>50</v>
      </c>
      <c r="AF916" s="5">
        <f>DATE(YEAR(C916),MONTH(C916),1)</f>
        <v>45931</v>
      </c>
      <c r="AG916">
        <f>E916-D916</f>
        <v>23</v>
      </c>
      <c r="AH916" s="6">
        <f t="shared" si="14"/>
        <v>56.917801677334324</v>
      </c>
    </row>
    <row r="917" spans="1:34">
      <c r="A917" t="s">
        <v>1947</v>
      </c>
      <c r="B917" t="s">
        <v>1948</v>
      </c>
      <c r="C917" s="1">
        <v>45984</v>
      </c>
      <c r="D917" s="1">
        <v>45986</v>
      </c>
      <c r="E917" s="1">
        <v>46003</v>
      </c>
      <c r="F917" t="s">
        <v>74</v>
      </c>
      <c r="G917" t="s">
        <v>75</v>
      </c>
      <c r="H917" t="s">
        <v>76</v>
      </c>
      <c r="I917" t="s">
        <v>57</v>
      </c>
      <c r="J917" t="s">
        <v>98</v>
      </c>
      <c r="K917" t="s">
        <v>99</v>
      </c>
      <c r="L917" t="s">
        <v>127</v>
      </c>
      <c r="M917" t="s">
        <v>68</v>
      </c>
      <c r="N917">
        <v>2</v>
      </c>
      <c r="O917" t="s">
        <v>54</v>
      </c>
      <c r="P917" s="48">
        <v>16738.95</v>
      </c>
      <c r="Q917" s="48">
        <v>3367.19</v>
      </c>
      <c r="R917" s="48">
        <v>1030.44</v>
      </c>
      <c r="S917" s="48">
        <v>287.91000000000003</v>
      </c>
      <c r="T917" s="48">
        <v>167.39</v>
      </c>
      <c r="U917" s="48">
        <v>199.11</v>
      </c>
      <c r="V917" s="48">
        <v>2415.7399999999998</v>
      </c>
      <c r="W917" s="48">
        <v>9271.17</v>
      </c>
      <c r="X917">
        <v>4</v>
      </c>
      <c r="Y917" t="s">
        <v>90</v>
      </c>
      <c r="Z917">
        <v>28.06</v>
      </c>
      <c r="AA917" t="s">
        <v>91</v>
      </c>
      <c r="AB917" t="s">
        <v>47</v>
      </c>
      <c r="AC917" t="s">
        <v>48</v>
      </c>
      <c r="AD917" t="s">
        <v>49</v>
      </c>
      <c r="AE917" t="s">
        <v>102</v>
      </c>
      <c r="AF917" s="5">
        <f>DATE(YEAR(C917),MONTH(C917),1)</f>
        <v>45962</v>
      </c>
      <c r="AG917">
        <f>E917-D917</f>
        <v>17</v>
      </c>
      <c r="AH917" s="6">
        <f t="shared" si="14"/>
        <v>55.386807416235783</v>
      </c>
    </row>
    <row r="918" spans="1:34">
      <c r="A918" t="s">
        <v>1949</v>
      </c>
      <c r="B918" t="s">
        <v>1950</v>
      </c>
      <c r="C918" s="1">
        <v>45732</v>
      </c>
      <c r="D918" s="1">
        <v>45735</v>
      </c>
      <c r="E918" s="1">
        <v>45753</v>
      </c>
      <c r="F918" t="s">
        <v>65</v>
      </c>
      <c r="G918" t="s">
        <v>66</v>
      </c>
      <c r="H918" t="s">
        <v>67</v>
      </c>
      <c r="I918" t="s">
        <v>56</v>
      </c>
      <c r="J918" t="s">
        <v>57</v>
      </c>
      <c r="K918" t="s">
        <v>58</v>
      </c>
      <c r="L918" t="s">
        <v>42</v>
      </c>
      <c r="M918" t="s">
        <v>108</v>
      </c>
      <c r="N918">
        <v>2</v>
      </c>
      <c r="O918" t="s">
        <v>69</v>
      </c>
      <c r="P918" s="48">
        <v>13167.36</v>
      </c>
      <c r="Q918" s="48">
        <v>3339.51</v>
      </c>
      <c r="R918" s="48">
        <v>1035.7</v>
      </c>
      <c r="S918" s="48">
        <v>377.58</v>
      </c>
      <c r="T918" s="48">
        <v>131.66999999999999</v>
      </c>
      <c r="U918" s="48">
        <v>766.98</v>
      </c>
      <c r="V918" s="48">
        <v>778.43</v>
      </c>
      <c r="W918" s="48">
        <v>6737.49</v>
      </c>
      <c r="X918">
        <v>12</v>
      </c>
      <c r="Y918" t="s">
        <v>112</v>
      </c>
      <c r="Z918">
        <v>27.83</v>
      </c>
      <c r="AA918" t="s">
        <v>91</v>
      </c>
      <c r="AB918" t="s">
        <v>47</v>
      </c>
      <c r="AC918" t="s">
        <v>60</v>
      </c>
      <c r="AD918" t="s">
        <v>144</v>
      </c>
      <c r="AE918" t="s">
        <v>50</v>
      </c>
      <c r="AF918" s="5">
        <f>DATE(YEAR(C918),MONTH(C918),1)</f>
        <v>45717</v>
      </c>
      <c r="AG918">
        <f>E918-D918</f>
        <v>18</v>
      </c>
      <c r="AH918" s="6">
        <f t="shared" si="14"/>
        <v>51.168115704286961</v>
      </c>
    </row>
    <row r="919" spans="1:34">
      <c r="A919" t="s">
        <v>1951</v>
      </c>
      <c r="B919" t="s">
        <v>1952</v>
      </c>
      <c r="C919" s="1">
        <v>45730</v>
      </c>
      <c r="D919" s="1">
        <v>45732</v>
      </c>
      <c r="E919" s="1">
        <v>45746</v>
      </c>
      <c r="F919" t="s">
        <v>138</v>
      </c>
      <c r="G919" t="s">
        <v>139</v>
      </c>
      <c r="H919" t="s">
        <v>76</v>
      </c>
      <c r="I919" t="s">
        <v>57</v>
      </c>
      <c r="J919" t="s">
        <v>98</v>
      </c>
      <c r="K919" t="s">
        <v>99</v>
      </c>
      <c r="L919" t="s">
        <v>116</v>
      </c>
      <c r="M919" t="s">
        <v>68</v>
      </c>
      <c r="N919">
        <v>1</v>
      </c>
      <c r="O919" t="s">
        <v>44</v>
      </c>
      <c r="P919" s="48">
        <v>20483.509999999998</v>
      </c>
      <c r="Q919" s="48">
        <v>3336.72</v>
      </c>
      <c r="R919" s="48">
        <v>1286.53</v>
      </c>
      <c r="S919" s="48">
        <v>469.33</v>
      </c>
      <c r="T919" s="48">
        <v>204.84</v>
      </c>
      <c r="U919" s="48">
        <v>499.42</v>
      </c>
      <c r="V919" s="48">
        <v>2297.9699999999998</v>
      </c>
      <c r="W919" s="48">
        <v>12388.7</v>
      </c>
      <c r="X919">
        <v>36</v>
      </c>
      <c r="Y919" t="s">
        <v>117</v>
      </c>
      <c r="Z919">
        <v>27.81</v>
      </c>
      <c r="AA919" t="s">
        <v>91</v>
      </c>
      <c r="AB919" t="s">
        <v>47</v>
      </c>
      <c r="AC919" t="s">
        <v>70</v>
      </c>
      <c r="AD919" t="s">
        <v>61</v>
      </c>
      <c r="AE919" t="s">
        <v>71</v>
      </c>
      <c r="AF919" s="5">
        <f>DATE(YEAR(C919),MONTH(C919),1)</f>
        <v>45717</v>
      </c>
      <c r="AG919">
        <f>E919-D919</f>
        <v>14</v>
      </c>
      <c r="AH919" s="6">
        <f t="shared" si="14"/>
        <v>60.481333521452143</v>
      </c>
    </row>
    <row r="920" spans="1:34">
      <c r="A920" t="s">
        <v>1953</v>
      </c>
      <c r="B920" t="s">
        <v>1954</v>
      </c>
      <c r="C920" s="1">
        <v>45814</v>
      </c>
      <c r="D920" s="1">
        <v>45818</v>
      </c>
      <c r="E920" s="1">
        <v>45830</v>
      </c>
      <c r="F920" t="s">
        <v>83</v>
      </c>
      <c r="G920" t="s">
        <v>84</v>
      </c>
      <c r="H920" t="s">
        <v>85</v>
      </c>
      <c r="I920" t="s">
        <v>98</v>
      </c>
      <c r="J920" t="s">
        <v>115</v>
      </c>
      <c r="K920" t="s">
        <v>41</v>
      </c>
      <c r="L920" t="s">
        <v>78</v>
      </c>
      <c r="M920" t="s">
        <v>79</v>
      </c>
      <c r="N920">
        <v>2</v>
      </c>
      <c r="O920" t="s">
        <v>89</v>
      </c>
      <c r="P920" s="48">
        <v>18827.03</v>
      </c>
      <c r="Q920" s="48">
        <v>3330.42</v>
      </c>
      <c r="R920" s="48">
        <v>877.09</v>
      </c>
      <c r="S920" s="48">
        <v>296.66000000000003</v>
      </c>
      <c r="T920" s="48">
        <v>188.27</v>
      </c>
      <c r="U920" s="48">
        <v>308.44</v>
      </c>
      <c r="V920" s="48">
        <v>866.51</v>
      </c>
      <c r="W920" s="48">
        <v>12959.64</v>
      </c>
      <c r="X920">
        <v>12</v>
      </c>
      <c r="Y920" t="s">
        <v>135</v>
      </c>
      <c r="Z920">
        <v>27.75</v>
      </c>
      <c r="AA920" t="s">
        <v>91</v>
      </c>
      <c r="AB920" t="s">
        <v>47</v>
      </c>
      <c r="AC920" t="s">
        <v>70</v>
      </c>
      <c r="AD920" t="s">
        <v>61</v>
      </c>
      <c r="AE920" t="s">
        <v>102</v>
      </c>
      <c r="AF920" s="5">
        <f>DATE(YEAR(C920),MONTH(C920),1)</f>
        <v>45809</v>
      </c>
      <c r="AG920">
        <f>E920-D920</f>
        <v>12</v>
      </c>
      <c r="AH920" s="6">
        <f t="shared" si="14"/>
        <v>68.835286287853165</v>
      </c>
    </row>
    <row r="921" spans="1:34">
      <c r="A921" t="s">
        <v>1955</v>
      </c>
      <c r="B921" t="s">
        <v>1956</v>
      </c>
      <c r="C921" s="1">
        <v>45714</v>
      </c>
      <c r="D921" s="1">
        <v>45715</v>
      </c>
      <c r="E921" s="1">
        <v>45737</v>
      </c>
      <c r="F921" t="s">
        <v>65</v>
      </c>
      <c r="G921" t="s">
        <v>66</v>
      </c>
      <c r="H921" t="s">
        <v>67</v>
      </c>
      <c r="I921" t="s">
        <v>56</v>
      </c>
      <c r="J921" t="s">
        <v>57</v>
      </c>
      <c r="K921" t="s">
        <v>58</v>
      </c>
      <c r="L921" t="s">
        <v>78</v>
      </c>
      <c r="M921" t="s">
        <v>79</v>
      </c>
      <c r="N921">
        <v>2</v>
      </c>
      <c r="O921" t="s">
        <v>44</v>
      </c>
      <c r="P921" s="48">
        <v>14617.15</v>
      </c>
      <c r="Q921" s="48">
        <v>3326.26</v>
      </c>
      <c r="R921" s="48">
        <v>1040.2</v>
      </c>
      <c r="S921" s="48">
        <v>160.78</v>
      </c>
      <c r="T921" s="48">
        <v>146.16999999999999</v>
      </c>
      <c r="U921" s="48">
        <v>872.36</v>
      </c>
      <c r="V921" s="48">
        <v>2439.9299999999998</v>
      </c>
      <c r="W921" s="48">
        <v>6631.45</v>
      </c>
      <c r="X921">
        <v>0</v>
      </c>
      <c r="Y921" t="s">
        <v>45</v>
      </c>
      <c r="Z921">
        <v>27.72</v>
      </c>
      <c r="AA921" t="s">
        <v>46</v>
      </c>
      <c r="AB921" t="s">
        <v>47</v>
      </c>
      <c r="AC921" t="s">
        <v>70</v>
      </c>
      <c r="AD921" t="s">
        <v>49</v>
      </c>
      <c r="AE921" t="s">
        <v>102</v>
      </c>
      <c r="AF921" s="5">
        <f>DATE(YEAR(C921),MONTH(C921),1)</f>
        <v>45689</v>
      </c>
      <c r="AG921">
        <f>E921-D921</f>
        <v>22</v>
      </c>
      <c r="AH921" s="6">
        <f t="shared" si="14"/>
        <v>45.367599018960604</v>
      </c>
    </row>
    <row r="922" spans="1:34">
      <c r="A922" t="s">
        <v>1957</v>
      </c>
      <c r="B922" t="s">
        <v>1958</v>
      </c>
      <c r="C922" s="1">
        <v>45676</v>
      </c>
      <c r="D922" s="1">
        <v>45678</v>
      </c>
      <c r="E922" s="1">
        <v>45692</v>
      </c>
      <c r="F922" t="s">
        <v>53</v>
      </c>
      <c r="G922" t="s">
        <v>54</v>
      </c>
      <c r="H922" t="s">
        <v>55</v>
      </c>
      <c r="I922" t="s">
        <v>115</v>
      </c>
      <c r="J922" t="s">
        <v>98</v>
      </c>
      <c r="K922" t="s">
        <v>99</v>
      </c>
      <c r="L922" t="s">
        <v>42</v>
      </c>
      <c r="M922" t="s">
        <v>68</v>
      </c>
      <c r="N922">
        <v>1</v>
      </c>
      <c r="O922" t="s">
        <v>105</v>
      </c>
      <c r="P922" s="48">
        <v>12352.24</v>
      </c>
      <c r="Q922" s="48">
        <v>3321.7</v>
      </c>
      <c r="R922" s="48">
        <v>525.48</v>
      </c>
      <c r="S922" s="48">
        <v>136.06</v>
      </c>
      <c r="T922" s="48">
        <v>123.52</v>
      </c>
      <c r="U922" s="48">
        <v>551.53</v>
      </c>
      <c r="V922" s="48">
        <v>2121.4499999999998</v>
      </c>
      <c r="W922" s="48">
        <v>5572.5</v>
      </c>
      <c r="X922">
        <v>4</v>
      </c>
      <c r="Y922" t="s">
        <v>101</v>
      </c>
      <c r="Z922">
        <v>27.68</v>
      </c>
      <c r="AA922" t="s">
        <v>91</v>
      </c>
      <c r="AB922" t="s">
        <v>92</v>
      </c>
      <c r="AC922" t="s">
        <v>48</v>
      </c>
      <c r="AD922" t="s">
        <v>93</v>
      </c>
      <c r="AE922" t="s">
        <v>102</v>
      </c>
      <c r="AF922" s="5">
        <f>DATE(YEAR(C922),MONTH(C922),1)</f>
        <v>45658</v>
      </c>
      <c r="AG922">
        <f>E922-D922</f>
        <v>14</v>
      </c>
      <c r="AH922" s="6">
        <f t="shared" si="14"/>
        <v>45.113275001133395</v>
      </c>
    </row>
    <row r="923" spans="1:34">
      <c r="A923" t="s">
        <v>1959</v>
      </c>
      <c r="B923" t="s">
        <v>1960</v>
      </c>
      <c r="C923" s="1">
        <v>45925</v>
      </c>
      <c r="D923" s="1">
        <v>45926</v>
      </c>
      <c r="E923" s="1">
        <v>45951</v>
      </c>
      <c r="F923" t="s">
        <v>153</v>
      </c>
      <c r="G923" t="s">
        <v>75</v>
      </c>
      <c r="H923" t="s">
        <v>154</v>
      </c>
      <c r="I923" t="s">
        <v>86</v>
      </c>
      <c r="J923" t="s">
        <v>87</v>
      </c>
      <c r="K923" t="s">
        <v>88</v>
      </c>
      <c r="L923" t="s">
        <v>127</v>
      </c>
      <c r="M923" t="s">
        <v>108</v>
      </c>
      <c r="N923">
        <v>1</v>
      </c>
      <c r="O923" t="s">
        <v>89</v>
      </c>
      <c r="P923" s="48">
        <v>12023.56</v>
      </c>
      <c r="Q923" s="48">
        <v>3309.94</v>
      </c>
      <c r="R923" s="48">
        <v>575.92999999999995</v>
      </c>
      <c r="S923" s="48">
        <v>166.62</v>
      </c>
      <c r="T923" s="48">
        <v>120.24</v>
      </c>
      <c r="U923" s="48">
        <v>431.82</v>
      </c>
      <c r="V923" s="48">
        <v>2499.91</v>
      </c>
      <c r="W923" s="48">
        <v>4919.1000000000004</v>
      </c>
      <c r="X923">
        <v>8</v>
      </c>
      <c r="Y923" t="s">
        <v>90</v>
      </c>
      <c r="Z923">
        <v>27.58</v>
      </c>
      <c r="AA923" t="s">
        <v>91</v>
      </c>
      <c r="AB923" t="s">
        <v>47</v>
      </c>
      <c r="AC923" t="s">
        <v>48</v>
      </c>
      <c r="AD923" t="s">
        <v>144</v>
      </c>
      <c r="AE923" t="s">
        <v>102</v>
      </c>
      <c r="AF923" s="5">
        <f>DATE(YEAR(C923),MONTH(C923),1)</f>
        <v>45901</v>
      </c>
      <c r="AG923">
        <f>E923-D923</f>
        <v>25</v>
      </c>
      <c r="AH923" s="6">
        <f t="shared" si="14"/>
        <v>40.912175761588088</v>
      </c>
    </row>
    <row r="924" spans="1:34">
      <c r="A924" t="s">
        <v>1961</v>
      </c>
      <c r="B924" t="s">
        <v>1962</v>
      </c>
      <c r="C924" s="1">
        <v>45784</v>
      </c>
      <c r="D924" s="1">
        <v>45788</v>
      </c>
      <c r="E924" s="1">
        <v>45807</v>
      </c>
      <c r="F924" t="s">
        <v>234</v>
      </c>
      <c r="G924" t="s">
        <v>111</v>
      </c>
      <c r="H924" t="s">
        <v>150</v>
      </c>
      <c r="I924" t="s">
        <v>115</v>
      </c>
      <c r="J924" t="s">
        <v>98</v>
      </c>
      <c r="K924" t="s">
        <v>99</v>
      </c>
      <c r="L924" t="s">
        <v>42</v>
      </c>
      <c r="M924" t="s">
        <v>68</v>
      </c>
      <c r="N924">
        <v>2</v>
      </c>
      <c r="O924" t="s">
        <v>54</v>
      </c>
      <c r="P924" s="48">
        <v>13241.86</v>
      </c>
      <c r="Q924" s="48">
        <v>3302.3</v>
      </c>
      <c r="R924" s="48">
        <v>848.21</v>
      </c>
      <c r="S924" s="48">
        <v>223.84</v>
      </c>
      <c r="T924" s="48">
        <v>132.41999999999999</v>
      </c>
      <c r="U924" s="48">
        <v>119.9</v>
      </c>
      <c r="V924" s="48">
        <v>2278.66</v>
      </c>
      <c r="W924" s="48">
        <v>6336.53</v>
      </c>
      <c r="X924">
        <v>0</v>
      </c>
      <c r="Y924" t="s">
        <v>45</v>
      </c>
      <c r="Z924">
        <v>27.52</v>
      </c>
      <c r="AA924" t="s">
        <v>46</v>
      </c>
      <c r="AB924" t="s">
        <v>47</v>
      </c>
      <c r="AC924" t="s">
        <v>48</v>
      </c>
      <c r="AD924" t="s">
        <v>93</v>
      </c>
      <c r="AE924" t="s">
        <v>50</v>
      </c>
      <c r="AF924" s="5">
        <f>DATE(YEAR(C924),MONTH(C924),1)</f>
        <v>45778</v>
      </c>
      <c r="AG924">
        <f>E924-D924</f>
        <v>19</v>
      </c>
      <c r="AH924" s="6">
        <f t="shared" si="14"/>
        <v>47.852265467237984</v>
      </c>
    </row>
    <row r="925" spans="1:34">
      <c r="A925" t="s">
        <v>1963</v>
      </c>
      <c r="B925" t="s">
        <v>1964</v>
      </c>
      <c r="C925" s="1">
        <v>45937</v>
      </c>
      <c r="D925" s="1">
        <v>45938</v>
      </c>
      <c r="E925" s="1">
        <v>45964</v>
      </c>
      <c r="F925" t="s">
        <v>96</v>
      </c>
      <c r="G925" t="s">
        <v>97</v>
      </c>
      <c r="H925" t="s">
        <v>76</v>
      </c>
      <c r="I925" t="s">
        <v>86</v>
      </c>
      <c r="J925" t="s">
        <v>87</v>
      </c>
      <c r="K925" t="s">
        <v>88</v>
      </c>
      <c r="L925" t="s">
        <v>100</v>
      </c>
      <c r="M925" t="s">
        <v>79</v>
      </c>
      <c r="N925">
        <v>2</v>
      </c>
      <c r="O925" t="s">
        <v>80</v>
      </c>
      <c r="P925" s="48">
        <v>12720.49</v>
      </c>
      <c r="Q925" s="48">
        <v>3288.82</v>
      </c>
      <c r="R925" s="48">
        <v>974.77</v>
      </c>
      <c r="S925" s="48">
        <v>334.21</v>
      </c>
      <c r="T925" s="48">
        <v>127.2</v>
      </c>
      <c r="U925" s="48">
        <v>650.73</v>
      </c>
      <c r="V925" s="48">
        <v>2119.06</v>
      </c>
      <c r="W925" s="48">
        <v>5225.7</v>
      </c>
      <c r="X925">
        <v>12</v>
      </c>
      <c r="Y925" t="s">
        <v>117</v>
      </c>
      <c r="Z925">
        <v>27.41</v>
      </c>
      <c r="AA925" t="s">
        <v>91</v>
      </c>
      <c r="AB925" t="s">
        <v>92</v>
      </c>
      <c r="AC925" t="s">
        <v>70</v>
      </c>
      <c r="AD925" t="s">
        <v>61</v>
      </c>
      <c r="AE925" t="s">
        <v>62</v>
      </c>
      <c r="AF925" s="5">
        <f>DATE(YEAR(C925),MONTH(C925),1)</f>
        <v>45931</v>
      </c>
      <c r="AG925">
        <f>E925-D925</f>
        <v>26</v>
      </c>
      <c r="AH925" s="6">
        <f t="shared" si="14"/>
        <v>41.080964648374398</v>
      </c>
    </row>
    <row r="926" spans="1:34">
      <c r="A926" t="s">
        <v>1965</v>
      </c>
      <c r="B926" t="s">
        <v>1966</v>
      </c>
      <c r="C926" s="1">
        <v>45757</v>
      </c>
      <c r="D926" s="1">
        <v>45758</v>
      </c>
      <c r="E926" s="1">
        <v>45775</v>
      </c>
      <c r="F926" t="s">
        <v>36</v>
      </c>
      <c r="G926" t="s">
        <v>37</v>
      </c>
      <c r="H926" t="s">
        <v>38</v>
      </c>
      <c r="I926" t="s">
        <v>40</v>
      </c>
      <c r="J926" t="s">
        <v>122</v>
      </c>
      <c r="K926" t="s">
        <v>123</v>
      </c>
      <c r="L926" t="s">
        <v>100</v>
      </c>
      <c r="M926" t="s">
        <v>108</v>
      </c>
      <c r="N926">
        <v>1</v>
      </c>
      <c r="O926" t="s">
        <v>105</v>
      </c>
      <c r="P926" s="48">
        <v>16090.92</v>
      </c>
      <c r="Q926" s="48">
        <v>3265.24</v>
      </c>
      <c r="R926" s="48">
        <v>876.81</v>
      </c>
      <c r="S926" s="48">
        <v>257.29000000000002</v>
      </c>
      <c r="T926" s="48">
        <v>160.91</v>
      </c>
      <c r="U926" s="48">
        <v>603.52</v>
      </c>
      <c r="V926" s="48">
        <v>2327.16</v>
      </c>
      <c r="W926" s="48">
        <v>8599.99</v>
      </c>
      <c r="X926">
        <v>8</v>
      </c>
      <c r="Y926" t="s">
        <v>117</v>
      </c>
      <c r="Z926">
        <v>27.21</v>
      </c>
      <c r="AA926" t="s">
        <v>91</v>
      </c>
      <c r="AB926" t="s">
        <v>92</v>
      </c>
      <c r="AC926" t="s">
        <v>70</v>
      </c>
      <c r="AD926" t="s">
        <v>144</v>
      </c>
      <c r="AE926" t="s">
        <v>71</v>
      </c>
      <c r="AF926" s="5">
        <f>DATE(YEAR(C926),MONTH(C926),1)</f>
        <v>45748</v>
      </c>
      <c r="AG926">
        <f>E926-D926</f>
        <v>17</v>
      </c>
      <c r="AH926" s="6">
        <f t="shared" si="14"/>
        <v>53.44622930199143</v>
      </c>
    </row>
    <row r="927" spans="1:34">
      <c r="A927" t="s">
        <v>1967</v>
      </c>
      <c r="B927" t="s">
        <v>1968</v>
      </c>
      <c r="C927" s="1">
        <v>45983</v>
      </c>
      <c r="D927" s="1">
        <v>45986</v>
      </c>
      <c r="E927" s="1">
        <v>45997</v>
      </c>
      <c r="F927" t="s">
        <v>180</v>
      </c>
      <c r="G927" t="s">
        <v>181</v>
      </c>
      <c r="H927" t="s">
        <v>38</v>
      </c>
      <c r="I927" t="s">
        <v>86</v>
      </c>
      <c r="J927" t="s">
        <v>87</v>
      </c>
      <c r="K927" t="s">
        <v>88</v>
      </c>
      <c r="L927" t="s">
        <v>78</v>
      </c>
      <c r="M927" t="s">
        <v>68</v>
      </c>
      <c r="N927">
        <v>2</v>
      </c>
      <c r="O927" t="s">
        <v>44</v>
      </c>
      <c r="P927" s="48">
        <v>16445.43</v>
      </c>
      <c r="Q927" s="48">
        <v>3229.56</v>
      </c>
      <c r="R927" s="48">
        <v>976.03</v>
      </c>
      <c r="S927" s="48">
        <v>383.12</v>
      </c>
      <c r="T927" s="48">
        <v>164.45</v>
      </c>
      <c r="U927" s="48">
        <v>140.19999999999999</v>
      </c>
      <c r="V927" s="48">
        <v>1714.77</v>
      </c>
      <c r="W927" s="48">
        <v>9837.2999999999993</v>
      </c>
      <c r="X927">
        <v>0</v>
      </c>
      <c r="Y927" t="s">
        <v>45</v>
      </c>
      <c r="Z927">
        <v>26.91</v>
      </c>
      <c r="AA927" t="s">
        <v>46</v>
      </c>
      <c r="AB927" t="s">
        <v>92</v>
      </c>
      <c r="AC927" t="s">
        <v>60</v>
      </c>
      <c r="AD927" t="s">
        <v>144</v>
      </c>
      <c r="AE927" t="s">
        <v>62</v>
      </c>
      <c r="AF927" s="5">
        <f>DATE(YEAR(C927),MONTH(C927),1)</f>
        <v>45962</v>
      </c>
      <c r="AG927">
        <f>E927-D927</f>
        <v>11</v>
      </c>
      <c r="AH927" s="6">
        <f t="shared" si="14"/>
        <v>59.817833890631015</v>
      </c>
    </row>
    <row r="928" spans="1:34">
      <c r="A928" t="s">
        <v>1969</v>
      </c>
      <c r="B928" t="s">
        <v>1970</v>
      </c>
      <c r="C928" s="1">
        <v>46022</v>
      </c>
      <c r="D928" s="1">
        <v>46025</v>
      </c>
      <c r="E928" s="1">
        <v>46048</v>
      </c>
      <c r="F928" t="s">
        <v>153</v>
      </c>
      <c r="G928" t="s">
        <v>75</v>
      </c>
      <c r="H928" t="s">
        <v>154</v>
      </c>
      <c r="I928" t="s">
        <v>86</v>
      </c>
      <c r="J928" t="s">
        <v>87</v>
      </c>
      <c r="K928" t="s">
        <v>88</v>
      </c>
      <c r="L928" t="s">
        <v>100</v>
      </c>
      <c r="M928" t="s">
        <v>43</v>
      </c>
      <c r="N928">
        <v>1</v>
      </c>
      <c r="O928" t="s">
        <v>54</v>
      </c>
      <c r="P928" s="48">
        <v>15885.06</v>
      </c>
      <c r="Q928" s="48">
        <v>3212.85</v>
      </c>
      <c r="R928" s="48">
        <v>1219.92</v>
      </c>
      <c r="S928" s="48">
        <v>199.18</v>
      </c>
      <c r="T928" s="48">
        <v>158.85</v>
      </c>
      <c r="U928" s="48">
        <v>795.02</v>
      </c>
      <c r="V928" s="48">
        <v>1998.32</v>
      </c>
      <c r="W928" s="48">
        <v>8300.92</v>
      </c>
      <c r="X928">
        <v>0</v>
      </c>
      <c r="Y928" t="s">
        <v>45</v>
      </c>
      <c r="Z928">
        <v>26.77</v>
      </c>
      <c r="AA928" t="s">
        <v>46</v>
      </c>
      <c r="AB928" t="s">
        <v>92</v>
      </c>
      <c r="AC928" t="s">
        <v>48</v>
      </c>
      <c r="AD928" t="s">
        <v>49</v>
      </c>
      <c r="AE928" t="s">
        <v>50</v>
      </c>
      <c r="AF928" s="5">
        <f>DATE(YEAR(C928),MONTH(C928),1)</f>
        <v>45992</v>
      </c>
      <c r="AG928">
        <f>E928-D928</f>
        <v>23</v>
      </c>
      <c r="AH928" s="6">
        <f t="shared" si="14"/>
        <v>52.256145082234504</v>
      </c>
    </row>
    <row r="929" spans="1:34">
      <c r="A929" t="s">
        <v>1971</v>
      </c>
      <c r="B929" t="s">
        <v>1972</v>
      </c>
      <c r="C929" s="1">
        <v>45766</v>
      </c>
      <c r="D929" s="1">
        <v>45770</v>
      </c>
      <c r="E929" s="1">
        <v>45786</v>
      </c>
      <c r="F929" t="s">
        <v>149</v>
      </c>
      <c r="G929" t="s">
        <v>111</v>
      </c>
      <c r="H929" t="s">
        <v>150</v>
      </c>
      <c r="I929" t="s">
        <v>77</v>
      </c>
      <c r="J929" t="s">
        <v>115</v>
      </c>
      <c r="K929" t="s">
        <v>41</v>
      </c>
      <c r="L929" t="s">
        <v>127</v>
      </c>
      <c r="M929" t="s">
        <v>43</v>
      </c>
      <c r="N929">
        <v>1</v>
      </c>
      <c r="O929" t="s">
        <v>69</v>
      </c>
      <c r="P929" s="48">
        <v>11286.29</v>
      </c>
      <c r="Q929" s="48">
        <v>3211.9</v>
      </c>
      <c r="R929" s="48">
        <v>613.66</v>
      </c>
      <c r="S929" s="48">
        <v>181.64</v>
      </c>
      <c r="T929" s="48">
        <v>112.86</v>
      </c>
      <c r="U929" s="48">
        <v>573.32000000000005</v>
      </c>
      <c r="V929" s="48">
        <v>1702.93</v>
      </c>
      <c r="W929" s="48">
        <v>4889.9799999999996</v>
      </c>
      <c r="X929">
        <v>0</v>
      </c>
      <c r="Y929" t="s">
        <v>45</v>
      </c>
      <c r="Z929">
        <v>26.77</v>
      </c>
      <c r="AA929" t="s">
        <v>46</v>
      </c>
      <c r="AB929" t="s">
        <v>47</v>
      </c>
      <c r="AC929" t="s">
        <v>60</v>
      </c>
      <c r="AD929" t="s">
        <v>49</v>
      </c>
      <c r="AE929" t="s">
        <v>71</v>
      </c>
      <c r="AF929" s="5">
        <f>DATE(YEAR(C929),MONTH(C929),1)</f>
        <v>45748</v>
      </c>
      <c r="AG929">
        <f>E929-D929</f>
        <v>16</v>
      </c>
      <c r="AH929" s="6">
        <f t="shared" si="14"/>
        <v>43.326726497369812</v>
      </c>
    </row>
    <row r="930" spans="1:34">
      <c r="A930" t="s">
        <v>1973</v>
      </c>
      <c r="B930" t="s">
        <v>1974</v>
      </c>
      <c r="C930" s="1">
        <v>45837</v>
      </c>
      <c r="D930" s="1">
        <v>45838</v>
      </c>
      <c r="E930" s="1">
        <v>45850</v>
      </c>
      <c r="F930" t="s">
        <v>234</v>
      </c>
      <c r="G930" t="s">
        <v>111</v>
      </c>
      <c r="H930" t="s">
        <v>150</v>
      </c>
      <c r="I930" t="s">
        <v>57</v>
      </c>
      <c r="J930" t="s">
        <v>98</v>
      </c>
      <c r="K930" t="s">
        <v>99</v>
      </c>
      <c r="L930" t="s">
        <v>116</v>
      </c>
      <c r="M930" t="s">
        <v>79</v>
      </c>
      <c r="N930">
        <v>2</v>
      </c>
      <c r="O930" t="s">
        <v>105</v>
      </c>
      <c r="P930" s="48">
        <v>16980.48</v>
      </c>
      <c r="Q930" s="48">
        <v>3208.73</v>
      </c>
      <c r="R930" s="48">
        <v>884.19</v>
      </c>
      <c r="S930" s="48">
        <v>241.45</v>
      </c>
      <c r="T930" s="48">
        <v>169.8</v>
      </c>
      <c r="U930" s="48">
        <v>395.54</v>
      </c>
      <c r="V930" s="48">
        <v>1157.96</v>
      </c>
      <c r="W930" s="48">
        <v>10922.81</v>
      </c>
      <c r="X930">
        <v>0</v>
      </c>
      <c r="Y930" t="s">
        <v>45</v>
      </c>
      <c r="Z930">
        <v>26.74</v>
      </c>
      <c r="AA930" t="s">
        <v>46</v>
      </c>
      <c r="AB930" t="s">
        <v>47</v>
      </c>
      <c r="AC930" t="s">
        <v>48</v>
      </c>
      <c r="AD930" t="s">
        <v>49</v>
      </c>
      <c r="AE930" t="s">
        <v>71</v>
      </c>
      <c r="AF930" s="5">
        <f>DATE(YEAR(C930),MONTH(C930),1)</f>
        <v>45809</v>
      </c>
      <c r="AG930">
        <f>E930-D930</f>
        <v>12</v>
      </c>
      <c r="AH930" s="6">
        <f t="shared" si="14"/>
        <v>64.325684550731182</v>
      </c>
    </row>
    <row r="931" spans="1:34">
      <c r="A931" t="s">
        <v>1975</v>
      </c>
      <c r="B931" t="s">
        <v>1976</v>
      </c>
      <c r="C931" s="1">
        <v>45701</v>
      </c>
      <c r="D931" s="1">
        <v>45704</v>
      </c>
      <c r="E931" s="1">
        <v>45717</v>
      </c>
      <c r="F931" t="s">
        <v>180</v>
      </c>
      <c r="G931" t="s">
        <v>181</v>
      </c>
      <c r="H931" t="s">
        <v>38</v>
      </c>
      <c r="I931" t="s">
        <v>40</v>
      </c>
      <c r="J931" t="s">
        <v>122</v>
      </c>
      <c r="K931" t="s">
        <v>123</v>
      </c>
      <c r="L931" t="s">
        <v>78</v>
      </c>
      <c r="M931" t="s">
        <v>79</v>
      </c>
      <c r="N931">
        <v>1</v>
      </c>
      <c r="O931" t="s">
        <v>111</v>
      </c>
      <c r="P931" s="48">
        <v>17940.36</v>
      </c>
      <c r="Q931" s="48">
        <v>3185.61</v>
      </c>
      <c r="R931" s="48">
        <v>1223.19</v>
      </c>
      <c r="S931" s="48">
        <v>509.31</v>
      </c>
      <c r="T931" s="48">
        <v>179.4</v>
      </c>
      <c r="U931" s="48">
        <v>456.44</v>
      </c>
      <c r="V931" s="48">
        <v>1945.35</v>
      </c>
      <c r="W931" s="48">
        <v>10441.06</v>
      </c>
      <c r="X931">
        <v>0</v>
      </c>
      <c r="Y931" t="s">
        <v>45</v>
      </c>
      <c r="Z931">
        <v>26.55</v>
      </c>
      <c r="AA931" t="s">
        <v>46</v>
      </c>
      <c r="AB931" t="s">
        <v>47</v>
      </c>
      <c r="AC931" t="s">
        <v>60</v>
      </c>
      <c r="AD931" t="s">
        <v>49</v>
      </c>
      <c r="AE931" t="s">
        <v>71</v>
      </c>
      <c r="AF931" s="5">
        <f>DATE(YEAR(C931),MONTH(C931),1)</f>
        <v>45689</v>
      </c>
      <c r="AG931">
        <f>E931-D931</f>
        <v>13</v>
      </c>
      <c r="AH931" s="6">
        <f t="shared" si="14"/>
        <v>58.198720649975797</v>
      </c>
    </row>
    <row r="932" spans="1:34">
      <c r="A932" t="s">
        <v>1977</v>
      </c>
      <c r="B932" t="s">
        <v>1978</v>
      </c>
      <c r="C932" s="1">
        <v>45705</v>
      </c>
      <c r="D932" s="1">
        <v>45709</v>
      </c>
      <c r="E932" s="1">
        <v>45735</v>
      </c>
      <c r="F932" t="s">
        <v>74</v>
      </c>
      <c r="G932" t="s">
        <v>75</v>
      </c>
      <c r="H932" t="s">
        <v>76</v>
      </c>
      <c r="I932" t="s">
        <v>87</v>
      </c>
      <c r="J932" t="s">
        <v>39</v>
      </c>
      <c r="K932" t="s">
        <v>41</v>
      </c>
      <c r="L932" t="s">
        <v>116</v>
      </c>
      <c r="M932" t="s">
        <v>79</v>
      </c>
      <c r="N932">
        <v>2</v>
      </c>
      <c r="O932" t="s">
        <v>69</v>
      </c>
      <c r="P932" s="48">
        <v>15735.15</v>
      </c>
      <c r="Q932" s="48">
        <v>3106.13</v>
      </c>
      <c r="R932" s="48">
        <v>1157.24</v>
      </c>
      <c r="S932" s="48">
        <v>214.34</v>
      </c>
      <c r="T932" s="48">
        <v>157.35</v>
      </c>
      <c r="U932" s="48">
        <v>613.65</v>
      </c>
      <c r="V932" s="48">
        <v>1669.47</v>
      </c>
      <c r="W932" s="48">
        <v>8816.9699999999993</v>
      </c>
      <c r="X932">
        <v>0</v>
      </c>
      <c r="Y932" t="s">
        <v>45</v>
      </c>
      <c r="Z932">
        <v>25.88</v>
      </c>
      <c r="AA932" t="s">
        <v>46</v>
      </c>
      <c r="AB932" t="s">
        <v>92</v>
      </c>
      <c r="AC932" t="s">
        <v>60</v>
      </c>
      <c r="AD932" t="s">
        <v>144</v>
      </c>
      <c r="AE932" t="s">
        <v>50</v>
      </c>
      <c r="AF932" s="5">
        <f>DATE(YEAR(C932),MONTH(C932),1)</f>
        <v>45689</v>
      </c>
      <c r="AG932">
        <f>E932-D932</f>
        <v>26</v>
      </c>
      <c r="AH932" s="6">
        <f t="shared" si="14"/>
        <v>56.033593578707539</v>
      </c>
    </row>
    <row r="933" spans="1:34">
      <c r="A933" t="s">
        <v>1979</v>
      </c>
      <c r="B933" t="s">
        <v>1980</v>
      </c>
      <c r="C933" s="1">
        <v>45745</v>
      </c>
      <c r="D933" s="1">
        <v>45747</v>
      </c>
      <c r="E933" s="1">
        <v>45771</v>
      </c>
      <c r="F933" t="s">
        <v>36</v>
      </c>
      <c r="G933" t="s">
        <v>37</v>
      </c>
      <c r="H933" t="s">
        <v>38</v>
      </c>
      <c r="I933" t="s">
        <v>57</v>
      </c>
      <c r="J933" t="s">
        <v>98</v>
      </c>
      <c r="K933" t="s">
        <v>99</v>
      </c>
      <c r="L933" t="s">
        <v>100</v>
      </c>
      <c r="M933" t="s">
        <v>68</v>
      </c>
      <c r="N933">
        <v>2</v>
      </c>
      <c r="O933" t="s">
        <v>111</v>
      </c>
      <c r="P933" s="48">
        <v>13532.37</v>
      </c>
      <c r="Q933" s="48">
        <v>3052.81</v>
      </c>
      <c r="R933" s="48">
        <v>823.01</v>
      </c>
      <c r="S933" s="48">
        <v>195.34</v>
      </c>
      <c r="T933" s="48">
        <v>135.32</v>
      </c>
      <c r="U933" s="48">
        <v>481.2</v>
      </c>
      <c r="V933" s="48">
        <v>2010.86</v>
      </c>
      <c r="W933" s="48">
        <v>6833.83</v>
      </c>
      <c r="X933">
        <v>0</v>
      </c>
      <c r="Y933" t="s">
        <v>45</v>
      </c>
      <c r="Z933">
        <v>25.44</v>
      </c>
      <c r="AA933" t="s">
        <v>46</v>
      </c>
      <c r="AB933" t="s">
        <v>47</v>
      </c>
      <c r="AC933" t="s">
        <v>60</v>
      </c>
      <c r="AD933" t="s">
        <v>144</v>
      </c>
      <c r="AE933" t="s">
        <v>50</v>
      </c>
      <c r="AF933" s="5">
        <f>DATE(YEAR(C933),MONTH(C933),1)</f>
        <v>45717</v>
      </c>
      <c r="AG933">
        <f>E933-D933</f>
        <v>24</v>
      </c>
      <c r="AH933" s="6">
        <f t="shared" si="14"/>
        <v>50.499875483747481</v>
      </c>
    </row>
    <row r="934" spans="1:34">
      <c r="A934" t="s">
        <v>1981</v>
      </c>
      <c r="B934" t="s">
        <v>1982</v>
      </c>
      <c r="C934" s="1">
        <v>45850</v>
      </c>
      <c r="D934" s="1">
        <v>45854</v>
      </c>
      <c r="E934" s="1">
        <v>45873</v>
      </c>
      <c r="F934" t="s">
        <v>153</v>
      </c>
      <c r="G934" t="s">
        <v>75</v>
      </c>
      <c r="H934" t="s">
        <v>154</v>
      </c>
      <c r="I934" t="s">
        <v>57</v>
      </c>
      <c r="J934" t="s">
        <v>98</v>
      </c>
      <c r="K934" t="s">
        <v>99</v>
      </c>
      <c r="L934" t="s">
        <v>127</v>
      </c>
      <c r="M934" t="s">
        <v>68</v>
      </c>
      <c r="N934">
        <v>1</v>
      </c>
      <c r="O934" t="s">
        <v>44</v>
      </c>
      <c r="P934" s="48">
        <v>11651.36</v>
      </c>
      <c r="Q934" s="48">
        <v>3039.06</v>
      </c>
      <c r="R934" s="48">
        <v>882.27</v>
      </c>
      <c r="S934" s="48">
        <v>195.93</v>
      </c>
      <c r="T934" s="48">
        <v>116.51</v>
      </c>
      <c r="U934" s="48">
        <v>712.61</v>
      </c>
      <c r="V934" s="48">
        <v>989.36</v>
      </c>
      <c r="W934" s="48">
        <v>5715.62</v>
      </c>
      <c r="X934">
        <v>12</v>
      </c>
      <c r="Y934" t="s">
        <v>135</v>
      </c>
      <c r="Z934">
        <v>25.33</v>
      </c>
      <c r="AA934" t="s">
        <v>91</v>
      </c>
      <c r="AB934" t="s">
        <v>92</v>
      </c>
      <c r="AC934" t="s">
        <v>60</v>
      </c>
      <c r="AD934" t="s">
        <v>49</v>
      </c>
      <c r="AE934" t="s">
        <v>71</v>
      </c>
      <c r="AF934" s="5">
        <f>DATE(YEAR(C934),MONTH(C934),1)</f>
        <v>45839</v>
      </c>
      <c r="AG934">
        <f>E934-D934</f>
        <v>19</v>
      </c>
      <c r="AH934" s="6">
        <f t="shared" si="14"/>
        <v>49.055389242114224</v>
      </c>
    </row>
    <row r="935" spans="1:34">
      <c r="A935" t="s">
        <v>1983</v>
      </c>
      <c r="B935" t="s">
        <v>1984</v>
      </c>
      <c r="C935" s="1">
        <v>45778</v>
      </c>
      <c r="D935" s="1">
        <v>45780</v>
      </c>
      <c r="E935" s="1">
        <v>45798</v>
      </c>
      <c r="F935" t="s">
        <v>83</v>
      </c>
      <c r="G935" t="s">
        <v>84</v>
      </c>
      <c r="H935" t="s">
        <v>85</v>
      </c>
      <c r="I935" t="s">
        <v>56</v>
      </c>
      <c r="J935" t="s">
        <v>98</v>
      </c>
      <c r="K935" t="s">
        <v>41</v>
      </c>
      <c r="L935" t="s">
        <v>78</v>
      </c>
      <c r="M935" t="s">
        <v>68</v>
      </c>
      <c r="N935">
        <v>1</v>
      </c>
      <c r="O935" t="s">
        <v>105</v>
      </c>
      <c r="P935" s="48">
        <v>10802.64</v>
      </c>
      <c r="Q935" s="48">
        <v>3001.34</v>
      </c>
      <c r="R935" s="48">
        <v>639.23</v>
      </c>
      <c r="S935" s="48">
        <v>242.73</v>
      </c>
      <c r="T935" s="48">
        <v>108.03</v>
      </c>
      <c r="U935" s="48">
        <v>160.72</v>
      </c>
      <c r="V935" s="48">
        <v>718.01</v>
      </c>
      <c r="W935" s="48">
        <v>5932.58</v>
      </c>
      <c r="X935">
        <v>0</v>
      </c>
      <c r="Y935" t="s">
        <v>45</v>
      </c>
      <c r="Z935">
        <v>25.01</v>
      </c>
      <c r="AA935" t="s">
        <v>46</v>
      </c>
      <c r="AB935" t="s">
        <v>92</v>
      </c>
      <c r="AC935" t="s">
        <v>48</v>
      </c>
      <c r="AD935" t="s">
        <v>49</v>
      </c>
      <c r="AE935" t="s">
        <v>62</v>
      </c>
      <c r="AF935" s="5">
        <f>DATE(YEAR(C935),MONTH(C935),1)</f>
        <v>45778</v>
      </c>
      <c r="AG935">
        <f>E935-D935</f>
        <v>18</v>
      </c>
      <c r="AH935" s="6">
        <f t="shared" si="14"/>
        <v>54.917871927602881</v>
      </c>
    </row>
    <row r="936" spans="1:34">
      <c r="A936" t="s">
        <v>1985</v>
      </c>
      <c r="B936" t="s">
        <v>1986</v>
      </c>
      <c r="C936" s="1">
        <v>45959</v>
      </c>
      <c r="D936" s="1">
        <v>45961</v>
      </c>
      <c r="E936" s="1">
        <v>45974</v>
      </c>
      <c r="F936" t="s">
        <v>153</v>
      </c>
      <c r="G936" t="s">
        <v>75</v>
      </c>
      <c r="H936" t="s">
        <v>154</v>
      </c>
      <c r="I936" t="s">
        <v>115</v>
      </c>
      <c r="J936" t="s">
        <v>98</v>
      </c>
      <c r="K936" t="s">
        <v>99</v>
      </c>
      <c r="L936" t="s">
        <v>59</v>
      </c>
      <c r="M936" t="s">
        <v>79</v>
      </c>
      <c r="N936">
        <v>1</v>
      </c>
      <c r="O936" t="s">
        <v>105</v>
      </c>
      <c r="P936" s="48">
        <v>10765.16</v>
      </c>
      <c r="Q936" s="48">
        <v>2999.34</v>
      </c>
      <c r="R936" s="48">
        <v>847.15</v>
      </c>
      <c r="S936" s="48">
        <v>169.62</v>
      </c>
      <c r="T936" s="48">
        <v>107.65</v>
      </c>
      <c r="U936" s="48">
        <v>725.39</v>
      </c>
      <c r="V936" s="48">
        <v>2046.55</v>
      </c>
      <c r="W936" s="48">
        <v>3869.46</v>
      </c>
      <c r="X936">
        <v>0</v>
      </c>
      <c r="Y936" t="s">
        <v>45</v>
      </c>
      <c r="Z936">
        <v>24.99</v>
      </c>
      <c r="AA936" t="s">
        <v>46</v>
      </c>
      <c r="AB936" t="s">
        <v>92</v>
      </c>
      <c r="AC936" t="s">
        <v>60</v>
      </c>
      <c r="AD936" t="s">
        <v>61</v>
      </c>
      <c r="AE936" t="s">
        <v>62</v>
      </c>
      <c r="AF936" s="5">
        <f>DATE(YEAR(C936),MONTH(C936),1)</f>
        <v>45931</v>
      </c>
      <c r="AG936">
        <f>E936-D936</f>
        <v>13</v>
      </c>
      <c r="AH936" s="6">
        <f t="shared" si="14"/>
        <v>35.944286940463492</v>
      </c>
    </row>
    <row r="937" spans="1:34">
      <c r="A937" t="s">
        <v>1987</v>
      </c>
      <c r="B937" t="s">
        <v>1988</v>
      </c>
      <c r="C937" s="1">
        <v>45988</v>
      </c>
      <c r="D937" s="1">
        <v>45990</v>
      </c>
      <c r="E937" s="1">
        <v>46009</v>
      </c>
      <c r="F937" t="s">
        <v>120</v>
      </c>
      <c r="G937" t="s">
        <v>75</v>
      </c>
      <c r="H937" t="s">
        <v>121</v>
      </c>
      <c r="I937" t="s">
        <v>40</v>
      </c>
      <c r="J937" t="s">
        <v>122</v>
      </c>
      <c r="K937" t="s">
        <v>123</v>
      </c>
      <c r="L937" t="s">
        <v>116</v>
      </c>
      <c r="M937" t="s">
        <v>79</v>
      </c>
      <c r="N937">
        <v>2</v>
      </c>
      <c r="O937" t="s">
        <v>69</v>
      </c>
      <c r="P937" s="48">
        <v>15370.16</v>
      </c>
      <c r="Q937" s="48">
        <v>2936.67</v>
      </c>
      <c r="R937" s="48">
        <v>706.17</v>
      </c>
      <c r="S937" s="48">
        <v>222.69</v>
      </c>
      <c r="T937" s="48">
        <v>153.69999999999999</v>
      </c>
      <c r="U937" s="48">
        <v>739.29</v>
      </c>
      <c r="V937" s="48">
        <v>1098.77</v>
      </c>
      <c r="W937" s="48">
        <v>9512.8700000000008</v>
      </c>
      <c r="X937">
        <v>48</v>
      </c>
      <c r="Y937" t="s">
        <v>90</v>
      </c>
      <c r="Z937">
        <v>24.47</v>
      </c>
      <c r="AA937" t="s">
        <v>91</v>
      </c>
      <c r="AB937" t="s">
        <v>47</v>
      </c>
      <c r="AC937" t="s">
        <v>60</v>
      </c>
      <c r="AD937" t="s">
        <v>93</v>
      </c>
      <c r="AE937" t="s">
        <v>62</v>
      </c>
      <c r="AF937" s="5">
        <f>DATE(YEAR(C937),MONTH(C937),1)</f>
        <v>45962</v>
      </c>
      <c r="AG937">
        <f>E937-D937</f>
        <v>19</v>
      </c>
      <c r="AH937" s="6">
        <f t="shared" si="14"/>
        <v>61.891808543307306</v>
      </c>
    </row>
    <row r="938" spans="1:34">
      <c r="A938" t="s">
        <v>1989</v>
      </c>
      <c r="B938" t="s">
        <v>1990</v>
      </c>
      <c r="C938" s="1">
        <v>45990</v>
      </c>
      <c r="D938" s="1">
        <v>45993</v>
      </c>
      <c r="E938" s="1">
        <v>46013</v>
      </c>
      <c r="F938" t="s">
        <v>65</v>
      </c>
      <c r="G938" t="s">
        <v>66</v>
      </c>
      <c r="H938" t="s">
        <v>67</v>
      </c>
      <c r="I938" t="s">
        <v>40</v>
      </c>
      <c r="J938" t="s">
        <v>122</v>
      </c>
      <c r="K938" t="s">
        <v>123</v>
      </c>
      <c r="L938" t="s">
        <v>100</v>
      </c>
      <c r="M938" t="s">
        <v>108</v>
      </c>
      <c r="N938">
        <v>1</v>
      </c>
      <c r="O938" t="s">
        <v>54</v>
      </c>
      <c r="P938" s="48">
        <v>17193.88</v>
      </c>
      <c r="Q938" s="48">
        <v>2927.84</v>
      </c>
      <c r="R938" s="48">
        <v>1219.46</v>
      </c>
      <c r="S938" s="48">
        <v>329.05</v>
      </c>
      <c r="T938" s="48">
        <v>171.94</v>
      </c>
      <c r="U938" s="48">
        <v>596.20000000000005</v>
      </c>
      <c r="V938" s="48">
        <v>1481.98</v>
      </c>
      <c r="W938" s="48">
        <v>10467.41</v>
      </c>
      <c r="X938">
        <v>0</v>
      </c>
      <c r="Y938" t="s">
        <v>45</v>
      </c>
      <c r="Z938">
        <v>24.4</v>
      </c>
      <c r="AA938" t="s">
        <v>46</v>
      </c>
      <c r="AB938" t="s">
        <v>92</v>
      </c>
      <c r="AC938" t="s">
        <v>70</v>
      </c>
      <c r="AD938" t="s">
        <v>61</v>
      </c>
      <c r="AE938" t="s">
        <v>50</v>
      </c>
      <c r="AF938" s="5">
        <f>DATE(YEAR(C938),MONTH(C938),1)</f>
        <v>45962</v>
      </c>
      <c r="AG938">
        <f>E938-D938</f>
        <v>20</v>
      </c>
      <c r="AH938" s="6">
        <f t="shared" si="14"/>
        <v>60.878696373360754</v>
      </c>
    </row>
    <row r="939" spans="1:34">
      <c r="A939" t="s">
        <v>1991</v>
      </c>
      <c r="B939" t="s">
        <v>1992</v>
      </c>
      <c r="C939" s="1">
        <v>45673</v>
      </c>
      <c r="D939" s="1">
        <v>45677</v>
      </c>
      <c r="E939" s="1">
        <v>45687</v>
      </c>
      <c r="F939" t="s">
        <v>180</v>
      </c>
      <c r="G939" t="s">
        <v>181</v>
      </c>
      <c r="H939" t="s">
        <v>38</v>
      </c>
      <c r="I939" t="s">
        <v>40</v>
      </c>
      <c r="J939" t="s">
        <v>122</v>
      </c>
      <c r="K939" t="s">
        <v>41</v>
      </c>
      <c r="L939" t="s">
        <v>42</v>
      </c>
      <c r="M939" t="s">
        <v>108</v>
      </c>
      <c r="N939">
        <v>1</v>
      </c>
      <c r="O939" t="s">
        <v>69</v>
      </c>
      <c r="P939" s="48">
        <v>11296.83</v>
      </c>
      <c r="Q939" s="48">
        <v>2923.59</v>
      </c>
      <c r="R939" s="48">
        <v>616.30999999999995</v>
      </c>
      <c r="S939" s="48">
        <v>275.63</v>
      </c>
      <c r="T939" s="48">
        <v>112.97</v>
      </c>
      <c r="U939" s="48">
        <v>417.78</v>
      </c>
      <c r="V939" s="48">
        <v>797.95</v>
      </c>
      <c r="W939" s="48">
        <v>6152.6</v>
      </c>
      <c r="X939">
        <v>8</v>
      </c>
      <c r="Y939" t="s">
        <v>90</v>
      </c>
      <c r="Z939">
        <v>24.36</v>
      </c>
      <c r="AA939" t="s">
        <v>91</v>
      </c>
      <c r="AB939" t="s">
        <v>47</v>
      </c>
      <c r="AC939" t="s">
        <v>70</v>
      </c>
      <c r="AD939" t="s">
        <v>130</v>
      </c>
      <c r="AE939" t="s">
        <v>102</v>
      </c>
      <c r="AF939" s="5">
        <f>DATE(YEAR(C939),MONTH(C939),1)</f>
        <v>45658</v>
      </c>
      <c r="AG939">
        <f>E939-D939</f>
        <v>10</v>
      </c>
      <c r="AH939" s="6">
        <f t="shared" si="14"/>
        <v>54.463066187594222</v>
      </c>
    </row>
    <row r="940" spans="1:34">
      <c r="A940" t="s">
        <v>1993</v>
      </c>
      <c r="B940" t="s">
        <v>1994</v>
      </c>
      <c r="C940" s="1">
        <v>45719</v>
      </c>
      <c r="D940" s="1">
        <v>45722</v>
      </c>
      <c r="E940" s="1">
        <v>45738</v>
      </c>
      <c r="F940" t="s">
        <v>83</v>
      </c>
      <c r="G940" t="s">
        <v>84</v>
      </c>
      <c r="H940" t="s">
        <v>85</v>
      </c>
      <c r="I940" t="s">
        <v>57</v>
      </c>
      <c r="J940" t="s">
        <v>98</v>
      </c>
      <c r="K940" t="s">
        <v>99</v>
      </c>
      <c r="L940" t="s">
        <v>59</v>
      </c>
      <c r="M940" t="s">
        <v>79</v>
      </c>
      <c r="N940">
        <v>1</v>
      </c>
      <c r="O940" t="s">
        <v>89</v>
      </c>
      <c r="P940" s="48">
        <v>10768.39</v>
      </c>
      <c r="Q940" s="48">
        <v>2881.45</v>
      </c>
      <c r="R940" s="48">
        <v>824.5</v>
      </c>
      <c r="S940" s="48">
        <v>238.92</v>
      </c>
      <c r="T940" s="48">
        <v>107.68</v>
      </c>
      <c r="U940" s="48">
        <v>240.92</v>
      </c>
      <c r="V940" s="48">
        <v>1273.03</v>
      </c>
      <c r="W940" s="48">
        <v>5201.8900000000003</v>
      </c>
      <c r="X940">
        <v>0</v>
      </c>
      <c r="Y940" t="s">
        <v>45</v>
      </c>
      <c r="Z940">
        <v>24.01</v>
      </c>
      <c r="AA940" t="s">
        <v>46</v>
      </c>
      <c r="AB940" t="s">
        <v>92</v>
      </c>
      <c r="AC940" t="s">
        <v>48</v>
      </c>
      <c r="AD940" t="s">
        <v>130</v>
      </c>
      <c r="AE940" t="s">
        <v>102</v>
      </c>
      <c r="AF940" s="5">
        <f>DATE(YEAR(C940),MONTH(C940),1)</f>
        <v>45717</v>
      </c>
      <c r="AG940">
        <f>E940-D940</f>
        <v>16</v>
      </c>
      <c r="AH940" s="6">
        <f t="shared" si="14"/>
        <v>48.307035685000272</v>
      </c>
    </row>
    <row r="941" spans="1:34">
      <c r="A941" t="s">
        <v>1995</v>
      </c>
      <c r="B941" t="s">
        <v>1996</v>
      </c>
      <c r="C941" s="1">
        <v>45904</v>
      </c>
      <c r="D941" s="1">
        <v>45908</v>
      </c>
      <c r="E941" s="1">
        <v>45936</v>
      </c>
      <c r="F941" t="s">
        <v>36</v>
      </c>
      <c r="G941" t="s">
        <v>37</v>
      </c>
      <c r="H941" t="s">
        <v>38</v>
      </c>
      <c r="I941" t="s">
        <v>86</v>
      </c>
      <c r="J941" t="s">
        <v>87</v>
      </c>
      <c r="K941" t="s">
        <v>88</v>
      </c>
      <c r="L941" t="s">
        <v>59</v>
      </c>
      <c r="M941" t="s">
        <v>43</v>
      </c>
      <c r="N941">
        <v>2</v>
      </c>
      <c r="O941" t="s">
        <v>80</v>
      </c>
      <c r="P941" s="48">
        <v>15594.43</v>
      </c>
      <c r="Q941" s="48">
        <v>2858.69</v>
      </c>
      <c r="R941" s="48">
        <v>1163.52</v>
      </c>
      <c r="S941" s="48">
        <v>440.33</v>
      </c>
      <c r="T941" s="48">
        <v>155.94</v>
      </c>
      <c r="U941" s="48">
        <v>217.44</v>
      </c>
      <c r="V941" s="48">
        <v>1673.21</v>
      </c>
      <c r="W941" s="48">
        <v>9085.2999999999993</v>
      </c>
      <c r="X941">
        <v>0</v>
      </c>
      <c r="Y941" t="s">
        <v>45</v>
      </c>
      <c r="Z941">
        <v>23.82</v>
      </c>
      <c r="AA941" t="s">
        <v>46</v>
      </c>
      <c r="AB941" t="s">
        <v>47</v>
      </c>
      <c r="AC941" t="s">
        <v>60</v>
      </c>
      <c r="AD941" t="s">
        <v>144</v>
      </c>
      <c r="AE941" t="s">
        <v>102</v>
      </c>
      <c r="AF941" s="5">
        <f>DATE(YEAR(C941),MONTH(C941),1)</f>
        <v>45901</v>
      </c>
      <c r="AG941">
        <f>E941-D941</f>
        <v>28</v>
      </c>
      <c r="AH941" s="6">
        <f t="shared" si="14"/>
        <v>58.259904337638503</v>
      </c>
    </row>
    <row r="942" spans="1:34">
      <c r="A942" t="s">
        <v>1997</v>
      </c>
      <c r="B942" t="s">
        <v>1998</v>
      </c>
      <c r="C942" s="1">
        <v>45714</v>
      </c>
      <c r="D942" s="1">
        <v>45715</v>
      </c>
      <c r="E942" s="1">
        <v>45727</v>
      </c>
      <c r="F942" t="s">
        <v>96</v>
      </c>
      <c r="G942" t="s">
        <v>97</v>
      </c>
      <c r="H942" t="s">
        <v>76</v>
      </c>
      <c r="I942" t="s">
        <v>122</v>
      </c>
      <c r="J942" t="s">
        <v>122</v>
      </c>
      <c r="K942" t="s">
        <v>41</v>
      </c>
      <c r="L942" t="s">
        <v>42</v>
      </c>
      <c r="M942" t="s">
        <v>43</v>
      </c>
      <c r="N942">
        <v>1</v>
      </c>
      <c r="O942" t="s">
        <v>111</v>
      </c>
      <c r="P942" s="48">
        <v>16255.3</v>
      </c>
      <c r="Q942" s="48">
        <v>2858.29</v>
      </c>
      <c r="R942" s="48">
        <v>1289.54</v>
      </c>
      <c r="S942" s="48">
        <v>164.61</v>
      </c>
      <c r="T942" s="48">
        <v>162.55000000000001</v>
      </c>
      <c r="U942" s="48">
        <v>449.93</v>
      </c>
      <c r="V942" s="48">
        <v>2362.8000000000002</v>
      </c>
      <c r="W942" s="48">
        <v>8967.58</v>
      </c>
      <c r="X942">
        <v>0</v>
      </c>
      <c r="Y942" t="s">
        <v>45</v>
      </c>
      <c r="Z942">
        <v>23.82</v>
      </c>
      <c r="AA942" t="s">
        <v>46</v>
      </c>
      <c r="AB942" t="s">
        <v>92</v>
      </c>
      <c r="AC942" t="s">
        <v>48</v>
      </c>
      <c r="AD942" t="s">
        <v>144</v>
      </c>
      <c r="AE942" t="s">
        <v>102</v>
      </c>
      <c r="AF942" s="5">
        <f>DATE(YEAR(C942),MONTH(C942),1)</f>
        <v>45689</v>
      </c>
      <c r="AG942">
        <f>E942-D942</f>
        <v>12</v>
      </c>
      <c r="AH942" s="6">
        <f t="shared" si="14"/>
        <v>55.167114725658706</v>
      </c>
    </row>
    <row r="943" spans="1:34">
      <c r="A943" t="s">
        <v>1999</v>
      </c>
      <c r="B943" t="s">
        <v>2000</v>
      </c>
      <c r="C943" s="1">
        <v>45692</v>
      </c>
      <c r="D943" s="1">
        <v>45696</v>
      </c>
      <c r="E943" s="1">
        <v>45708</v>
      </c>
      <c r="F943" t="s">
        <v>138</v>
      </c>
      <c r="G943" t="s">
        <v>139</v>
      </c>
      <c r="H943" t="s">
        <v>76</v>
      </c>
      <c r="I943" t="s">
        <v>98</v>
      </c>
      <c r="J943" t="s">
        <v>77</v>
      </c>
      <c r="K943" t="s">
        <v>41</v>
      </c>
      <c r="L943" t="s">
        <v>116</v>
      </c>
      <c r="M943" t="s">
        <v>79</v>
      </c>
      <c r="N943">
        <v>1</v>
      </c>
      <c r="O943" t="s">
        <v>111</v>
      </c>
      <c r="P943" s="48">
        <v>15796.15</v>
      </c>
      <c r="Q943" s="48">
        <v>2857.73</v>
      </c>
      <c r="R943" s="48">
        <v>977.41</v>
      </c>
      <c r="S943" s="48">
        <v>393.03</v>
      </c>
      <c r="T943" s="48">
        <v>157.96</v>
      </c>
      <c r="U943" s="48">
        <v>840.83</v>
      </c>
      <c r="V943" s="48">
        <v>613.96</v>
      </c>
      <c r="W943" s="48">
        <v>9955.23</v>
      </c>
      <c r="X943">
        <v>48</v>
      </c>
      <c r="Y943" t="s">
        <v>90</v>
      </c>
      <c r="Z943">
        <v>23.81</v>
      </c>
      <c r="AA943" t="s">
        <v>91</v>
      </c>
      <c r="AB943" t="s">
        <v>92</v>
      </c>
      <c r="AC943" t="s">
        <v>70</v>
      </c>
      <c r="AD943" t="s">
        <v>130</v>
      </c>
      <c r="AE943" t="s">
        <v>102</v>
      </c>
      <c r="AF943" s="5">
        <f>DATE(YEAR(C943),MONTH(C943),1)</f>
        <v>45689</v>
      </c>
      <c r="AG943">
        <f>E943-D943</f>
        <v>12</v>
      </c>
      <c r="AH943" s="6">
        <f t="shared" si="14"/>
        <v>63.023141714911546</v>
      </c>
    </row>
    <row r="944" spans="1:34">
      <c r="A944" t="s">
        <v>2001</v>
      </c>
      <c r="B944" t="s">
        <v>2002</v>
      </c>
      <c r="C944" s="1">
        <v>45988</v>
      </c>
      <c r="D944" s="1">
        <v>45992</v>
      </c>
      <c r="E944" s="1">
        <v>46016</v>
      </c>
      <c r="F944" t="s">
        <v>149</v>
      </c>
      <c r="G944" t="s">
        <v>111</v>
      </c>
      <c r="H944" t="s">
        <v>150</v>
      </c>
      <c r="I944" t="s">
        <v>40</v>
      </c>
      <c r="J944" t="s">
        <v>77</v>
      </c>
      <c r="K944" t="s">
        <v>41</v>
      </c>
      <c r="L944" t="s">
        <v>124</v>
      </c>
      <c r="M944" t="s">
        <v>108</v>
      </c>
      <c r="N944">
        <v>2</v>
      </c>
      <c r="O944" t="s">
        <v>111</v>
      </c>
      <c r="P944" s="48">
        <v>13836.82</v>
      </c>
      <c r="Q944" s="48">
        <v>2856.25</v>
      </c>
      <c r="R944" s="48">
        <v>988.3</v>
      </c>
      <c r="S944" s="48">
        <v>354.91</v>
      </c>
      <c r="T944" s="48">
        <v>138.37</v>
      </c>
      <c r="U944" s="48">
        <v>687.34</v>
      </c>
      <c r="V944" s="48">
        <v>1767.11</v>
      </c>
      <c r="W944" s="48">
        <v>7044.54</v>
      </c>
      <c r="X944">
        <v>8</v>
      </c>
      <c r="Y944" t="s">
        <v>112</v>
      </c>
      <c r="Z944">
        <v>23.8</v>
      </c>
      <c r="AA944" t="s">
        <v>91</v>
      </c>
      <c r="AB944" t="s">
        <v>47</v>
      </c>
      <c r="AC944" t="s">
        <v>48</v>
      </c>
      <c r="AD944" t="s">
        <v>61</v>
      </c>
      <c r="AE944" t="s">
        <v>62</v>
      </c>
      <c r="AF944" s="5">
        <f>DATE(YEAR(C944),MONTH(C944),1)</f>
        <v>45962</v>
      </c>
      <c r="AG944">
        <f>E944-D944</f>
        <v>24</v>
      </c>
      <c r="AH944" s="6">
        <f t="shared" si="14"/>
        <v>50.911553377148799</v>
      </c>
    </row>
    <row r="945" spans="1:34">
      <c r="A945" t="s">
        <v>2003</v>
      </c>
      <c r="B945" t="s">
        <v>2004</v>
      </c>
      <c r="C945" s="1">
        <v>45757</v>
      </c>
      <c r="D945" s="1">
        <v>45758</v>
      </c>
      <c r="E945" s="1">
        <v>45782</v>
      </c>
      <c r="F945" t="s">
        <v>138</v>
      </c>
      <c r="G945" t="s">
        <v>139</v>
      </c>
      <c r="H945" t="s">
        <v>76</v>
      </c>
      <c r="I945" t="s">
        <v>57</v>
      </c>
      <c r="J945" t="s">
        <v>87</v>
      </c>
      <c r="K945" t="s">
        <v>41</v>
      </c>
      <c r="L945" t="s">
        <v>78</v>
      </c>
      <c r="M945" t="s">
        <v>43</v>
      </c>
      <c r="N945">
        <v>1</v>
      </c>
      <c r="O945" t="s">
        <v>89</v>
      </c>
      <c r="P945" s="48">
        <v>13328.12</v>
      </c>
      <c r="Q945" s="48">
        <v>2843.78</v>
      </c>
      <c r="R945" s="48">
        <v>597.96</v>
      </c>
      <c r="S945" s="48">
        <v>312.3</v>
      </c>
      <c r="T945" s="48">
        <v>133.28</v>
      </c>
      <c r="U945" s="48">
        <v>587.47</v>
      </c>
      <c r="V945" s="48">
        <v>789.91</v>
      </c>
      <c r="W945" s="48">
        <v>8063.42</v>
      </c>
      <c r="X945">
        <v>0</v>
      </c>
      <c r="Y945" t="s">
        <v>45</v>
      </c>
      <c r="Z945">
        <v>23.7</v>
      </c>
      <c r="AA945" t="s">
        <v>46</v>
      </c>
      <c r="AB945" t="s">
        <v>92</v>
      </c>
      <c r="AC945" t="s">
        <v>70</v>
      </c>
      <c r="AD945" t="s">
        <v>130</v>
      </c>
      <c r="AE945" t="s">
        <v>71</v>
      </c>
      <c r="AF945" s="5">
        <f>DATE(YEAR(C945),MONTH(C945),1)</f>
        <v>45748</v>
      </c>
      <c r="AG945">
        <f>E945-D945</f>
        <v>24</v>
      </c>
      <c r="AH945" s="6">
        <f t="shared" si="14"/>
        <v>60.499305228344284</v>
      </c>
    </row>
    <row r="946" spans="1:34">
      <c r="A946" t="s">
        <v>2005</v>
      </c>
      <c r="B946" t="s">
        <v>2006</v>
      </c>
      <c r="C946" s="1">
        <v>45763</v>
      </c>
      <c r="D946" s="1">
        <v>45766</v>
      </c>
      <c r="E946" s="1">
        <v>45791</v>
      </c>
      <c r="F946" t="s">
        <v>53</v>
      </c>
      <c r="G946" t="s">
        <v>54</v>
      </c>
      <c r="H946" t="s">
        <v>55</v>
      </c>
      <c r="I946" t="s">
        <v>98</v>
      </c>
      <c r="J946" t="s">
        <v>40</v>
      </c>
      <c r="K946" t="s">
        <v>41</v>
      </c>
      <c r="L946" t="s">
        <v>59</v>
      </c>
      <c r="M946" t="s">
        <v>43</v>
      </c>
      <c r="N946">
        <v>1</v>
      </c>
      <c r="O946" t="s">
        <v>54</v>
      </c>
      <c r="P946" s="48">
        <v>12260.25</v>
      </c>
      <c r="Q946" s="48">
        <v>2814.76</v>
      </c>
      <c r="R946" s="48">
        <v>563.82000000000005</v>
      </c>
      <c r="S946" s="48">
        <v>124.69</v>
      </c>
      <c r="T946" s="48">
        <v>122.6</v>
      </c>
      <c r="U946" s="48">
        <v>165.59</v>
      </c>
      <c r="V946" s="48">
        <v>1498.19</v>
      </c>
      <c r="W946" s="48">
        <v>6970.6</v>
      </c>
      <c r="X946">
        <v>0</v>
      </c>
      <c r="Y946" t="s">
        <v>45</v>
      </c>
      <c r="Z946">
        <v>23.46</v>
      </c>
      <c r="AA946" t="s">
        <v>46</v>
      </c>
      <c r="AB946" t="s">
        <v>92</v>
      </c>
      <c r="AC946" t="s">
        <v>70</v>
      </c>
      <c r="AD946" t="s">
        <v>130</v>
      </c>
      <c r="AE946" t="s">
        <v>71</v>
      </c>
      <c r="AF946" s="5">
        <f>DATE(YEAR(C946),MONTH(C946),1)</f>
        <v>45748</v>
      </c>
      <c r="AG946">
        <f>E946-D946</f>
        <v>25</v>
      </c>
      <c r="AH946" s="6">
        <f t="shared" si="14"/>
        <v>56.855284353907955</v>
      </c>
    </row>
    <row r="947" spans="1:34">
      <c r="A947" t="s">
        <v>2007</v>
      </c>
      <c r="B947" t="s">
        <v>2008</v>
      </c>
      <c r="C947" s="1">
        <v>45926</v>
      </c>
      <c r="D947" s="1">
        <v>45928</v>
      </c>
      <c r="E947" s="1">
        <v>45951</v>
      </c>
      <c r="F947" t="s">
        <v>96</v>
      </c>
      <c r="G947" t="s">
        <v>97</v>
      </c>
      <c r="H947" t="s">
        <v>76</v>
      </c>
      <c r="I947" t="s">
        <v>57</v>
      </c>
      <c r="J947" t="s">
        <v>98</v>
      </c>
      <c r="K947" t="s">
        <v>99</v>
      </c>
      <c r="L947" t="s">
        <v>116</v>
      </c>
      <c r="M947" t="s">
        <v>79</v>
      </c>
      <c r="N947">
        <v>1</v>
      </c>
      <c r="O947" t="s">
        <v>111</v>
      </c>
      <c r="P947" s="48">
        <v>16955.740000000002</v>
      </c>
      <c r="Q947" s="48">
        <v>2793.14</v>
      </c>
      <c r="R947" s="48">
        <v>994.36</v>
      </c>
      <c r="S947" s="48">
        <v>419.82</v>
      </c>
      <c r="T947" s="48">
        <v>169.56</v>
      </c>
      <c r="U947" s="48">
        <v>664.04</v>
      </c>
      <c r="V947" s="48">
        <v>774.69</v>
      </c>
      <c r="W947" s="48">
        <v>11140.13</v>
      </c>
      <c r="X947">
        <v>48</v>
      </c>
      <c r="Y947" t="s">
        <v>117</v>
      </c>
      <c r="Z947">
        <v>23.28</v>
      </c>
      <c r="AA947" t="s">
        <v>91</v>
      </c>
      <c r="AB947" t="s">
        <v>92</v>
      </c>
      <c r="AC947" t="s">
        <v>60</v>
      </c>
      <c r="AD947" t="s">
        <v>61</v>
      </c>
      <c r="AE947" t="s">
        <v>102</v>
      </c>
      <c r="AF947" s="5">
        <f>DATE(YEAR(C947),MONTH(C947),1)</f>
        <v>45901</v>
      </c>
      <c r="AG947">
        <f>E947-D947</f>
        <v>23</v>
      </c>
      <c r="AH947" s="6">
        <f t="shared" si="14"/>
        <v>65.701231559342133</v>
      </c>
    </row>
    <row r="948" spans="1:34">
      <c r="A948" t="s">
        <v>2009</v>
      </c>
      <c r="B948" t="s">
        <v>2010</v>
      </c>
      <c r="C948" s="1">
        <v>45825</v>
      </c>
      <c r="D948" s="1">
        <v>45828</v>
      </c>
      <c r="E948" s="1">
        <v>45849</v>
      </c>
      <c r="F948" t="s">
        <v>65</v>
      </c>
      <c r="G948" t="s">
        <v>66</v>
      </c>
      <c r="H948" t="s">
        <v>67</v>
      </c>
      <c r="I948" t="s">
        <v>87</v>
      </c>
      <c r="J948" t="s">
        <v>77</v>
      </c>
      <c r="K948" t="s">
        <v>41</v>
      </c>
      <c r="L948" t="s">
        <v>59</v>
      </c>
      <c r="M948" t="s">
        <v>43</v>
      </c>
      <c r="N948">
        <v>2</v>
      </c>
      <c r="O948" t="s">
        <v>111</v>
      </c>
      <c r="P948" s="48">
        <v>14007.37</v>
      </c>
      <c r="Q948" s="48">
        <v>2758</v>
      </c>
      <c r="R948" s="48">
        <v>600.71</v>
      </c>
      <c r="S948" s="48">
        <v>304.91000000000003</v>
      </c>
      <c r="T948" s="48">
        <v>140.07</v>
      </c>
      <c r="U948" s="48">
        <v>143.08000000000001</v>
      </c>
      <c r="V948" s="48">
        <v>1743.22</v>
      </c>
      <c r="W948" s="48">
        <v>8317.3799999999992</v>
      </c>
      <c r="X948">
        <v>4</v>
      </c>
      <c r="Y948" t="s">
        <v>90</v>
      </c>
      <c r="Z948">
        <v>22.98</v>
      </c>
      <c r="AA948" t="s">
        <v>91</v>
      </c>
      <c r="AB948" t="s">
        <v>92</v>
      </c>
      <c r="AC948" t="s">
        <v>70</v>
      </c>
      <c r="AD948" t="s">
        <v>130</v>
      </c>
      <c r="AE948" t="s">
        <v>71</v>
      </c>
      <c r="AF948" s="5">
        <f>DATE(YEAR(C948),MONTH(C948),1)</f>
        <v>45809</v>
      </c>
      <c r="AG948">
        <f>E948-D948</f>
        <v>21</v>
      </c>
      <c r="AH948" s="6">
        <f t="shared" si="14"/>
        <v>59.378598552047947</v>
      </c>
    </row>
    <row r="949" spans="1:34">
      <c r="A949" t="s">
        <v>2011</v>
      </c>
      <c r="B949" t="s">
        <v>2012</v>
      </c>
      <c r="C949" s="1">
        <v>45937</v>
      </c>
      <c r="D949" s="1">
        <v>45940</v>
      </c>
      <c r="E949" s="1">
        <v>45953</v>
      </c>
      <c r="F949" t="s">
        <v>65</v>
      </c>
      <c r="G949" t="s">
        <v>66</v>
      </c>
      <c r="H949" t="s">
        <v>67</v>
      </c>
      <c r="I949" t="s">
        <v>56</v>
      </c>
      <c r="J949" t="s">
        <v>115</v>
      </c>
      <c r="K949" t="s">
        <v>41</v>
      </c>
      <c r="L949" t="s">
        <v>124</v>
      </c>
      <c r="M949" t="s">
        <v>43</v>
      </c>
      <c r="N949">
        <v>2</v>
      </c>
      <c r="O949" t="s">
        <v>54</v>
      </c>
      <c r="P949" s="48">
        <v>13029.46</v>
      </c>
      <c r="Q949" s="48">
        <v>2752.88</v>
      </c>
      <c r="R949" s="48">
        <v>542.21</v>
      </c>
      <c r="S949" s="48">
        <v>341.25</v>
      </c>
      <c r="T949" s="48">
        <v>130.29</v>
      </c>
      <c r="U949" s="48">
        <v>746.65</v>
      </c>
      <c r="V949" s="48">
        <v>667.73</v>
      </c>
      <c r="W949" s="48">
        <v>7848.45</v>
      </c>
      <c r="X949">
        <v>48</v>
      </c>
      <c r="Y949" t="s">
        <v>135</v>
      </c>
      <c r="Z949">
        <v>22.94</v>
      </c>
      <c r="AA949" t="s">
        <v>91</v>
      </c>
      <c r="AB949" t="s">
        <v>92</v>
      </c>
      <c r="AC949" t="s">
        <v>70</v>
      </c>
      <c r="AD949" t="s">
        <v>61</v>
      </c>
      <c r="AE949" t="s">
        <v>71</v>
      </c>
      <c r="AF949" s="5">
        <f>DATE(YEAR(C949),MONTH(C949),1)</f>
        <v>45931</v>
      </c>
      <c r="AG949">
        <f>E949-D949</f>
        <v>13</v>
      </c>
      <c r="AH949" s="6">
        <f t="shared" si="14"/>
        <v>60.236187838943444</v>
      </c>
    </row>
    <row r="950" spans="1:34">
      <c r="A950" t="s">
        <v>2013</v>
      </c>
      <c r="B950" t="s">
        <v>2014</v>
      </c>
      <c r="C950" s="1">
        <v>45770</v>
      </c>
      <c r="D950" s="1">
        <v>45774</v>
      </c>
      <c r="E950" s="1">
        <v>45800</v>
      </c>
      <c r="F950" t="s">
        <v>83</v>
      </c>
      <c r="G950" t="s">
        <v>84</v>
      </c>
      <c r="H950" t="s">
        <v>85</v>
      </c>
      <c r="I950" t="s">
        <v>57</v>
      </c>
      <c r="J950" t="s">
        <v>39</v>
      </c>
      <c r="K950" t="s">
        <v>41</v>
      </c>
      <c r="L950" t="s">
        <v>127</v>
      </c>
      <c r="M950" t="s">
        <v>108</v>
      </c>
      <c r="N950">
        <v>2</v>
      </c>
      <c r="O950" t="s">
        <v>44</v>
      </c>
      <c r="P950" s="48">
        <v>13871.36</v>
      </c>
      <c r="Q950" s="48">
        <v>2720.23</v>
      </c>
      <c r="R950" s="48">
        <v>966.73</v>
      </c>
      <c r="S950" s="48">
        <v>204.53</v>
      </c>
      <c r="T950" s="48">
        <v>138.71</v>
      </c>
      <c r="U950" s="48">
        <v>853.27</v>
      </c>
      <c r="V950" s="48">
        <v>1354.49</v>
      </c>
      <c r="W950" s="48">
        <v>7633.4</v>
      </c>
      <c r="X950">
        <v>24</v>
      </c>
      <c r="Y950" t="s">
        <v>135</v>
      </c>
      <c r="Z950">
        <v>22.67</v>
      </c>
      <c r="AA950" t="s">
        <v>91</v>
      </c>
      <c r="AB950" t="s">
        <v>47</v>
      </c>
      <c r="AC950" t="s">
        <v>48</v>
      </c>
      <c r="AD950" t="s">
        <v>144</v>
      </c>
      <c r="AE950" t="s">
        <v>50</v>
      </c>
      <c r="AF950" s="5">
        <f>DATE(YEAR(C950),MONTH(C950),1)</f>
        <v>45748</v>
      </c>
      <c r="AG950">
        <f>E950-D950</f>
        <v>26</v>
      </c>
      <c r="AH950" s="6">
        <f t="shared" si="14"/>
        <v>55.029932176801687</v>
      </c>
    </row>
    <row r="951" spans="1:34">
      <c r="A951" t="s">
        <v>2015</v>
      </c>
      <c r="B951" t="s">
        <v>2016</v>
      </c>
      <c r="C951" s="1">
        <v>46018</v>
      </c>
      <c r="D951" s="1">
        <v>46021</v>
      </c>
      <c r="E951" s="1">
        <v>46032</v>
      </c>
      <c r="F951" t="s">
        <v>36</v>
      </c>
      <c r="G951" t="s">
        <v>37</v>
      </c>
      <c r="H951" t="s">
        <v>38</v>
      </c>
      <c r="I951" t="s">
        <v>86</v>
      </c>
      <c r="J951" t="s">
        <v>40</v>
      </c>
      <c r="K951" t="s">
        <v>41</v>
      </c>
      <c r="L951" t="s">
        <v>116</v>
      </c>
      <c r="M951" t="s">
        <v>68</v>
      </c>
      <c r="N951">
        <v>2</v>
      </c>
      <c r="O951" t="s">
        <v>105</v>
      </c>
      <c r="P951" s="48">
        <v>13115.8</v>
      </c>
      <c r="Q951" s="48">
        <v>2680.41</v>
      </c>
      <c r="R951" s="48">
        <v>896.13</v>
      </c>
      <c r="S951" s="48">
        <v>222.27</v>
      </c>
      <c r="T951" s="48">
        <v>131.16</v>
      </c>
      <c r="U951" s="48">
        <v>790.26</v>
      </c>
      <c r="V951" s="48">
        <v>658.65</v>
      </c>
      <c r="W951" s="48">
        <v>7736.92</v>
      </c>
      <c r="X951">
        <v>0</v>
      </c>
      <c r="Y951" t="s">
        <v>45</v>
      </c>
      <c r="Z951">
        <v>22.34</v>
      </c>
      <c r="AA951" t="s">
        <v>46</v>
      </c>
      <c r="AB951" t="s">
        <v>92</v>
      </c>
      <c r="AC951" t="s">
        <v>70</v>
      </c>
      <c r="AD951" t="s">
        <v>49</v>
      </c>
      <c r="AE951" t="s">
        <v>71</v>
      </c>
      <c r="AF951" s="5">
        <f>DATE(YEAR(C951),MONTH(C951),1)</f>
        <v>45992</v>
      </c>
      <c r="AG951">
        <f>E951-D951</f>
        <v>11</v>
      </c>
      <c r="AH951" s="6">
        <f t="shared" si="14"/>
        <v>58.989310602479463</v>
      </c>
    </row>
    <row r="952" spans="1:34">
      <c r="A952" t="s">
        <v>2017</v>
      </c>
      <c r="B952" t="s">
        <v>2018</v>
      </c>
      <c r="C952" s="1">
        <v>45745</v>
      </c>
      <c r="D952" s="1">
        <v>45748</v>
      </c>
      <c r="E952" s="1">
        <v>45776</v>
      </c>
      <c r="F952" t="s">
        <v>36</v>
      </c>
      <c r="G952" t="s">
        <v>37</v>
      </c>
      <c r="H952" t="s">
        <v>38</v>
      </c>
      <c r="I952" t="s">
        <v>57</v>
      </c>
      <c r="J952" t="s">
        <v>98</v>
      </c>
      <c r="K952" t="s">
        <v>99</v>
      </c>
      <c r="L952" t="s">
        <v>42</v>
      </c>
      <c r="M952" t="s">
        <v>79</v>
      </c>
      <c r="N952">
        <v>1</v>
      </c>
      <c r="O952" t="s">
        <v>111</v>
      </c>
      <c r="P952" s="48">
        <v>13319.06</v>
      </c>
      <c r="Q952" s="48">
        <v>2662.25</v>
      </c>
      <c r="R952" s="48">
        <v>1008.2</v>
      </c>
      <c r="S952" s="48">
        <v>158.72999999999999</v>
      </c>
      <c r="T952" s="48">
        <v>133.19</v>
      </c>
      <c r="U952" s="48">
        <v>594.29999999999995</v>
      </c>
      <c r="V952" s="48">
        <v>1625.21</v>
      </c>
      <c r="W952" s="48">
        <v>7137.18</v>
      </c>
      <c r="X952">
        <v>36</v>
      </c>
      <c r="Y952" t="s">
        <v>101</v>
      </c>
      <c r="Z952">
        <v>22.19</v>
      </c>
      <c r="AA952" t="s">
        <v>91</v>
      </c>
      <c r="AB952" t="s">
        <v>47</v>
      </c>
      <c r="AC952" t="s">
        <v>70</v>
      </c>
      <c r="AD952" t="s">
        <v>93</v>
      </c>
      <c r="AE952" t="s">
        <v>71</v>
      </c>
      <c r="AF952" s="5">
        <f>DATE(YEAR(C952),MONTH(C952),1)</f>
        <v>45717</v>
      </c>
      <c r="AG952">
        <f>E952-D952</f>
        <v>28</v>
      </c>
      <c r="AH952" s="6">
        <f t="shared" si="14"/>
        <v>53.586214042132106</v>
      </c>
    </row>
    <row r="953" spans="1:34">
      <c r="A953" t="s">
        <v>2019</v>
      </c>
      <c r="B953" t="s">
        <v>2020</v>
      </c>
      <c r="C953" s="1">
        <v>45980</v>
      </c>
      <c r="D953" s="1">
        <v>45981</v>
      </c>
      <c r="E953" s="1">
        <v>46006</v>
      </c>
      <c r="F953" t="s">
        <v>153</v>
      </c>
      <c r="G953" t="s">
        <v>75</v>
      </c>
      <c r="H953" t="s">
        <v>154</v>
      </c>
      <c r="I953" t="s">
        <v>57</v>
      </c>
      <c r="J953" t="s">
        <v>98</v>
      </c>
      <c r="K953" t="s">
        <v>99</v>
      </c>
      <c r="L953" t="s">
        <v>42</v>
      </c>
      <c r="M953" t="s">
        <v>43</v>
      </c>
      <c r="N953">
        <v>2</v>
      </c>
      <c r="O953" t="s">
        <v>89</v>
      </c>
      <c r="P953" s="48">
        <v>13608.36</v>
      </c>
      <c r="Q953" s="48">
        <v>2660.58</v>
      </c>
      <c r="R953" s="48">
        <v>828.41</v>
      </c>
      <c r="S953" s="48">
        <v>272.67</v>
      </c>
      <c r="T953" s="48">
        <v>136.08000000000001</v>
      </c>
      <c r="U953" s="48">
        <v>639.30999999999995</v>
      </c>
      <c r="V953" s="48">
        <v>1060.3800000000001</v>
      </c>
      <c r="W953" s="48">
        <v>8010.93</v>
      </c>
      <c r="X953">
        <v>36</v>
      </c>
      <c r="Y953" t="s">
        <v>112</v>
      </c>
      <c r="Z953">
        <v>22.17</v>
      </c>
      <c r="AA953" t="s">
        <v>91</v>
      </c>
      <c r="AB953" t="s">
        <v>47</v>
      </c>
      <c r="AC953" t="s">
        <v>60</v>
      </c>
      <c r="AD953" t="s">
        <v>61</v>
      </c>
      <c r="AE953" t="s">
        <v>50</v>
      </c>
      <c r="AF953" s="5">
        <f>DATE(YEAR(C953),MONTH(C953),1)</f>
        <v>45962</v>
      </c>
      <c r="AG953">
        <f>E953-D953</f>
        <v>25</v>
      </c>
      <c r="AH953" s="6">
        <f t="shared" si="14"/>
        <v>58.867710730756684</v>
      </c>
    </row>
    <row r="954" spans="1:34">
      <c r="A954" t="s">
        <v>2021</v>
      </c>
      <c r="B954" t="s">
        <v>2022</v>
      </c>
      <c r="C954" s="1">
        <v>45957</v>
      </c>
      <c r="D954" s="1">
        <v>45961</v>
      </c>
      <c r="E954" s="1">
        <v>45971</v>
      </c>
      <c r="F954" t="s">
        <v>153</v>
      </c>
      <c r="G954" t="s">
        <v>75</v>
      </c>
      <c r="H954" t="s">
        <v>154</v>
      </c>
      <c r="I954" t="s">
        <v>56</v>
      </c>
      <c r="J954" t="s">
        <v>57</v>
      </c>
      <c r="K954" t="s">
        <v>58</v>
      </c>
      <c r="L954" t="s">
        <v>42</v>
      </c>
      <c r="M954" t="s">
        <v>43</v>
      </c>
      <c r="N954">
        <v>1</v>
      </c>
      <c r="O954" t="s">
        <v>89</v>
      </c>
      <c r="P954" s="48">
        <v>16095.38</v>
      </c>
      <c r="Q954" s="48">
        <v>2617.5500000000002</v>
      </c>
      <c r="R954" s="48">
        <v>1268.95</v>
      </c>
      <c r="S954" s="48">
        <v>259.41000000000003</v>
      </c>
      <c r="T954" s="48">
        <v>160.94999999999999</v>
      </c>
      <c r="U954" s="48">
        <v>590.35</v>
      </c>
      <c r="V954" s="48">
        <v>2407.42</v>
      </c>
      <c r="W954" s="48">
        <v>8790.75</v>
      </c>
      <c r="X954">
        <v>0</v>
      </c>
      <c r="Y954" t="s">
        <v>45</v>
      </c>
      <c r="Z954">
        <v>21.81</v>
      </c>
      <c r="AA954" t="s">
        <v>46</v>
      </c>
      <c r="AB954" t="s">
        <v>92</v>
      </c>
      <c r="AC954" t="s">
        <v>60</v>
      </c>
      <c r="AD954" t="s">
        <v>93</v>
      </c>
      <c r="AE954" t="s">
        <v>71</v>
      </c>
      <c r="AF954" s="5">
        <f>DATE(YEAR(C954),MONTH(C954),1)</f>
        <v>45931</v>
      </c>
      <c r="AG954">
        <f>E954-D954</f>
        <v>10</v>
      </c>
      <c r="AH954" s="6">
        <f t="shared" si="14"/>
        <v>54.616604267808533</v>
      </c>
    </row>
    <row r="955" spans="1:34">
      <c r="A955" t="s">
        <v>2023</v>
      </c>
      <c r="B955" t="s">
        <v>2024</v>
      </c>
      <c r="C955" s="1">
        <v>45783</v>
      </c>
      <c r="D955" s="1">
        <v>45785</v>
      </c>
      <c r="E955" s="1">
        <v>45798</v>
      </c>
      <c r="F955" t="s">
        <v>234</v>
      </c>
      <c r="G955" t="s">
        <v>111</v>
      </c>
      <c r="H955" t="s">
        <v>150</v>
      </c>
      <c r="I955" t="s">
        <v>40</v>
      </c>
      <c r="J955" t="s">
        <v>122</v>
      </c>
      <c r="K955" t="s">
        <v>123</v>
      </c>
      <c r="L955" t="s">
        <v>127</v>
      </c>
      <c r="M955" t="s">
        <v>43</v>
      </c>
      <c r="N955">
        <v>1</v>
      </c>
      <c r="O955" t="s">
        <v>111</v>
      </c>
      <c r="P955" s="48">
        <v>12256.31</v>
      </c>
      <c r="Q955" s="48">
        <v>2607.08</v>
      </c>
      <c r="R955" s="48">
        <v>675.07</v>
      </c>
      <c r="S955" s="48">
        <v>234.46</v>
      </c>
      <c r="T955" s="48">
        <v>122.56</v>
      </c>
      <c r="U955" s="48">
        <v>582.42999999999995</v>
      </c>
      <c r="V955" s="48">
        <v>729.25</v>
      </c>
      <c r="W955" s="48">
        <v>7305.46</v>
      </c>
      <c r="X955">
        <v>0</v>
      </c>
      <c r="Y955" t="s">
        <v>45</v>
      </c>
      <c r="Z955">
        <v>21.73</v>
      </c>
      <c r="AA955" t="s">
        <v>46</v>
      </c>
      <c r="AB955" t="s">
        <v>47</v>
      </c>
      <c r="AC955" t="s">
        <v>70</v>
      </c>
      <c r="AD955" t="s">
        <v>61</v>
      </c>
      <c r="AE955" t="s">
        <v>50</v>
      </c>
      <c r="AF955" s="5">
        <f>DATE(YEAR(C955),MONTH(C955),1)</f>
        <v>45778</v>
      </c>
      <c r="AG955">
        <f>E955-D955</f>
        <v>13</v>
      </c>
      <c r="AH955" s="6">
        <f t="shared" si="14"/>
        <v>59.605705142901897</v>
      </c>
    </row>
    <row r="956" spans="1:34">
      <c r="A956" t="s">
        <v>2025</v>
      </c>
      <c r="B956" t="s">
        <v>2026</v>
      </c>
      <c r="C956" s="1">
        <v>45822</v>
      </c>
      <c r="D956" s="1">
        <v>45823</v>
      </c>
      <c r="E956" s="1">
        <v>45841</v>
      </c>
      <c r="F956" t="s">
        <v>180</v>
      </c>
      <c r="G956" t="s">
        <v>181</v>
      </c>
      <c r="H956" t="s">
        <v>38</v>
      </c>
      <c r="I956" t="s">
        <v>56</v>
      </c>
      <c r="J956" t="s">
        <v>57</v>
      </c>
      <c r="K956" t="s">
        <v>58</v>
      </c>
      <c r="L956" t="s">
        <v>124</v>
      </c>
      <c r="M956" t="s">
        <v>108</v>
      </c>
      <c r="N956">
        <v>1</v>
      </c>
      <c r="O956" t="s">
        <v>111</v>
      </c>
      <c r="P956" s="48">
        <v>15009.73</v>
      </c>
      <c r="Q956" s="48">
        <v>2586.89</v>
      </c>
      <c r="R956" s="48">
        <v>715.23</v>
      </c>
      <c r="S956" s="48">
        <v>294.16000000000003</v>
      </c>
      <c r="T956" s="48">
        <v>150.1</v>
      </c>
      <c r="U956" s="48">
        <v>875</v>
      </c>
      <c r="V956" s="48">
        <v>2256.2399999999998</v>
      </c>
      <c r="W956" s="48">
        <v>8132.11</v>
      </c>
      <c r="X956">
        <v>36</v>
      </c>
      <c r="Y956" t="s">
        <v>90</v>
      </c>
      <c r="Z956">
        <v>21.56</v>
      </c>
      <c r="AA956" t="s">
        <v>91</v>
      </c>
      <c r="AB956" t="s">
        <v>92</v>
      </c>
      <c r="AC956" t="s">
        <v>60</v>
      </c>
      <c r="AD956" t="s">
        <v>130</v>
      </c>
      <c r="AE956" t="s">
        <v>71</v>
      </c>
      <c r="AF956" s="5">
        <f>DATE(YEAR(C956),MONTH(C956),1)</f>
        <v>45809</v>
      </c>
      <c r="AG956">
        <f>E956-D956</f>
        <v>18</v>
      </c>
      <c r="AH956" s="6">
        <f t="shared" si="14"/>
        <v>54.178922605536542</v>
      </c>
    </row>
    <row r="957" spans="1:34">
      <c r="A957" t="s">
        <v>2027</v>
      </c>
      <c r="B957" t="s">
        <v>2028</v>
      </c>
      <c r="C957" s="1">
        <v>45715</v>
      </c>
      <c r="D957" s="1">
        <v>45716</v>
      </c>
      <c r="E957" s="1">
        <v>45739</v>
      </c>
      <c r="F957" t="s">
        <v>149</v>
      </c>
      <c r="G957" t="s">
        <v>111</v>
      </c>
      <c r="H957" t="s">
        <v>150</v>
      </c>
      <c r="I957" t="s">
        <v>39</v>
      </c>
      <c r="J957" t="s">
        <v>87</v>
      </c>
      <c r="K957" t="s">
        <v>41</v>
      </c>
      <c r="L957" t="s">
        <v>42</v>
      </c>
      <c r="M957" t="s">
        <v>68</v>
      </c>
      <c r="N957">
        <v>2</v>
      </c>
      <c r="O957" t="s">
        <v>105</v>
      </c>
      <c r="P957" s="48">
        <v>14240.03</v>
      </c>
      <c r="Q957" s="48">
        <v>2579.5</v>
      </c>
      <c r="R957" s="48">
        <v>859.3</v>
      </c>
      <c r="S957" s="48">
        <v>222.1</v>
      </c>
      <c r="T957" s="48">
        <v>142.4</v>
      </c>
      <c r="U957" s="48">
        <v>262</v>
      </c>
      <c r="V957" s="48">
        <v>2016.32</v>
      </c>
      <c r="W957" s="48">
        <v>8158.41</v>
      </c>
      <c r="X957">
        <v>12</v>
      </c>
      <c r="Y957" t="s">
        <v>90</v>
      </c>
      <c r="Z957">
        <v>21.5</v>
      </c>
      <c r="AA957" t="s">
        <v>91</v>
      </c>
      <c r="AB957" t="s">
        <v>92</v>
      </c>
      <c r="AC957" t="s">
        <v>70</v>
      </c>
      <c r="AD957" t="s">
        <v>49</v>
      </c>
      <c r="AE957" t="s">
        <v>71</v>
      </c>
      <c r="AF957" s="5">
        <f>DATE(YEAR(C957),MONTH(C957),1)</f>
        <v>45689</v>
      </c>
      <c r="AG957">
        <f>E957-D957</f>
        <v>23</v>
      </c>
      <c r="AH957" s="6">
        <f t="shared" si="14"/>
        <v>57.292084356563855</v>
      </c>
    </row>
    <row r="958" spans="1:34">
      <c r="A958" t="s">
        <v>2029</v>
      </c>
      <c r="B958" t="s">
        <v>2030</v>
      </c>
      <c r="C958" s="1">
        <v>45716</v>
      </c>
      <c r="D958" s="1">
        <v>45718</v>
      </c>
      <c r="E958" s="1">
        <v>45730</v>
      </c>
      <c r="F958" t="s">
        <v>120</v>
      </c>
      <c r="G958" t="s">
        <v>75</v>
      </c>
      <c r="H958" t="s">
        <v>121</v>
      </c>
      <c r="I958" t="s">
        <v>86</v>
      </c>
      <c r="J958" t="s">
        <v>87</v>
      </c>
      <c r="K958" t="s">
        <v>88</v>
      </c>
      <c r="L958" t="s">
        <v>42</v>
      </c>
      <c r="M958" t="s">
        <v>108</v>
      </c>
      <c r="N958">
        <v>1</v>
      </c>
      <c r="O958" t="s">
        <v>69</v>
      </c>
      <c r="P958" s="48">
        <v>8648.36</v>
      </c>
      <c r="Q958" s="48">
        <v>2567.02</v>
      </c>
      <c r="R958" s="48">
        <v>359.72</v>
      </c>
      <c r="S958" s="48">
        <v>220.11</v>
      </c>
      <c r="T958" s="48">
        <v>86.48</v>
      </c>
      <c r="U958" s="48">
        <v>896.43</v>
      </c>
      <c r="V958" s="48">
        <v>1959.49</v>
      </c>
      <c r="W958" s="48">
        <v>2559.11</v>
      </c>
      <c r="X958">
        <v>0</v>
      </c>
      <c r="Y958" t="s">
        <v>45</v>
      </c>
      <c r="Z958">
        <v>21.39</v>
      </c>
      <c r="AA958" t="s">
        <v>46</v>
      </c>
      <c r="AB958" t="s">
        <v>92</v>
      </c>
      <c r="AC958" t="s">
        <v>48</v>
      </c>
      <c r="AD958" t="s">
        <v>49</v>
      </c>
      <c r="AE958" t="s">
        <v>102</v>
      </c>
      <c r="AF958" s="5">
        <f>DATE(YEAR(C958),MONTH(C958),1)</f>
        <v>45689</v>
      </c>
      <c r="AG958">
        <f>E958-D958</f>
        <v>12</v>
      </c>
      <c r="AH958" s="6">
        <f t="shared" si="14"/>
        <v>29.590696964511192</v>
      </c>
    </row>
    <row r="959" spans="1:34">
      <c r="A959" t="s">
        <v>2031</v>
      </c>
      <c r="B959" t="s">
        <v>2032</v>
      </c>
      <c r="C959" s="1">
        <v>45980</v>
      </c>
      <c r="D959" s="1">
        <v>45982</v>
      </c>
      <c r="E959" s="1">
        <v>46005</v>
      </c>
      <c r="F959" t="s">
        <v>36</v>
      </c>
      <c r="G959" t="s">
        <v>37</v>
      </c>
      <c r="H959" t="s">
        <v>38</v>
      </c>
      <c r="I959" t="s">
        <v>86</v>
      </c>
      <c r="J959" t="s">
        <v>87</v>
      </c>
      <c r="K959" t="s">
        <v>88</v>
      </c>
      <c r="L959" t="s">
        <v>100</v>
      </c>
      <c r="M959" t="s">
        <v>43</v>
      </c>
      <c r="N959">
        <v>1</v>
      </c>
      <c r="O959" t="s">
        <v>105</v>
      </c>
      <c r="P959" s="48">
        <v>13391.78</v>
      </c>
      <c r="Q959" s="48">
        <v>2541.91</v>
      </c>
      <c r="R959" s="48">
        <v>914.12</v>
      </c>
      <c r="S959" s="48">
        <v>375.71</v>
      </c>
      <c r="T959" s="48">
        <v>133.91999999999999</v>
      </c>
      <c r="U959" s="48">
        <v>388.69</v>
      </c>
      <c r="V959" s="48">
        <v>2150.02</v>
      </c>
      <c r="W959" s="48">
        <v>6887.41</v>
      </c>
      <c r="X959">
        <v>4</v>
      </c>
      <c r="Y959" t="s">
        <v>112</v>
      </c>
      <c r="Z959">
        <v>21.18</v>
      </c>
      <c r="AA959" t="s">
        <v>91</v>
      </c>
      <c r="AB959" t="s">
        <v>92</v>
      </c>
      <c r="AC959" t="s">
        <v>60</v>
      </c>
      <c r="AD959" t="s">
        <v>61</v>
      </c>
      <c r="AE959" t="s">
        <v>102</v>
      </c>
      <c r="AF959" s="5">
        <f>DATE(YEAR(C959),MONTH(C959),1)</f>
        <v>45962</v>
      </c>
      <c r="AG959">
        <f>E959-D959</f>
        <v>23</v>
      </c>
      <c r="AH959" s="6">
        <f t="shared" si="14"/>
        <v>51.430131020670885</v>
      </c>
    </row>
    <row r="960" spans="1:34">
      <c r="A960" t="s">
        <v>2033</v>
      </c>
      <c r="B960" t="s">
        <v>2034</v>
      </c>
      <c r="C960" s="1">
        <v>45738</v>
      </c>
      <c r="D960" s="1">
        <v>45739</v>
      </c>
      <c r="E960" s="1">
        <v>45753</v>
      </c>
      <c r="F960" t="s">
        <v>83</v>
      </c>
      <c r="G960" t="s">
        <v>84</v>
      </c>
      <c r="H960" t="s">
        <v>85</v>
      </c>
      <c r="I960" t="s">
        <v>57</v>
      </c>
      <c r="J960" t="s">
        <v>98</v>
      </c>
      <c r="K960" t="s">
        <v>99</v>
      </c>
      <c r="L960" t="s">
        <v>127</v>
      </c>
      <c r="M960" t="s">
        <v>79</v>
      </c>
      <c r="N960">
        <v>1</v>
      </c>
      <c r="O960" t="s">
        <v>80</v>
      </c>
      <c r="P960" s="48">
        <v>13958.92</v>
      </c>
      <c r="Q960" s="48">
        <v>2519.16</v>
      </c>
      <c r="R960" s="48">
        <v>866.17</v>
      </c>
      <c r="S960" s="48">
        <v>267.8</v>
      </c>
      <c r="T960" s="48">
        <v>139.59</v>
      </c>
      <c r="U960" s="48">
        <v>428.55</v>
      </c>
      <c r="V960" s="48">
        <v>411.54</v>
      </c>
      <c r="W960" s="48">
        <v>9326.11</v>
      </c>
      <c r="X960">
        <v>0</v>
      </c>
      <c r="Y960" t="s">
        <v>45</v>
      </c>
      <c r="Z960">
        <v>20.99</v>
      </c>
      <c r="AA960" t="s">
        <v>46</v>
      </c>
      <c r="AB960" t="s">
        <v>92</v>
      </c>
      <c r="AC960" t="s">
        <v>70</v>
      </c>
      <c r="AD960" t="s">
        <v>61</v>
      </c>
      <c r="AE960" t="s">
        <v>102</v>
      </c>
      <c r="AF960" s="5">
        <f>DATE(YEAR(C960),MONTH(C960),1)</f>
        <v>45717</v>
      </c>
      <c r="AG960">
        <f>E960-D960</f>
        <v>14</v>
      </c>
      <c r="AH960" s="6">
        <f t="shared" si="14"/>
        <v>66.811114326896359</v>
      </c>
    </row>
    <row r="961" spans="1:34">
      <c r="A961" t="s">
        <v>2035</v>
      </c>
      <c r="B961" t="s">
        <v>2036</v>
      </c>
      <c r="C961" s="1">
        <v>45948</v>
      </c>
      <c r="D961" s="1">
        <v>45951</v>
      </c>
      <c r="E961" s="1">
        <v>45964</v>
      </c>
      <c r="F961" t="s">
        <v>138</v>
      </c>
      <c r="G961" t="s">
        <v>139</v>
      </c>
      <c r="H961" t="s">
        <v>76</v>
      </c>
      <c r="I961" t="s">
        <v>115</v>
      </c>
      <c r="J961" t="s">
        <v>98</v>
      </c>
      <c r="K961" t="s">
        <v>99</v>
      </c>
      <c r="L961" t="s">
        <v>59</v>
      </c>
      <c r="M961" t="s">
        <v>68</v>
      </c>
      <c r="N961">
        <v>1</v>
      </c>
      <c r="O961" t="s">
        <v>89</v>
      </c>
      <c r="P961" s="48">
        <v>9830.91</v>
      </c>
      <c r="Q961" s="48">
        <v>2508.3000000000002</v>
      </c>
      <c r="R961" s="48">
        <v>622.15</v>
      </c>
      <c r="S961" s="48">
        <v>162.82</v>
      </c>
      <c r="T961" s="48">
        <v>98.31</v>
      </c>
      <c r="U961" s="48">
        <v>276.27999999999997</v>
      </c>
      <c r="V961" s="48">
        <v>410.77</v>
      </c>
      <c r="W961" s="48">
        <v>5752.28</v>
      </c>
      <c r="X961">
        <v>0</v>
      </c>
      <c r="Y961" t="s">
        <v>45</v>
      </c>
      <c r="Z961">
        <v>20.9</v>
      </c>
      <c r="AA961" t="s">
        <v>46</v>
      </c>
      <c r="AB961" t="s">
        <v>47</v>
      </c>
      <c r="AC961" t="s">
        <v>60</v>
      </c>
      <c r="AD961" t="s">
        <v>93</v>
      </c>
      <c r="AE961" t="s">
        <v>62</v>
      </c>
      <c r="AF961" s="5">
        <f>DATE(YEAR(C961),MONTH(C961),1)</f>
        <v>45931</v>
      </c>
      <c r="AG961">
        <f>E961-D961</f>
        <v>13</v>
      </c>
      <c r="AH961" s="6">
        <f t="shared" si="14"/>
        <v>58.512182493787449</v>
      </c>
    </row>
    <row r="962" spans="1:34">
      <c r="A962" t="s">
        <v>2037</v>
      </c>
      <c r="B962" t="s">
        <v>2038</v>
      </c>
      <c r="C962" s="1">
        <v>45791</v>
      </c>
      <c r="D962" s="1">
        <v>45792</v>
      </c>
      <c r="E962" s="1">
        <v>45813</v>
      </c>
      <c r="F962" t="s">
        <v>180</v>
      </c>
      <c r="G962" t="s">
        <v>181</v>
      </c>
      <c r="H962" t="s">
        <v>38</v>
      </c>
      <c r="I962" t="s">
        <v>77</v>
      </c>
      <c r="J962" t="s">
        <v>57</v>
      </c>
      <c r="K962" t="s">
        <v>41</v>
      </c>
      <c r="L962" t="s">
        <v>155</v>
      </c>
      <c r="M962" t="s">
        <v>68</v>
      </c>
      <c r="N962">
        <v>1</v>
      </c>
      <c r="O962" t="s">
        <v>80</v>
      </c>
      <c r="P962" s="48">
        <v>12916.82</v>
      </c>
      <c r="Q962" s="48">
        <v>2502.7600000000002</v>
      </c>
      <c r="R962" s="48">
        <v>910.62</v>
      </c>
      <c r="S962" s="48">
        <v>331.93</v>
      </c>
      <c r="T962" s="48">
        <v>129.16999999999999</v>
      </c>
      <c r="U962" s="48">
        <v>726.51</v>
      </c>
      <c r="V962" s="48">
        <v>1584.97</v>
      </c>
      <c r="W962" s="48">
        <v>6730.86</v>
      </c>
      <c r="X962">
        <v>0</v>
      </c>
      <c r="Y962" t="s">
        <v>45</v>
      </c>
      <c r="Z962">
        <v>20.86</v>
      </c>
      <c r="AA962" t="s">
        <v>46</v>
      </c>
      <c r="AB962" t="s">
        <v>47</v>
      </c>
      <c r="AC962" t="s">
        <v>60</v>
      </c>
      <c r="AD962" t="s">
        <v>144</v>
      </c>
      <c r="AE962" t="s">
        <v>71</v>
      </c>
      <c r="AF962" s="5">
        <f>DATE(YEAR(C962),MONTH(C962),1)</f>
        <v>45778</v>
      </c>
      <c r="AG962">
        <f>E962-D962</f>
        <v>21</v>
      </c>
      <c r="AH962" s="6">
        <f t="shared" si="14"/>
        <v>52.109265283560504</v>
      </c>
    </row>
    <row r="963" spans="1:34">
      <c r="A963" t="s">
        <v>2039</v>
      </c>
      <c r="B963" t="s">
        <v>2040</v>
      </c>
      <c r="C963" s="1">
        <v>45764</v>
      </c>
      <c r="D963" s="1">
        <v>45765</v>
      </c>
      <c r="E963" s="1">
        <v>45791</v>
      </c>
      <c r="F963" t="s">
        <v>180</v>
      </c>
      <c r="G963" t="s">
        <v>181</v>
      </c>
      <c r="H963" t="s">
        <v>38</v>
      </c>
      <c r="I963" t="s">
        <v>115</v>
      </c>
      <c r="J963" t="s">
        <v>122</v>
      </c>
      <c r="K963" t="s">
        <v>41</v>
      </c>
      <c r="L963" t="s">
        <v>100</v>
      </c>
      <c r="M963" t="s">
        <v>43</v>
      </c>
      <c r="N963">
        <v>1</v>
      </c>
      <c r="O963" t="s">
        <v>80</v>
      </c>
      <c r="P963" s="48">
        <v>11823.08</v>
      </c>
      <c r="Q963" s="48">
        <v>2480.19</v>
      </c>
      <c r="R963" s="48">
        <v>603.64</v>
      </c>
      <c r="S963" s="48">
        <v>137.72</v>
      </c>
      <c r="T963" s="48">
        <v>118.23</v>
      </c>
      <c r="U963" s="48">
        <v>824.84</v>
      </c>
      <c r="V963" s="48">
        <v>2097.13</v>
      </c>
      <c r="W963" s="48">
        <v>5561.33</v>
      </c>
      <c r="X963">
        <v>8</v>
      </c>
      <c r="Y963" t="s">
        <v>135</v>
      </c>
      <c r="Z963">
        <v>20.67</v>
      </c>
      <c r="AA963" t="s">
        <v>91</v>
      </c>
      <c r="AB963" t="s">
        <v>92</v>
      </c>
      <c r="AC963" t="s">
        <v>70</v>
      </c>
      <c r="AD963" t="s">
        <v>93</v>
      </c>
      <c r="AE963" t="s">
        <v>102</v>
      </c>
      <c r="AF963" s="5">
        <f>DATE(YEAR(C963),MONTH(C963),1)</f>
        <v>45748</v>
      </c>
      <c r="AG963">
        <f>E963-D963</f>
        <v>26</v>
      </c>
      <c r="AH963" s="6">
        <f t="shared" ref="AH963:AH1001" si="15">W963/P963*100</f>
        <v>47.037912286815278</v>
      </c>
    </row>
    <row r="964" spans="1:34">
      <c r="A964" t="s">
        <v>2041</v>
      </c>
      <c r="B964" t="s">
        <v>2042</v>
      </c>
      <c r="C964" s="1">
        <v>45955</v>
      </c>
      <c r="D964" s="1">
        <v>45958</v>
      </c>
      <c r="E964" s="1">
        <v>45978</v>
      </c>
      <c r="F964" t="s">
        <v>234</v>
      </c>
      <c r="G964" t="s">
        <v>111</v>
      </c>
      <c r="H964" t="s">
        <v>150</v>
      </c>
      <c r="I964" t="s">
        <v>115</v>
      </c>
      <c r="J964" t="s">
        <v>98</v>
      </c>
      <c r="K964" t="s">
        <v>99</v>
      </c>
      <c r="L964" t="s">
        <v>42</v>
      </c>
      <c r="M964" t="s">
        <v>108</v>
      </c>
      <c r="N964">
        <v>2</v>
      </c>
      <c r="O964" t="s">
        <v>44</v>
      </c>
      <c r="P964" s="48">
        <v>12685.82</v>
      </c>
      <c r="Q964" s="48">
        <v>2471.71</v>
      </c>
      <c r="R964" s="48">
        <v>725.86</v>
      </c>
      <c r="S964" s="48">
        <v>187.58</v>
      </c>
      <c r="T964" s="48">
        <v>126.86</v>
      </c>
      <c r="U964" s="48">
        <v>168.6</v>
      </c>
      <c r="V964" s="48">
        <v>1098.27</v>
      </c>
      <c r="W964" s="48">
        <v>7906.94</v>
      </c>
      <c r="X964">
        <v>0</v>
      </c>
      <c r="Y964" t="s">
        <v>45</v>
      </c>
      <c r="Z964">
        <v>20.6</v>
      </c>
      <c r="AA964" t="s">
        <v>46</v>
      </c>
      <c r="AB964" t="s">
        <v>47</v>
      </c>
      <c r="AC964" t="s">
        <v>60</v>
      </c>
      <c r="AD964" t="s">
        <v>130</v>
      </c>
      <c r="AE964" t="s">
        <v>62</v>
      </c>
      <c r="AF964" s="5">
        <f>DATE(YEAR(C964),MONTH(C964),1)</f>
        <v>45931</v>
      </c>
      <c r="AG964">
        <f>E964-D964</f>
        <v>20</v>
      </c>
      <c r="AH964" s="6">
        <f t="shared" si="15"/>
        <v>62.328962573960531</v>
      </c>
    </row>
    <row r="965" spans="1:34">
      <c r="A965" t="s">
        <v>2043</v>
      </c>
      <c r="B965" t="s">
        <v>2044</v>
      </c>
      <c r="C965" s="1">
        <v>45717</v>
      </c>
      <c r="D965" s="1">
        <v>45721</v>
      </c>
      <c r="E965" s="1">
        <v>45734</v>
      </c>
      <c r="F965" t="s">
        <v>53</v>
      </c>
      <c r="G965" t="s">
        <v>54</v>
      </c>
      <c r="H965" t="s">
        <v>55</v>
      </c>
      <c r="I965" t="s">
        <v>115</v>
      </c>
      <c r="J965" t="s">
        <v>115</v>
      </c>
      <c r="K965" t="s">
        <v>41</v>
      </c>
      <c r="L965" t="s">
        <v>100</v>
      </c>
      <c r="M965" t="s">
        <v>43</v>
      </c>
      <c r="N965">
        <v>1</v>
      </c>
      <c r="O965" t="s">
        <v>80</v>
      </c>
      <c r="P965" s="48">
        <v>12015.64</v>
      </c>
      <c r="Q965" s="48">
        <v>2447.2199999999998</v>
      </c>
      <c r="R965" s="48">
        <v>829.46</v>
      </c>
      <c r="S965" s="48">
        <v>275.87</v>
      </c>
      <c r="T965" s="48">
        <v>120.16</v>
      </c>
      <c r="U965" s="48">
        <v>837.53</v>
      </c>
      <c r="V965" s="48">
        <v>1463.48</v>
      </c>
      <c r="W965" s="48">
        <v>6041.92</v>
      </c>
      <c r="X965">
        <v>0</v>
      </c>
      <c r="Y965" t="s">
        <v>45</v>
      </c>
      <c r="Z965">
        <v>20.39</v>
      </c>
      <c r="AA965" t="s">
        <v>46</v>
      </c>
      <c r="AB965" t="s">
        <v>47</v>
      </c>
      <c r="AC965" t="s">
        <v>70</v>
      </c>
      <c r="AD965" t="s">
        <v>61</v>
      </c>
      <c r="AE965" t="s">
        <v>102</v>
      </c>
      <c r="AF965" s="5">
        <f>DATE(YEAR(C965),MONTH(C965),1)</f>
        <v>45717</v>
      </c>
      <c r="AG965">
        <f>E965-D965</f>
        <v>13</v>
      </c>
      <c r="AH965" s="6">
        <f t="shared" si="15"/>
        <v>50.283796784857074</v>
      </c>
    </row>
    <row r="966" spans="1:34">
      <c r="A966" t="s">
        <v>2045</v>
      </c>
      <c r="B966" t="s">
        <v>2046</v>
      </c>
      <c r="C966" s="1">
        <v>45816</v>
      </c>
      <c r="D966" s="1">
        <v>45817</v>
      </c>
      <c r="E966" s="1">
        <v>45831</v>
      </c>
      <c r="F966" t="s">
        <v>138</v>
      </c>
      <c r="G966" t="s">
        <v>139</v>
      </c>
      <c r="H966" t="s">
        <v>76</v>
      </c>
      <c r="I966" t="s">
        <v>115</v>
      </c>
      <c r="J966" t="s">
        <v>98</v>
      </c>
      <c r="K966" t="s">
        <v>99</v>
      </c>
      <c r="L966" t="s">
        <v>78</v>
      </c>
      <c r="M966" t="s">
        <v>68</v>
      </c>
      <c r="N966">
        <v>1</v>
      </c>
      <c r="O966" t="s">
        <v>89</v>
      </c>
      <c r="P966" s="48">
        <v>12762.59</v>
      </c>
      <c r="Q966" s="48">
        <v>2445.5700000000002</v>
      </c>
      <c r="R966" s="48">
        <v>638.04</v>
      </c>
      <c r="S966" s="48">
        <v>208.12</v>
      </c>
      <c r="T966" s="48">
        <v>127.63</v>
      </c>
      <c r="U966" s="48">
        <v>119.16</v>
      </c>
      <c r="V966" s="48">
        <v>1736.81</v>
      </c>
      <c r="W966" s="48">
        <v>7487.26</v>
      </c>
      <c r="X966">
        <v>36</v>
      </c>
      <c r="Y966" t="s">
        <v>101</v>
      </c>
      <c r="Z966">
        <v>20.38</v>
      </c>
      <c r="AA966" t="s">
        <v>91</v>
      </c>
      <c r="AB966" t="s">
        <v>47</v>
      </c>
      <c r="AC966" t="s">
        <v>48</v>
      </c>
      <c r="AD966" t="s">
        <v>93</v>
      </c>
      <c r="AE966" t="s">
        <v>50</v>
      </c>
      <c r="AF966" s="5">
        <f>DATE(YEAR(C966),MONTH(C966),1)</f>
        <v>45809</v>
      </c>
      <c r="AG966">
        <f>E966-D966</f>
        <v>14</v>
      </c>
      <c r="AH966" s="6">
        <f t="shared" si="15"/>
        <v>58.665678361523796</v>
      </c>
    </row>
    <row r="967" spans="1:34">
      <c r="A967" t="s">
        <v>2047</v>
      </c>
      <c r="B967" t="s">
        <v>2048</v>
      </c>
      <c r="C967" s="1">
        <v>45745</v>
      </c>
      <c r="D967" s="1">
        <v>45747</v>
      </c>
      <c r="E967" s="1">
        <v>45761</v>
      </c>
      <c r="F967" t="s">
        <v>180</v>
      </c>
      <c r="G967" t="s">
        <v>181</v>
      </c>
      <c r="H967" t="s">
        <v>38</v>
      </c>
      <c r="I967" t="s">
        <v>56</v>
      </c>
      <c r="J967" t="s">
        <v>57</v>
      </c>
      <c r="K967" t="s">
        <v>58</v>
      </c>
      <c r="L967" t="s">
        <v>78</v>
      </c>
      <c r="M967" t="s">
        <v>79</v>
      </c>
      <c r="N967">
        <v>2</v>
      </c>
      <c r="O967" t="s">
        <v>80</v>
      </c>
      <c r="P967" s="48">
        <v>14093</v>
      </c>
      <c r="Q967" s="48">
        <v>2431.1799999999998</v>
      </c>
      <c r="R967" s="48">
        <v>865.39</v>
      </c>
      <c r="S967" s="48">
        <v>378.75</v>
      </c>
      <c r="T967" s="48">
        <v>140.93</v>
      </c>
      <c r="U967" s="48">
        <v>523.36</v>
      </c>
      <c r="V967" s="48">
        <v>2372.41</v>
      </c>
      <c r="W967" s="48">
        <v>7380.98</v>
      </c>
      <c r="X967">
        <v>0</v>
      </c>
      <c r="Y967" t="s">
        <v>45</v>
      </c>
      <c r="Z967">
        <v>20.260000000000002</v>
      </c>
      <c r="AA967" t="s">
        <v>46</v>
      </c>
      <c r="AB967" t="s">
        <v>92</v>
      </c>
      <c r="AC967" t="s">
        <v>60</v>
      </c>
      <c r="AD967" t="s">
        <v>49</v>
      </c>
      <c r="AE967" t="s">
        <v>50</v>
      </c>
      <c r="AF967" s="5">
        <f>DATE(YEAR(C967),MONTH(C967),1)</f>
        <v>45717</v>
      </c>
      <c r="AG967">
        <f>E967-D967</f>
        <v>14</v>
      </c>
      <c r="AH967" s="6">
        <f t="shared" si="15"/>
        <v>52.373376853757179</v>
      </c>
    </row>
    <row r="968" spans="1:34">
      <c r="A968" t="s">
        <v>2049</v>
      </c>
      <c r="B968" t="s">
        <v>2050</v>
      </c>
      <c r="C968" s="1">
        <v>45752</v>
      </c>
      <c r="D968" s="1">
        <v>45755</v>
      </c>
      <c r="E968" s="1">
        <v>45782</v>
      </c>
      <c r="F968" t="s">
        <v>96</v>
      </c>
      <c r="G968" t="s">
        <v>97</v>
      </c>
      <c r="H968" t="s">
        <v>76</v>
      </c>
      <c r="I968" t="s">
        <v>115</v>
      </c>
      <c r="J968" t="s">
        <v>98</v>
      </c>
      <c r="K968" t="s">
        <v>99</v>
      </c>
      <c r="L968" t="s">
        <v>124</v>
      </c>
      <c r="M968" t="s">
        <v>79</v>
      </c>
      <c r="N968">
        <v>2</v>
      </c>
      <c r="O968" t="s">
        <v>89</v>
      </c>
      <c r="P968" s="48">
        <v>12813</v>
      </c>
      <c r="Q968" s="48">
        <v>2411.06</v>
      </c>
      <c r="R968" s="48">
        <v>950.19</v>
      </c>
      <c r="S968" s="48">
        <v>220.53</v>
      </c>
      <c r="T968" s="48">
        <v>128.13</v>
      </c>
      <c r="U968" s="48">
        <v>281.91000000000003</v>
      </c>
      <c r="V968" s="48">
        <v>1476.45</v>
      </c>
      <c r="W968" s="48">
        <v>7344.73</v>
      </c>
      <c r="X968">
        <v>0</v>
      </c>
      <c r="Y968" t="s">
        <v>45</v>
      </c>
      <c r="Z968">
        <v>20.09</v>
      </c>
      <c r="AA968" t="s">
        <v>46</v>
      </c>
      <c r="AB968" t="s">
        <v>47</v>
      </c>
      <c r="AC968" t="s">
        <v>70</v>
      </c>
      <c r="AD968" t="s">
        <v>130</v>
      </c>
      <c r="AE968" t="s">
        <v>62</v>
      </c>
      <c r="AF968" s="5">
        <f>DATE(YEAR(C968),MONTH(C968),1)</f>
        <v>45748</v>
      </c>
      <c r="AG968">
        <f>E968-D968</f>
        <v>27</v>
      </c>
      <c r="AH968" s="6">
        <f t="shared" si="15"/>
        <v>57.322484976196044</v>
      </c>
    </row>
    <row r="969" spans="1:34">
      <c r="A969" t="s">
        <v>2051</v>
      </c>
      <c r="B969" t="s">
        <v>2052</v>
      </c>
      <c r="C969" s="1">
        <v>45985</v>
      </c>
      <c r="D969" s="1">
        <v>45988</v>
      </c>
      <c r="E969" s="1">
        <v>45999</v>
      </c>
      <c r="F969" t="s">
        <v>153</v>
      </c>
      <c r="G969" t="s">
        <v>75</v>
      </c>
      <c r="H969" t="s">
        <v>154</v>
      </c>
      <c r="I969" t="s">
        <v>115</v>
      </c>
      <c r="J969" t="s">
        <v>115</v>
      </c>
      <c r="K969" t="s">
        <v>41</v>
      </c>
      <c r="L969" t="s">
        <v>124</v>
      </c>
      <c r="M969" t="s">
        <v>43</v>
      </c>
      <c r="N969">
        <v>1</v>
      </c>
      <c r="O969" t="s">
        <v>105</v>
      </c>
      <c r="P969" s="48">
        <v>12841.27</v>
      </c>
      <c r="Q969" s="48">
        <v>2399.35</v>
      </c>
      <c r="R969" s="48">
        <v>895.49</v>
      </c>
      <c r="S969" s="48">
        <v>360.78</v>
      </c>
      <c r="T969" s="48">
        <v>128.41</v>
      </c>
      <c r="U969" s="48">
        <v>410.26</v>
      </c>
      <c r="V969" s="48">
        <v>2214.91</v>
      </c>
      <c r="W969" s="48">
        <v>6432.07</v>
      </c>
      <c r="X969">
        <v>24</v>
      </c>
      <c r="Y969" t="s">
        <v>90</v>
      </c>
      <c r="Z969">
        <v>19.989999999999998</v>
      </c>
      <c r="AA969" t="s">
        <v>91</v>
      </c>
      <c r="AB969" t="s">
        <v>92</v>
      </c>
      <c r="AC969" t="s">
        <v>60</v>
      </c>
      <c r="AD969" t="s">
        <v>61</v>
      </c>
      <c r="AE969" t="s">
        <v>50</v>
      </c>
      <c r="AF969" s="5">
        <f>DATE(YEAR(C969),MONTH(C969),1)</f>
        <v>45962</v>
      </c>
      <c r="AG969">
        <f>E969-D969</f>
        <v>11</v>
      </c>
      <c r="AH969" s="6">
        <f t="shared" si="15"/>
        <v>50.089048824610025</v>
      </c>
    </row>
    <row r="970" spans="1:34">
      <c r="A970" t="s">
        <v>2053</v>
      </c>
      <c r="B970" t="s">
        <v>2054</v>
      </c>
      <c r="C970" s="1">
        <v>45913</v>
      </c>
      <c r="D970" s="1">
        <v>45917</v>
      </c>
      <c r="E970" s="1">
        <v>45931</v>
      </c>
      <c r="F970" t="s">
        <v>234</v>
      </c>
      <c r="G970" t="s">
        <v>111</v>
      </c>
      <c r="H970" t="s">
        <v>150</v>
      </c>
      <c r="I970" t="s">
        <v>56</v>
      </c>
      <c r="J970" t="s">
        <v>98</v>
      </c>
      <c r="K970" t="s">
        <v>41</v>
      </c>
      <c r="L970" t="s">
        <v>42</v>
      </c>
      <c r="M970" t="s">
        <v>79</v>
      </c>
      <c r="N970">
        <v>1</v>
      </c>
      <c r="O970" t="s">
        <v>89</v>
      </c>
      <c r="P970" s="48">
        <v>13076.28</v>
      </c>
      <c r="Q970" s="48">
        <v>2389.67</v>
      </c>
      <c r="R970" s="48">
        <v>566.41</v>
      </c>
      <c r="S970" s="48">
        <v>193.18</v>
      </c>
      <c r="T970" s="48">
        <v>130.76</v>
      </c>
      <c r="U970" s="48">
        <v>203.39</v>
      </c>
      <c r="V970" s="48">
        <v>1167.44</v>
      </c>
      <c r="W970" s="48">
        <v>8425.43</v>
      </c>
      <c r="X970">
        <v>24</v>
      </c>
      <c r="Y970" t="s">
        <v>101</v>
      </c>
      <c r="Z970">
        <v>19.91</v>
      </c>
      <c r="AA970" t="s">
        <v>91</v>
      </c>
      <c r="AB970" t="s">
        <v>47</v>
      </c>
      <c r="AC970" t="s">
        <v>70</v>
      </c>
      <c r="AD970" t="s">
        <v>49</v>
      </c>
      <c r="AE970" t="s">
        <v>50</v>
      </c>
      <c r="AF970" s="5">
        <f>DATE(YEAR(C970),MONTH(C970),1)</f>
        <v>45901</v>
      </c>
      <c r="AG970">
        <f>E970-D970</f>
        <v>14</v>
      </c>
      <c r="AH970" s="6">
        <f t="shared" si="15"/>
        <v>64.43292740748899</v>
      </c>
    </row>
    <row r="971" spans="1:34">
      <c r="A971" t="s">
        <v>2055</v>
      </c>
      <c r="B971" t="s">
        <v>2056</v>
      </c>
      <c r="C971" s="1">
        <v>45950</v>
      </c>
      <c r="D971" s="1">
        <v>45952</v>
      </c>
      <c r="E971" s="1">
        <v>45964</v>
      </c>
      <c r="F971" t="s">
        <v>138</v>
      </c>
      <c r="G971" t="s">
        <v>139</v>
      </c>
      <c r="H971" t="s">
        <v>76</v>
      </c>
      <c r="I971" t="s">
        <v>77</v>
      </c>
      <c r="J971" t="s">
        <v>86</v>
      </c>
      <c r="K971" t="s">
        <v>41</v>
      </c>
      <c r="L971" t="s">
        <v>42</v>
      </c>
      <c r="M971" t="s">
        <v>79</v>
      </c>
      <c r="N971">
        <v>2</v>
      </c>
      <c r="O971" t="s">
        <v>54</v>
      </c>
      <c r="P971" s="48">
        <v>12794.03</v>
      </c>
      <c r="Q971" s="48">
        <v>2379</v>
      </c>
      <c r="R971" s="48">
        <v>845.71</v>
      </c>
      <c r="S971" s="48">
        <v>376.03</v>
      </c>
      <c r="T971" s="48">
        <v>127.94</v>
      </c>
      <c r="U971" s="48">
        <v>829.32</v>
      </c>
      <c r="V971" s="48">
        <v>2387.39</v>
      </c>
      <c r="W971" s="48">
        <v>5848.64</v>
      </c>
      <c r="X971">
        <v>8</v>
      </c>
      <c r="Y971" t="s">
        <v>101</v>
      </c>
      <c r="Z971">
        <v>19.82</v>
      </c>
      <c r="AA971" t="s">
        <v>91</v>
      </c>
      <c r="AB971" t="s">
        <v>92</v>
      </c>
      <c r="AC971" t="s">
        <v>70</v>
      </c>
      <c r="AD971" t="s">
        <v>49</v>
      </c>
      <c r="AE971" t="s">
        <v>62</v>
      </c>
      <c r="AF971" s="5">
        <f>DATE(YEAR(C971),MONTH(C971),1)</f>
        <v>45931</v>
      </c>
      <c r="AG971">
        <f>E971-D971</f>
        <v>12</v>
      </c>
      <c r="AH971" s="6">
        <f t="shared" si="15"/>
        <v>45.713821211924625</v>
      </c>
    </row>
    <row r="972" spans="1:34">
      <c r="A972" t="s">
        <v>2057</v>
      </c>
      <c r="B972" t="s">
        <v>2058</v>
      </c>
      <c r="C972" s="1">
        <v>45812</v>
      </c>
      <c r="D972" s="1">
        <v>45815</v>
      </c>
      <c r="E972" s="1">
        <v>45827</v>
      </c>
      <c r="F972" t="s">
        <v>96</v>
      </c>
      <c r="G972" t="s">
        <v>97</v>
      </c>
      <c r="H972" t="s">
        <v>76</v>
      </c>
      <c r="I972" t="s">
        <v>56</v>
      </c>
      <c r="J972" t="s">
        <v>57</v>
      </c>
      <c r="K972" t="s">
        <v>58</v>
      </c>
      <c r="L972" t="s">
        <v>42</v>
      </c>
      <c r="M972" t="s">
        <v>108</v>
      </c>
      <c r="N972">
        <v>1</v>
      </c>
      <c r="O972" t="s">
        <v>80</v>
      </c>
      <c r="P972" s="48">
        <v>13014.53</v>
      </c>
      <c r="Q972" s="48">
        <v>2355.88</v>
      </c>
      <c r="R972" s="48">
        <v>857.06</v>
      </c>
      <c r="S972" s="48">
        <v>388.34</v>
      </c>
      <c r="T972" s="48">
        <v>130.15</v>
      </c>
      <c r="U972" s="48">
        <v>403.17</v>
      </c>
      <c r="V972" s="48">
        <v>1404.73</v>
      </c>
      <c r="W972" s="48">
        <v>7475.2</v>
      </c>
      <c r="X972">
        <v>12</v>
      </c>
      <c r="Y972" t="s">
        <v>112</v>
      </c>
      <c r="Z972">
        <v>19.63</v>
      </c>
      <c r="AA972" t="s">
        <v>91</v>
      </c>
      <c r="AB972" t="s">
        <v>47</v>
      </c>
      <c r="AC972" t="s">
        <v>70</v>
      </c>
      <c r="AD972" t="s">
        <v>61</v>
      </c>
      <c r="AE972" t="s">
        <v>102</v>
      </c>
      <c r="AF972" s="5">
        <f>DATE(YEAR(C972),MONTH(C972),1)</f>
        <v>45809</v>
      </c>
      <c r="AG972">
        <f>E972-D972</f>
        <v>12</v>
      </c>
      <c r="AH972" s="6">
        <f t="shared" si="15"/>
        <v>57.437341187119316</v>
      </c>
    </row>
    <row r="973" spans="1:34">
      <c r="A973" t="s">
        <v>2059</v>
      </c>
      <c r="B973" t="s">
        <v>2060</v>
      </c>
      <c r="C973" s="1">
        <v>45967</v>
      </c>
      <c r="D973" s="1">
        <v>45968</v>
      </c>
      <c r="E973" s="1">
        <v>45988</v>
      </c>
      <c r="F973" t="s">
        <v>74</v>
      </c>
      <c r="G973" t="s">
        <v>75</v>
      </c>
      <c r="H973" t="s">
        <v>76</v>
      </c>
      <c r="I973" t="s">
        <v>86</v>
      </c>
      <c r="J973" t="s">
        <v>87</v>
      </c>
      <c r="K973" t="s">
        <v>88</v>
      </c>
      <c r="L973" t="s">
        <v>78</v>
      </c>
      <c r="M973" t="s">
        <v>43</v>
      </c>
      <c r="N973">
        <v>2</v>
      </c>
      <c r="O973" t="s">
        <v>80</v>
      </c>
      <c r="P973" s="48">
        <v>13896.53</v>
      </c>
      <c r="Q973" s="48">
        <v>2348.77</v>
      </c>
      <c r="R973" s="48">
        <v>621.23</v>
      </c>
      <c r="S973" s="48">
        <v>237.04</v>
      </c>
      <c r="T973" s="48">
        <v>138.97</v>
      </c>
      <c r="U973" s="48">
        <v>139.88</v>
      </c>
      <c r="V973" s="48">
        <v>770.1</v>
      </c>
      <c r="W973" s="48">
        <v>9640.5400000000009</v>
      </c>
      <c r="X973">
        <v>12</v>
      </c>
      <c r="Y973" t="s">
        <v>101</v>
      </c>
      <c r="Z973">
        <v>19.57</v>
      </c>
      <c r="AA973" t="s">
        <v>91</v>
      </c>
      <c r="AB973" t="s">
        <v>47</v>
      </c>
      <c r="AC973" t="s">
        <v>48</v>
      </c>
      <c r="AD973" t="s">
        <v>130</v>
      </c>
      <c r="AE973" t="s">
        <v>50</v>
      </c>
      <c r="AF973" s="5">
        <f>DATE(YEAR(C973),MONTH(C973),1)</f>
        <v>45962</v>
      </c>
      <c r="AG973">
        <f>E973-D973</f>
        <v>20</v>
      </c>
      <c r="AH973" s="6">
        <f t="shared" si="15"/>
        <v>69.373721353460184</v>
      </c>
    </row>
    <row r="974" spans="1:34">
      <c r="A974" t="s">
        <v>2061</v>
      </c>
      <c r="B974" t="s">
        <v>2062</v>
      </c>
      <c r="C974" s="1">
        <v>45990</v>
      </c>
      <c r="D974" s="1">
        <v>45994</v>
      </c>
      <c r="E974" s="1">
        <v>46019</v>
      </c>
      <c r="F974" t="s">
        <v>138</v>
      </c>
      <c r="G974" t="s">
        <v>139</v>
      </c>
      <c r="H974" t="s">
        <v>76</v>
      </c>
      <c r="I974" t="s">
        <v>56</v>
      </c>
      <c r="J974" t="s">
        <v>57</v>
      </c>
      <c r="K974" t="s">
        <v>58</v>
      </c>
      <c r="L974" t="s">
        <v>100</v>
      </c>
      <c r="M974" t="s">
        <v>108</v>
      </c>
      <c r="N974">
        <v>1</v>
      </c>
      <c r="O974" t="s">
        <v>80</v>
      </c>
      <c r="P974" s="48">
        <v>7809.72</v>
      </c>
      <c r="Q974" s="48">
        <v>2330.21</v>
      </c>
      <c r="R974" s="48">
        <v>510.4</v>
      </c>
      <c r="S974" s="48">
        <v>161.43</v>
      </c>
      <c r="T974" s="48">
        <v>78.099999999999994</v>
      </c>
      <c r="U974" s="48">
        <v>123.6</v>
      </c>
      <c r="V974" s="48">
        <v>721.06</v>
      </c>
      <c r="W974" s="48">
        <v>3884.92</v>
      </c>
      <c r="X974">
        <v>12</v>
      </c>
      <c r="Y974" t="s">
        <v>101</v>
      </c>
      <c r="Z974">
        <v>19.420000000000002</v>
      </c>
      <c r="AA974" t="s">
        <v>91</v>
      </c>
      <c r="AB974" t="s">
        <v>92</v>
      </c>
      <c r="AC974" t="s">
        <v>60</v>
      </c>
      <c r="AD974" t="s">
        <v>93</v>
      </c>
      <c r="AE974" t="s">
        <v>71</v>
      </c>
      <c r="AF974" s="5">
        <f>DATE(YEAR(C974),MONTH(C974),1)</f>
        <v>45962</v>
      </c>
      <c r="AG974">
        <f>E974-D974</f>
        <v>25</v>
      </c>
      <c r="AH974" s="6">
        <f t="shared" si="15"/>
        <v>49.744677145915603</v>
      </c>
    </row>
    <row r="975" spans="1:34">
      <c r="A975" t="s">
        <v>2063</v>
      </c>
      <c r="B975" t="s">
        <v>2064</v>
      </c>
      <c r="C975" s="1">
        <v>45717</v>
      </c>
      <c r="D975" s="1">
        <v>45718</v>
      </c>
      <c r="E975" s="1">
        <v>45732</v>
      </c>
      <c r="F975" t="s">
        <v>74</v>
      </c>
      <c r="G975" t="s">
        <v>75</v>
      </c>
      <c r="H975" t="s">
        <v>76</v>
      </c>
      <c r="I975" t="s">
        <v>56</v>
      </c>
      <c r="J975" t="s">
        <v>57</v>
      </c>
      <c r="K975" t="s">
        <v>58</v>
      </c>
      <c r="L975" t="s">
        <v>42</v>
      </c>
      <c r="M975" t="s">
        <v>68</v>
      </c>
      <c r="N975">
        <v>2</v>
      </c>
      <c r="O975" t="s">
        <v>54</v>
      </c>
      <c r="P975" s="48">
        <v>12347.49</v>
      </c>
      <c r="Q975" s="48">
        <v>2317.04</v>
      </c>
      <c r="R975" s="48">
        <v>896.33</v>
      </c>
      <c r="S975" s="48">
        <v>267.44</v>
      </c>
      <c r="T975" s="48">
        <v>123.47</v>
      </c>
      <c r="U975" s="48">
        <v>757.53</v>
      </c>
      <c r="V975" s="48">
        <v>1164.08</v>
      </c>
      <c r="W975" s="48">
        <v>6821.6</v>
      </c>
      <c r="X975">
        <v>24</v>
      </c>
      <c r="Y975" t="s">
        <v>135</v>
      </c>
      <c r="Z975">
        <v>19.309999999999999</v>
      </c>
      <c r="AA975" t="s">
        <v>91</v>
      </c>
      <c r="AB975" t="s">
        <v>92</v>
      </c>
      <c r="AC975" t="s">
        <v>48</v>
      </c>
      <c r="AD975" t="s">
        <v>61</v>
      </c>
      <c r="AE975" t="s">
        <v>50</v>
      </c>
      <c r="AF975" s="5">
        <f>DATE(YEAR(C975),MONTH(C975),1)</f>
        <v>45717</v>
      </c>
      <c r="AG975">
        <f>E975-D975</f>
        <v>14</v>
      </c>
      <c r="AH975" s="6">
        <f t="shared" si="15"/>
        <v>55.246855838717025</v>
      </c>
    </row>
    <row r="976" spans="1:34">
      <c r="A976" t="s">
        <v>2065</v>
      </c>
      <c r="B976" t="s">
        <v>2066</v>
      </c>
      <c r="C976" s="1">
        <v>45964</v>
      </c>
      <c r="D976" s="1">
        <v>45965</v>
      </c>
      <c r="E976" s="1">
        <v>45977</v>
      </c>
      <c r="F976" t="s">
        <v>120</v>
      </c>
      <c r="G976" t="s">
        <v>75</v>
      </c>
      <c r="H976" t="s">
        <v>121</v>
      </c>
      <c r="I976" t="s">
        <v>40</v>
      </c>
      <c r="J976" t="s">
        <v>122</v>
      </c>
      <c r="K976" t="s">
        <v>123</v>
      </c>
      <c r="L976" t="s">
        <v>42</v>
      </c>
      <c r="M976" t="s">
        <v>108</v>
      </c>
      <c r="N976">
        <v>1</v>
      </c>
      <c r="O976" t="s">
        <v>89</v>
      </c>
      <c r="P976" s="48">
        <v>12294.77</v>
      </c>
      <c r="Q976" s="48">
        <v>2294.77</v>
      </c>
      <c r="R976" s="48">
        <v>887.97</v>
      </c>
      <c r="S976" s="48">
        <v>177.3</v>
      </c>
      <c r="T976" s="48">
        <v>122.95</v>
      </c>
      <c r="U976" s="48">
        <v>641.78</v>
      </c>
      <c r="V976" s="48">
        <v>2077.7199999999998</v>
      </c>
      <c r="W976" s="48">
        <v>6092.28</v>
      </c>
      <c r="X976">
        <v>8</v>
      </c>
      <c r="Y976" t="s">
        <v>112</v>
      </c>
      <c r="Z976">
        <v>19.12</v>
      </c>
      <c r="AA976" t="s">
        <v>91</v>
      </c>
      <c r="AB976" t="s">
        <v>92</v>
      </c>
      <c r="AC976" t="s">
        <v>70</v>
      </c>
      <c r="AD976" t="s">
        <v>130</v>
      </c>
      <c r="AE976" t="s">
        <v>62</v>
      </c>
      <c r="AF976" s="5">
        <f>DATE(YEAR(C976),MONTH(C976),1)</f>
        <v>45962</v>
      </c>
      <c r="AG976">
        <f>E976-D976</f>
        <v>12</v>
      </c>
      <c r="AH976" s="6">
        <f t="shared" si="15"/>
        <v>49.551801294371508</v>
      </c>
    </row>
    <row r="977" spans="1:34">
      <c r="A977" t="s">
        <v>2067</v>
      </c>
      <c r="B977" t="s">
        <v>2068</v>
      </c>
      <c r="C977" s="1">
        <v>45705</v>
      </c>
      <c r="D977" s="1">
        <v>45708</v>
      </c>
      <c r="E977" s="1">
        <v>45734</v>
      </c>
      <c r="F977" t="s">
        <v>74</v>
      </c>
      <c r="G977" t="s">
        <v>75</v>
      </c>
      <c r="H977" t="s">
        <v>76</v>
      </c>
      <c r="I977" t="s">
        <v>40</v>
      </c>
      <c r="J977" t="s">
        <v>122</v>
      </c>
      <c r="K977" t="s">
        <v>123</v>
      </c>
      <c r="L977" t="s">
        <v>124</v>
      </c>
      <c r="M977" t="s">
        <v>68</v>
      </c>
      <c r="N977">
        <v>1</v>
      </c>
      <c r="O977" t="s">
        <v>80</v>
      </c>
      <c r="P977" s="48">
        <v>11896.25</v>
      </c>
      <c r="Q977" s="48">
        <v>2266.8000000000002</v>
      </c>
      <c r="R977" s="48">
        <v>944.22</v>
      </c>
      <c r="S977" s="48">
        <v>301.57</v>
      </c>
      <c r="T977" s="48">
        <v>118.96</v>
      </c>
      <c r="U977" s="48">
        <v>501.61</v>
      </c>
      <c r="V977" s="48">
        <v>1317.22</v>
      </c>
      <c r="W977" s="48">
        <v>6445.87</v>
      </c>
      <c r="X977">
        <v>0</v>
      </c>
      <c r="Y977" t="s">
        <v>45</v>
      </c>
      <c r="Z977">
        <v>18.89</v>
      </c>
      <c r="AA977" t="s">
        <v>46</v>
      </c>
      <c r="AB977" t="s">
        <v>92</v>
      </c>
      <c r="AC977" t="s">
        <v>70</v>
      </c>
      <c r="AD977" t="s">
        <v>49</v>
      </c>
      <c r="AE977" t="s">
        <v>71</v>
      </c>
      <c r="AF977" s="5">
        <f>DATE(YEAR(C977),MONTH(C977),1)</f>
        <v>45689</v>
      </c>
      <c r="AG977">
        <f>E977-D977</f>
        <v>26</v>
      </c>
      <c r="AH977" s="6">
        <f t="shared" si="15"/>
        <v>54.184049595460749</v>
      </c>
    </row>
    <row r="978" spans="1:34">
      <c r="A978" t="s">
        <v>2069</v>
      </c>
      <c r="B978" t="s">
        <v>2070</v>
      </c>
      <c r="C978" s="1">
        <v>46013</v>
      </c>
      <c r="D978" s="1">
        <v>46015</v>
      </c>
      <c r="E978" s="1">
        <v>46028</v>
      </c>
      <c r="F978" t="s">
        <v>83</v>
      </c>
      <c r="G978" t="s">
        <v>84</v>
      </c>
      <c r="H978" t="s">
        <v>85</v>
      </c>
      <c r="I978" t="s">
        <v>57</v>
      </c>
      <c r="J978" t="s">
        <v>98</v>
      </c>
      <c r="K978" t="s">
        <v>99</v>
      </c>
      <c r="L978" t="s">
        <v>100</v>
      </c>
      <c r="M978" t="s">
        <v>79</v>
      </c>
      <c r="N978">
        <v>1</v>
      </c>
      <c r="O978" t="s">
        <v>80</v>
      </c>
      <c r="P978" s="48">
        <v>12004.98</v>
      </c>
      <c r="Q978" s="48">
        <v>2243.48</v>
      </c>
      <c r="R978" s="48">
        <v>694.31</v>
      </c>
      <c r="S978" s="48">
        <v>229.26</v>
      </c>
      <c r="T978" s="48">
        <v>120.05</v>
      </c>
      <c r="U978" s="48">
        <v>770.71</v>
      </c>
      <c r="V978" s="48">
        <v>1872.61</v>
      </c>
      <c r="W978" s="48">
        <v>6074.56</v>
      </c>
      <c r="X978">
        <v>4</v>
      </c>
      <c r="Y978" t="s">
        <v>117</v>
      </c>
      <c r="Z978">
        <v>18.7</v>
      </c>
      <c r="AA978" t="s">
        <v>91</v>
      </c>
      <c r="AB978" t="s">
        <v>92</v>
      </c>
      <c r="AC978" t="s">
        <v>60</v>
      </c>
      <c r="AD978" t="s">
        <v>49</v>
      </c>
      <c r="AE978" t="s">
        <v>102</v>
      </c>
      <c r="AF978" s="5">
        <f>DATE(YEAR(C978),MONTH(C978),1)</f>
        <v>45992</v>
      </c>
      <c r="AG978">
        <f>E978-D978</f>
        <v>13</v>
      </c>
      <c r="AH978" s="6">
        <f t="shared" si="15"/>
        <v>50.600334194642556</v>
      </c>
    </row>
    <row r="979" spans="1:34">
      <c r="A979" t="s">
        <v>2071</v>
      </c>
      <c r="B979" t="s">
        <v>2072</v>
      </c>
      <c r="C979" s="1">
        <v>45861</v>
      </c>
      <c r="D979" s="1">
        <v>45862</v>
      </c>
      <c r="E979" s="1">
        <v>45874</v>
      </c>
      <c r="F979" t="s">
        <v>65</v>
      </c>
      <c r="G979" t="s">
        <v>66</v>
      </c>
      <c r="H979" t="s">
        <v>67</v>
      </c>
      <c r="I979" t="s">
        <v>115</v>
      </c>
      <c r="J979" t="s">
        <v>98</v>
      </c>
      <c r="K979" t="s">
        <v>99</v>
      </c>
      <c r="L979" t="s">
        <v>127</v>
      </c>
      <c r="M979" t="s">
        <v>79</v>
      </c>
      <c r="N979">
        <v>1</v>
      </c>
      <c r="O979" t="s">
        <v>89</v>
      </c>
      <c r="P979" s="48">
        <v>11291.6</v>
      </c>
      <c r="Q979" s="48">
        <v>2094.6799999999998</v>
      </c>
      <c r="R979" s="48">
        <v>457.49</v>
      </c>
      <c r="S979" s="48">
        <v>206.53</v>
      </c>
      <c r="T979" s="48">
        <v>112.92</v>
      </c>
      <c r="U979" s="48">
        <v>182.6</v>
      </c>
      <c r="V979" s="48">
        <v>2288.61</v>
      </c>
      <c r="W979" s="48">
        <v>5948.77</v>
      </c>
      <c r="X979">
        <v>0</v>
      </c>
      <c r="Y979" t="s">
        <v>45</v>
      </c>
      <c r="Z979">
        <v>17.46</v>
      </c>
      <c r="AA979" t="s">
        <v>46</v>
      </c>
      <c r="AB979" t="s">
        <v>47</v>
      </c>
      <c r="AC979" t="s">
        <v>48</v>
      </c>
      <c r="AD979" t="s">
        <v>93</v>
      </c>
      <c r="AE979" t="s">
        <v>50</v>
      </c>
      <c r="AF979" s="5">
        <f>DATE(YEAR(C979),MONTH(C979),1)</f>
        <v>45839</v>
      </c>
      <c r="AG979">
        <f>E979-D979</f>
        <v>12</v>
      </c>
      <c r="AH979" s="6">
        <f t="shared" si="15"/>
        <v>52.683144992737965</v>
      </c>
    </row>
    <row r="980" spans="1:34">
      <c r="A980" t="s">
        <v>2073</v>
      </c>
      <c r="B980" t="s">
        <v>2074</v>
      </c>
      <c r="C980" s="1">
        <v>45928</v>
      </c>
      <c r="D980" s="1">
        <v>45930</v>
      </c>
      <c r="E980" s="1">
        <v>45957</v>
      </c>
      <c r="F980" t="s">
        <v>53</v>
      </c>
      <c r="G980" t="s">
        <v>54</v>
      </c>
      <c r="H980" t="s">
        <v>55</v>
      </c>
      <c r="I980" t="s">
        <v>57</v>
      </c>
      <c r="J980" t="s">
        <v>122</v>
      </c>
      <c r="K980" t="s">
        <v>41</v>
      </c>
      <c r="L980" t="s">
        <v>59</v>
      </c>
      <c r="M980" t="s">
        <v>43</v>
      </c>
      <c r="N980">
        <v>1</v>
      </c>
      <c r="O980" t="s">
        <v>44</v>
      </c>
      <c r="P980" s="48">
        <v>10977.46</v>
      </c>
      <c r="Q980" s="48">
        <v>2050.42</v>
      </c>
      <c r="R980" s="48">
        <v>675.03</v>
      </c>
      <c r="S980" s="48">
        <v>250.97</v>
      </c>
      <c r="T980" s="48">
        <v>109.77</v>
      </c>
      <c r="U980" s="48">
        <v>295.14999999999998</v>
      </c>
      <c r="V980" s="48">
        <v>2052.71</v>
      </c>
      <c r="W980" s="48">
        <v>5543.41</v>
      </c>
      <c r="X980">
        <v>0</v>
      </c>
      <c r="Y980" t="s">
        <v>45</v>
      </c>
      <c r="Z980">
        <v>17.09</v>
      </c>
      <c r="AA980" t="s">
        <v>46</v>
      </c>
      <c r="AB980" t="s">
        <v>92</v>
      </c>
      <c r="AC980" t="s">
        <v>48</v>
      </c>
      <c r="AD980" t="s">
        <v>144</v>
      </c>
      <c r="AE980" t="s">
        <v>71</v>
      </c>
      <c r="AF980" s="5">
        <f>DATE(YEAR(C980),MONTH(C980),1)</f>
        <v>45901</v>
      </c>
      <c r="AG980">
        <f>E980-D980</f>
        <v>27</v>
      </c>
      <c r="AH980" s="6">
        <f t="shared" si="15"/>
        <v>50.498111585011472</v>
      </c>
    </row>
    <row r="981" spans="1:34">
      <c r="A981" t="s">
        <v>2075</v>
      </c>
      <c r="B981" t="s">
        <v>2076</v>
      </c>
      <c r="C981" s="1">
        <v>45932</v>
      </c>
      <c r="D981" s="1">
        <v>45936</v>
      </c>
      <c r="E981" s="1">
        <v>45960</v>
      </c>
      <c r="F981" t="s">
        <v>36</v>
      </c>
      <c r="G981" t="s">
        <v>37</v>
      </c>
      <c r="H981" t="s">
        <v>38</v>
      </c>
      <c r="I981" t="s">
        <v>57</v>
      </c>
      <c r="J981" t="s">
        <v>98</v>
      </c>
      <c r="K981" t="s">
        <v>99</v>
      </c>
      <c r="L981" t="s">
        <v>78</v>
      </c>
      <c r="M981" t="s">
        <v>43</v>
      </c>
      <c r="N981">
        <v>1</v>
      </c>
      <c r="O981" t="s">
        <v>105</v>
      </c>
      <c r="P981" s="48">
        <v>7525.27</v>
      </c>
      <c r="Q981" s="48">
        <v>1988.29</v>
      </c>
      <c r="R981" s="48">
        <v>366.84</v>
      </c>
      <c r="S981" s="48">
        <v>143.02000000000001</v>
      </c>
      <c r="T981" s="48">
        <v>75.25</v>
      </c>
      <c r="U981" s="48">
        <v>806.2</v>
      </c>
      <c r="V981" s="48">
        <v>752.75</v>
      </c>
      <c r="W981" s="48">
        <v>3392.92</v>
      </c>
      <c r="X981">
        <v>0</v>
      </c>
      <c r="Y981" t="s">
        <v>45</v>
      </c>
      <c r="Z981">
        <v>16.57</v>
      </c>
      <c r="AA981" t="s">
        <v>46</v>
      </c>
      <c r="AB981" t="s">
        <v>92</v>
      </c>
      <c r="AC981" t="s">
        <v>48</v>
      </c>
      <c r="AD981" t="s">
        <v>49</v>
      </c>
      <c r="AE981" t="s">
        <v>50</v>
      </c>
      <c r="AF981" s="5">
        <f>DATE(YEAR(C981),MONTH(C981),1)</f>
        <v>45931</v>
      </c>
      <c r="AG981">
        <f>E981-D981</f>
        <v>24</v>
      </c>
      <c r="AH981" s="6">
        <f t="shared" si="15"/>
        <v>45.087020133496871</v>
      </c>
    </row>
    <row r="982" spans="1:34">
      <c r="A982" t="s">
        <v>2077</v>
      </c>
      <c r="B982" t="s">
        <v>2078</v>
      </c>
      <c r="C982" s="1">
        <v>45985</v>
      </c>
      <c r="D982" s="1">
        <v>45988</v>
      </c>
      <c r="E982" s="1">
        <v>46011</v>
      </c>
      <c r="F982" t="s">
        <v>149</v>
      </c>
      <c r="G982" t="s">
        <v>111</v>
      </c>
      <c r="H982" t="s">
        <v>150</v>
      </c>
      <c r="I982" t="s">
        <v>56</v>
      </c>
      <c r="J982" t="s">
        <v>57</v>
      </c>
      <c r="K982" t="s">
        <v>58</v>
      </c>
      <c r="L982" t="s">
        <v>78</v>
      </c>
      <c r="M982" t="s">
        <v>43</v>
      </c>
      <c r="N982">
        <v>1</v>
      </c>
      <c r="O982" t="s">
        <v>89</v>
      </c>
      <c r="P982" s="48">
        <v>7466.22</v>
      </c>
      <c r="Q982" s="48">
        <v>1909.84</v>
      </c>
      <c r="R982" s="48">
        <v>369.25</v>
      </c>
      <c r="S982" s="48">
        <v>144.55000000000001</v>
      </c>
      <c r="T982" s="48">
        <v>74.66</v>
      </c>
      <c r="U982" s="48">
        <v>383.37</v>
      </c>
      <c r="V982" s="48">
        <v>796.33</v>
      </c>
      <c r="W982" s="48">
        <v>3788.22</v>
      </c>
      <c r="X982">
        <v>36</v>
      </c>
      <c r="Y982" t="s">
        <v>90</v>
      </c>
      <c r="Z982">
        <v>15.92</v>
      </c>
      <c r="AA982" t="s">
        <v>91</v>
      </c>
      <c r="AB982" t="s">
        <v>47</v>
      </c>
      <c r="AC982" t="s">
        <v>60</v>
      </c>
      <c r="AD982" t="s">
        <v>93</v>
      </c>
      <c r="AE982" t="s">
        <v>50</v>
      </c>
      <c r="AF982" s="5">
        <f>DATE(YEAR(C982),MONTH(C982),1)</f>
        <v>45962</v>
      </c>
      <c r="AG982">
        <f>E982-D982</f>
        <v>23</v>
      </c>
      <c r="AH982" s="6">
        <f t="shared" si="15"/>
        <v>50.738124512805669</v>
      </c>
    </row>
    <row r="983" spans="1:34">
      <c r="A983" t="s">
        <v>2079</v>
      </c>
      <c r="B983" t="s">
        <v>2080</v>
      </c>
      <c r="C983" s="1">
        <v>45880</v>
      </c>
      <c r="D983" s="1">
        <v>45881</v>
      </c>
      <c r="E983" s="1">
        <v>45904</v>
      </c>
      <c r="F983" t="s">
        <v>180</v>
      </c>
      <c r="G983" t="s">
        <v>181</v>
      </c>
      <c r="H983" t="s">
        <v>38</v>
      </c>
      <c r="I983" t="s">
        <v>86</v>
      </c>
      <c r="J983" t="s">
        <v>39</v>
      </c>
      <c r="K983" t="s">
        <v>41</v>
      </c>
      <c r="L983" t="s">
        <v>78</v>
      </c>
      <c r="M983" t="s">
        <v>68</v>
      </c>
      <c r="N983">
        <v>1</v>
      </c>
      <c r="O983" t="s">
        <v>111</v>
      </c>
      <c r="P983" s="48">
        <v>8815.0499999999993</v>
      </c>
      <c r="Q983" s="48">
        <v>1896.1</v>
      </c>
      <c r="R983" s="48">
        <v>541.51</v>
      </c>
      <c r="S983" s="48">
        <v>94.08</v>
      </c>
      <c r="T983" s="48">
        <v>88.15</v>
      </c>
      <c r="U983" s="48">
        <v>395.23</v>
      </c>
      <c r="V983" s="48">
        <v>1719.63</v>
      </c>
      <c r="W983" s="48">
        <v>4080.35</v>
      </c>
      <c r="X983">
        <v>0</v>
      </c>
      <c r="Y983" t="s">
        <v>45</v>
      </c>
      <c r="Z983">
        <v>15.8</v>
      </c>
      <c r="AA983" t="s">
        <v>46</v>
      </c>
      <c r="AB983" t="s">
        <v>92</v>
      </c>
      <c r="AC983" t="s">
        <v>60</v>
      </c>
      <c r="AD983" t="s">
        <v>49</v>
      </c>
      <c r="AE983" t="s">
        <v>71</v>
      </c>
      <c r="AF983" s="5">
        <f>DATE(YEAR(C983),MONTH(C983),1)</f>
        <v>45870</v>
      </c>
      <c r="AG983">
        <f>E983-D983</f>
        <v>23</v>
      </c>
      <c r="AH983" s="6">
        <f t="shared" si="15"/>
        <v>46.288449866988849</v>
      </c>
    </row>
    <row r="984" spans="1:34">
      <c r="A984" t="s">
        <v>2081</v>
      </c>
      <c r="B984" t="s">
        <v>2082</v>
      </c>
      <c r="C984" s="1">
        <v>45665</v>
      </c>
      <c r="D984" s="1">
        <v>45669</v>
      </c>
      <c r="E984" s="1">
        <v>45684</v>
      </c>
      <c r="F984" t="s">
        <v>53</v>
      </c>
      <c r="G984" t="s">
        <v>54</v>
      </c>
      <c r="H984" t="s">
        <v>55</v>
      </c>
      <c r="I984" t="s">
        <v>86</v>
      </c>
      <c r="J984" t="s">
        <v>87</v>
      </c>
      <c r="K984" t="s">
        <v>88</v>
      </c>
      <c r="L984" t="s">
        <v>116</v>
      </c>
      <c r="M984" t="s">
        <v>68</v>
      </c>
      <c r="N984">
        <v>1</v>
      </c>
      <c r="O984" t="s">
        <v>80</v>
      </c>
      <c r="P984" s="48">
        <v>7050.89</v>
      </c>
      <c r="Q984" s="48">
        <v>1884.62</v>
      </c>
      <c r="R984" s="48">
        <v>442.65</v>
      </c>
      <c r="S984" s="48">
        <v>84.65</v>
      </c>
      <c r="T984" s="48">
        <v>70.510000000000005</v>
      </c>
      <c r="U984" s="48">
        <v>800.77</v>
      </c>
      <c r="V984" s="48">
        <v>1834.02</v>
      </c>
      <c r="W984" s="48">
        <v>1933.67</v>
      </c>
      <c r="X984">
        <v>8</v>
      </c>
      <c r="Y984" t="s">
        <v>135</v>
      </c>
      <c r="Z984">
        <v>15.71</v>
      </c>
      <c r="AA984" t="s">
        <v>91</v>
      </c>
      <c r="AB984" t="s">
        <v>92</v>
      </c>
      <c r="AC984" t="s">
        <v>70</v>
      </c>
      <c r="AD984" t="s">
        <v>49</v>
      </c>
      <c r="AE984" t="s">
        <v>71</v>
      </c>
      <c r="AF984" s="5">
        <f>DATE(YEAR(C984),MONTH(C984),1)</f>
        <v>45658</v>
      </c>
      <c r="AG984">
        <f>E984-D984</f>
        <v>15</v>
      </c>
      <c r="AH984" s="6">
        <f t="shared" si="15"/>
        <v>27.424481164789128</v>
      </c>
    </row>
    <row r="985" spans="1:34">
      <c r="A985" t="s">
        <v>2083</v>
      </c>
      <c r="B985" t="s">
        <v>2084</v>
      </c>
      <c r="C985" s="1">
        <v>45735</v>
      </c>
      <c r="D985" s="1">
        <v>45736</v>
      </c>
      <c r="E985" s="1">
        <v>45763</v>
      </c>
      <c r="F985" t="s">
        <v>36</v>
      </c>
      <c r="G985" t="s">
        <v>37</v>
      </c>
      <c r="H985" t="s">
        <v>38</v>
      </c>
      <c r="I985" t="s">
        <v>40</v>
      </c>
      <c r="J985" t="s">
        <v>115</v>
      </c>
      <c r="K985" t="s">
        <v>41</v>
      </c>
      <c r="L985" t="s">
        <v>59</v>
      </c>
      <c r="M985" t="s">
        <v>108</v>
      </c>
      <c r="N985">
        <v>1</v>
      </c>
      <c r="O985" t="s">
        <v>80</v>
      </c>
      <c r="P985" s="48">
        <v>6364.11</v>
      </c>
      <c r="Q985" s="48">
        <v>1828.11</v>
      </c>
      <c r="R985" s="48">
        <v>360.24</v>
      </c>
      <c r="S985" s="48">
        <v>88.46</v>
      </c>
      <c r="T985" s="48">
        <v>63.64</v>
      </c>
      <c r="U985" s="48">
        <v>125.19</v>
      </c>
      <c r="V985" s="48">
        <v>1343.88</v>
      </c>
      <c r="W985" s="48">
        <v>2554.59</v>
      </c>
      <c r="X985">
        <v>0</v>
      </c>
      <c r="Y985" t="s">
        <v>45</v>
      </c>
      <c r="Z985">
        <v>15.23</v>
      </c>
      <c r="AA985" t="s">
        <v>46</v>
      </c>
      <c r="AB985" t="s">
        <v>47</v>
      </c>
      <c r="AC985" t="s">
        <v>60</v>
      </c>
      <c r="AD985" t="s">
        <v>144</v>
      </c>
      <c r="AE985" t="s">
        <v>71</v>
      </c>
      <c r="AF985" s="5">
        <f>DATE(YEAR(C985),MONTH(C985),1)</f>
        <v>45717</v>
      </c>
      <c r="AG985">
        <f>E985-D985</f>
        <v>27</v>
      </c>
      <c r="AH985" s="6">
        <f t="shared" si="15"/>
        <v>40.140569537610133</v>
      </c>
    </row>
    <row r="986" spans="1:34">
      <c r="A986" t="s">
        <v>2085</v>
      </c>
      <c r="B986" t="s">
        <v>2086</v>
      </c>
      <c r="C986" s="1">
        <v>45672</v>
      </c>
      <c r="D986" s="1">
        <v>45674</v>
      </c>
      <c r="E986" s="1">
        <v>45700</v>
      </c>
      <c r="F986" t="s">
        <v>74</v>
      </c>
      <c r="G986" t="s">
        <v>75</v>
      </c>
      <c r="H986" t="s">
        <v>76</v>
      </c>
      <c r="I986" t="s">
        <v>57</v>
      </c>
      <c r="J986" t="s">
        <v>98</v>
      </c>
      <c r="K986" t="s">
        <v>99</v>
      </c>
      <c r="L986" t="s">
        <v>42</v>
      </c>
      <c r="M986" t="s">
        <v>108</v>
      </c>
      <c r="N986">
        <v>1</v>
      </c>
      <c r="O986" t="s">
        <v>89</v>
      </c>
      <c r="P986" s="48">
        <v>7543.88</v>
      </c>
      <c r="Q986" s="48">
        <v>1814.58</v>
      </c>
      <c r="R986" s="48">
        <v>598.59</v>
      </c>
      <c r="S986" s="48">
        <v>220.74</v>
      </c>
      <c r="T986" s="48">
        <v>75.44</v>
      </c>
      <c r="U986" s="48">
        <v>562.91999999999996</v>
      </c>
      <c r="V986" s="48">
        <v>802.94</v>
      </c>
      <c r="W986" s="48">
        <v>3468.67</v>
      </c>
      <c r="X986">
        <v>0</v>
      </c>
      <c r="Y986" t="s">
        <v>45</v>
      </c>
      <c r="Z986">
        <v>15.12</v>
      </c>
      <c r="AA986" t="s">
        <v>46</v>
      </c>
      <c r="AB986" t="s">
        <v>92</v>
      </c>
      <c r="AC986" t="s">
        <v>48</v>
      </c>
      <c r="AD986" t="s">
        <v>49</v>
      </c>
      <c r="AE986" t="s">
        <v>102</v>
      </c>
      <c r="AF986" s="5">
        <f>DATE(YEAR(C986),MONTH(C986),1)</f>
        <v>45658</v>
      </c>
      <c r="AG986">
        <f>E986-D986</f>
        <v>26</v>
      </c>
      <c r="AH986" s="6">
        <f t="shared" si="15"/>
        <v>45.979920147192161</v>
      </c>
    </row>
    <row r="987" spans="1:34">
      <c r="A987" t="s">
        <v>2087</v>
      </c>
      <c r="B987" t="s">
        <v>2088</v>
      </c>
      <c r="C987" s="1">
        <v>45996</v>
      </c>
      <c r="D987" s="1">
        <v>45997</v>
      </c>
      <c r="E987" s="1">
        <v>46012</v>
      </c>
      <c r="F987" t="s">
        <v>96</v>
      </c>
      <c r="G987" t="s">
        <v>97</v>
      </c>
      <c r="H987" t="s">
        <v>76</v>
      </c>
      <c r="I987" t="s">
        <v>77</v>
      </c>
      <c r="J987" t="s">
        <v>98</v>
      </c>
      <c r="K987" t="s">
        <v>41</v>
      </c>
      <c r="L987" t="s">
        <v>127</v>
      </c>
      <c r="M987" t="s">
        <v>108</v>
      </c>
      <c r="N987">
        <v>1</v>
      </c>
      <c r="O987" t="s">
        <v>44</v>
      </c>
      <c r="P987" s="48">
        <v>9581.57</v>
      </c>
      <c r="Q987" s="48">
        <v>1810.16</v>
      </c>
      <c r="R987" s="48">
        <v>674.98</v>
      </c>
      <c r="S987" s="48">
        <v>154.68</v>
      </c>
      <c r="T987" s="48">
        <v>95.82</v>
      </c>
      <c r="U987" s="48">
        <v>863.05</v>
      </c>
      <c r="V987" s="48">
        <v>492.4</v>
      </c>
      <c r="W987" s="48">
        <v>5490.48</v>
      </c>
      <c r="X987">
        <v>48</v>
      </c>
      <c r="Y987" t="s">
        <v>101</v>
      </c>
      <c r="Z987">
        <v>15.08</v>
      </c>
      <c r="AA987" t="s">
        <v>91</v>
      </c>
      <c r="AB987" t="s">
        <v>92</v>
      </c>
      <c r="AC987" t="s">
        <v>48</v>
      </c>
      <c r="AD987" t="s">
        <v>93</v>
      </c>
      <c r="AE987" t="s">
        <v>71</v>
      </c>
      <c r="AF987" s="5">
        <f>DATE(YEAR(C987),MONTH(C987),1)</f>
        <v>45992</v>
      </c>
      <c r="AG987">
        <f>E987-D987</f>
        <v>15</v>
      </c>
      <c r="AH987" s="6">
        <f t="shared" si="15"/>
        <v>57.302508879025041</v>
      </c>
    </row>
    <row r="988" spans="1:34">
      <c r="A988" t="s">
        <v>2089</v>
      </c>
      <c r="B988" t="s">
        <v>2090</v>
      </c>
      <c r="C988" s="1">
        <v>45983</v>
      </c>
      <c r="D988" s="1">
        <v>45984</v>
      </c>
      <c r="E988" s="1">
        <v>46010</v>
      </c>
      <c r="F988" t="s">
        <v>74</v>
      </c>
      <c r="G988" t="s">
        <v>75</v>
      </c>
      <c r="H988" t="s">
        <v>76</v>
      </c>
      <c r="I988" t="s">
        <v>98</v>
      </c>
      <c r="J988" t="s">
        <v>39</v>
      </c>
      <c r="K988" t="s">
        <v>41</v>
      </c>
      <c r="L988" t="s">
        <v>100</v>
      </c>
      <c r="M988" t="s">
        <v>79</v>
      </c>
      <c r="N988">
        <v>1</v>
      </c>
      <c r="O988" t="s">
        <v>89</v>
      </c>
      <c r="P988" s="48">
        <v>11061.23</v>
      </c>
      <c r="Q988" s="48">
        <v>1773.82</v>
      </c>
      <c r="R988" s="48">
        <v>637.74</v>
      </c>
      <c r="S988" s="48">
        <v>255.12</v>
      </c>
      <c r="T988" s="48">
        <v>110.61</v>
      </c>
      <c r="U988" s="48">
        <v>764.08</v>
      </c>
      <c r="V988" s="48">
        <v>1984.25</v>
      </c>
      <c r="W988" s="48">
        <v>5535.61</v>
      </c>
      <c r="X988">
        <v>0</v>
      </c>
      <c r="Y988" t="s">
        <v>45</v>
      </c>
      <c r="Z988">
        <v>14.78</v>
      </c>
      <c r="AA988" t="s">
        <v>46</v>
      </c>
      <c r="AB988" t="s">
        <v>47</v>
      </c>
      <c r="AC988" t="s">
        <v>60</v>
      </c>
      <c r="AD988" t="s">
        <v>61</v>
      </c>
      <c r="AE988" t="s">
        <v>50</v>
      </c>
      <c r="AF988" s="5">
        <f>DATE(YEAR(C988),MONTH(C988),1)</f>
        <v>45962</v>
      </c>
      <c r="AG988">
        <f>E988-D988</f>
        <v>26</v>
      </c>
      <c r="AH988" s="6">
        <f t="shared" si="15"/>
        <v>50.045157726581948</v>
      </c>
    </row>
    <row r="989" spans="1:34">
      <c r="A989" t="s">
        <v>2091</v>
      </c>
      <c r="B989" t="s">
        <v>2092</v>
      </c>
      <c r="C989" s="1">
        <v>45880</v>
      </c>
      <c r="D989" s="1">
        <v>45882</v>
      </c>
      <c r="E989" s="1">
        <v>45903</v>
      </c>
      <c r="F989" t="s">
        <v>83</v>
      </c>
      <c r="G989" t="s">
        <v>84</v>
      </c>
      <c r="H989" t="s">
        <v>85</v>
      </c>
      <c r="I989" t="s">
        <v>86</v>
      </c>
      <c r="J989" t="s">
        <v>87</v>
      </c>
      <c r="K989" t="s">
        <v>88</v>
      </c>
      <c r="L989" t="s">
        <v>124</v>
      </c>
      <c r="M989" t="s">
        <v>108</v>
      </c>
      <c r="N989">
        <v>1</v>
      </c>
      <c r="O989" t="s">
        <v>80</v>
      </c>
      <c r="P989" s="48">
        <v>7773.66</v>
      </c>
      <c r="Q989" s="48">
        <v>1675.3</v>
      </c>
      <c r="R989" s="48">
        <v>372.73</v>
      </c>
      <c r="S989" s="48">
        <v>169.81</v>
      </c>
      <c r="T989" s="48">
        <v>77.739999999999995</v>
      </c>
      <c r="U989" s="48">
        <v>464.56</v>
      </c>
      <c r="V989" s="48">
        <v>2155.69</v>
      </c>
      <c r="W989" s="48">
        <v>2857.83</v>
      </c>
      <c r="X989">
        <v>36</v>
      </c>
      <c r="Y989" t="s">
        <v>90</v>
      </c>
      <c r="Z989">
        <v>13.96</v>
      </c>
      <c r="AA989" t="s">
        <v>91</v>
      </c>
      <c r="AB989" t="s">
        <v>47</v>
      </c>
      <c r="AC989" t="s">
        <v>70</v>
      </c>
      <c r="AD989" t="s">
        <v>130</v>
      </c>
      <c r="AE989" t="s">
        <v>62</v>
      </c>
      <c r="AF989" s="5">
        <f>DATE(YEAR(C989),MONTH(C989),1)</f>
        <v>45870</v>
      </c>
      <c r="AG989">
        <f>E989-D989</f>
        <v>21</v>
      </c>
      <c r="AH989" s="6">
        <f t="shared" si="15"/>
        <v>36.762991949737959</v>
      </c>
    </row>
    <row r="990" spans="1:34">
      <c r="A990" t="s">
        <v>2093</v>
      </c>
      <c r="B990" t="s">
        <v>2094</v>
      </c>
      <c r="C990" s="1">
        <v>45960</v>
      </c>
      <c r="D990" s="1">
        <v>45963</v>
      </c>
      <c r="E990" s="1">
        <v>45985</v>
      </c>
      <c r="F990" t="s">
        <v>138</v>
      </c>
      <c r="G990" t="s">
        <v>139</v>
      </c>
      <c r="H990" t="s">
        <v>76</v>
      </c>
      <c r="I990" t="s">
        <v>115</v>
      </c>
      <c r="J990" t="s">
        <v>98</v>
      </c>
      <c r="K990" t="s">
        <v>99</v>
      </c>
      <c r="L990" t="s">
        <v>127</v>
      </c>
      <c r="M990" t="s">
        <v>43</v>
      </c>
      <c r="N990">
        <v>1</v>
      </c>
      <c r="O990" t="s">
        <v>111</v>
      </c>
      <c r="P990" s="48">
        <v>6831.78</v>
      </c>
      <c r="Q990" s="48">
        <v>1665.16</v>
      </c>
      <c r="R990" s="48">
        <v>466</v>
      </c>
      <c r="S990" s="48">
        <v>131.52000000000001</v>
      </c>
      <c r="T990" s="48">
        <v>68.319999999999993</v>
      </c>
      <c r="U990" s="48">
        <v>316.54000000000002</v>
      </c>
      <c r="V990" s="48">
        <v>2373.2600000000002</v>
      </c>
      <c r="W990" s="48">
        <v>1810.98</v>
      </c>
      <c r="X990">
        <v>0</v>
      </c>
      <c r="Y990" t="s">
        <v>45</v>
      </c>
      <c r="Z990">
        <v>13.88</v>
      </c>
      <c r="AA990" t="s">
        <v>46</v>
      </c>
      <c r="AB990" t="s">
        <v>92</v>
      </c>
      <c r="AC990" t="s">
        <v>60</v>
      </c>
      <c r="AD990" t="s">
        <v>49</v>
      </c>
      <c r="AE990" t="s">
        <v>50</v>
      </c>
      <c r="AF990" s="5">
        <f>DATE(YEAR(C990),MONTH(C990),1)</f>
        <v>45931</v>
      </c>
      <c r="AG990">
        <f>E990-D990</f>
        <v>22</v>
      </c>
      <c r="AH990" s="6">
        <f t="shared" si="15"/>
        <v>26.50817210156065</v>
      </c>
    </row>
    <row r="991" spans="1:34">
      <c r="A991" t="s">
        <v>2095</v>
      </c>
      <c r="B991" t="s">
        <v>2096</v>
      </c>
      <c r="C991" s="1">
        <v>45677</v>
      </c>
      <c r="D991" s="1">
        <v>45678</v>
      </c>
      <c r="E991" s="1">
        <v>45697</v>
      </c>
      <c r="F991" t="s">
        <v>120</v>
      </c>
      <c r="G991" t="s">
        <v>75</v>
      </c>
      <c r="H991" t="s">
        <v>121</v>
      </c>
      <c r="I991" t="s">
        <v>57</v>
      </c>
      <c r="J991" t="s">
        <v>56</v>
      </c>
      <c r="K991" t="s">
        <v>41</v>
      </c>
      <c r="L991" t="s">
        <v>127</v>
      </c>
      <c r="M991" t="s">
        <v>79</v>
      </c>
      <c r="N991">
        <v>1</v>
      </c>
      <c r="O991" t="s">
        <v>105</v>
      </c>
      <c r="P991" s="48">
        <v>8561.08</v>
      </c>
      <c r="Q991" s="48">
        <v>1632.66</v>
      </c>
      <c r="R991" s="48">
        <v>607.41</v>
      </c>
      <c r="S991" s="48">
        <v>169.17</v>
      </c>
      <c r="T991" s="48">
        <v>85.61</v>
      </c>
      <c r="U991" s="48">
        <v>652.97</v>
      </c>
      <c r="V991" s="48">
        <v>2255.9299999999998</v>
      </c>
      <c r="W991" s="48">
        <v>3157.33</v>
      </c>
      <c r="X991">
        <v>8</v>
      </c>
      <c r="Y991" t="s">
        <v>90</v>
      </c>
      <c r="Z991">
        <v>13.61</v>
      </c>
      <c r="AA991" t="s">
        <v>91</v>
      </c>
      <c r="AB991" t="s">
        <v>92</v>
      </c>
      <c r="AC991" t="s">
        <v>48</v>
      </c>
      <c r="AD991" t="s">
        <v>49</v>
      </c>
      <c r="AE991" t="s">
        <v>62</v>
      </c>
      <c r="AF991" s="5">
        <f>DATE(YEAR(C991),MONTH(C991),1)</f>
        <v>45658</v>
      </c>
      <c r="AG991">
        <f>E991-D991</f>
        <v>19</v>
      </c>
      <c r="AH991" s="6">
        <f t="shared" si="15"/>
        <v>36.880043172123145</v>
      </c>
    </row>
    <row r="992" spans="1:34">
      <c r="A992" t="s">
        <v>2097</v>
      </c>
      <c r="B992" t="s">
        <v>2098</v>
      </c>
      <c r="C992" s="1">
        <v>45935</v>
      </c>
      <c r="D992" s="1">
        <v>45939</v>
      </c>
      <c r="E992" s="1">
        <v>45962</v>
      </c>
      <c r="F992" t="s">
        <v>149</v>
      </c>
      <c r="G992" t="s">
        <v>111</v>
      </c>
      <c r="H992" t="s">
        <v>150</v>
      </c>
      <c r="I992" t="s">
        <v>40</v>
      </c>
      <c r="J992" t="s">
        <v>122</v>
      </c>
      <c r="K992" t="s">
        <v>123</v>
      </c>
      <c r="L992" t="s">
        <v>59</v>
      </c>
      <c r="M992" t="s">
        <v>108</v>
      </c>
      <c r="N992">
        <v>1</v>
      </c>
      <c r="O992" t="s">
        <v>69</v>
      </c>
      <c r="P992" s="48">
        <v>7897.79</v>
      </c>
      <c r="Q992" s="48">
        <v>1628.69</v>
      </c>
      <c r="R992" s="48">
        <v>556.42999999999995</v>
      </c>
      <c r="S992" s="48">
        <v>224.65</v>
      </c>
      <c r="T992" s="48">
        <v>78.98</v>
      </c>
      <c r="U992" s="48">
        <v>444.72</v>
      </c>
      <c r="V992" s="48">
        <v>2388.11</v>
      </c>
      <c r="W992" s="48">
        <v>2576.21</v>
      </c>
      <c r="X992">
        <v>8</v>
      </c>
      <c r="Y992" t="s">
        <v>112</v>
      </c>
      <c r="Z992">
        <v>13.57</v>
      </c>
      <c r="AA992" t="s">
        <v>91</v>
      </c>
      <c r="AB992" t="s">
        <v>47</v>
      </c>
      <c r="AC992" t="s">
        <v>48</v>
      </c>
      <c r="AD992" t="s">
        <v>130</v>
      </c>
      <c r="AE992" t="s">
        <v>62</v>
      </c>
      <c r="AF992" s="5">
        <f>DATE(YEAR(C992),MONTH(C992),1)</f>
        <v>45931</v>
      </c>
      <c r="AG992">
        <f>E992-D992</f>
        <v>23</v>
      </c>
      <c r="AH992" s="6">
        <f t="shared" si="15"/>
        <v>32.619378332419572</v>
      </c>
    </row>
    <row r="993" spans="1:34">
      <c r="A993" t="s">
        <v>2099</v>
      </c>
      <c r="B993" t="s">
        <v>2100</v>
      </c>
      <c r="C993" s="1">
        <v>45858</v>
      </c>
      <c r="D993" s="1">
        <v>45861</v>
      </c>
      <c r="E993" s="1">
        <v>45873</v>
      </c>
      <c r="F993" t="s">
        <v>138</v>
      </c>
      <c r="G993" t="s">
        <v>139</v>
      </c>
      <c r="H993" t="s">
        <v>76</v>
      </c>
      <c r="I993" t="s">
        <v>40</v>
      </c>
      <c r="J993" t="s">
        <v>122</v>
      </c>
      <c r="K993" t="s">
        <v>123</v>
      </c>
      <c r="L993" t="s">
        <v>59</v>
      </c>
      <c r="M993" t="s">
        <v>108</v>
      </c>
      <c r="N993">
        <v>1</v>
      </c>
      <c r="O993" t="s">
        <v>89</v>
      </c>
      <c r="P993" s="48">
        <v>9479.27</v>
      </c>
      <c r="Q993" s="48">
        <v>1621.38</v>
      </c>
      <c r="R993" s="48">
        <v>669.69</v>
      </c>
      <c r="S993" s="48">
        <v>144.91999999999999</v>
      </c>
      <c r="T993" s="48">
        <v>94.79</v>
      </c>
      <c r="U993" s="48">
        <v>773.14</v>
      </c>
      <c r="V993" s="48">
        <v>609.86</v>
      </c>
      <c r="W993" s="48">
        <v>5565.49</v>
      </c>
      <c r="X993">
        <v>12</v>
      </c>
      <c r="Y993" t="s">
        <v>117</v>
      </c>
      <c r="Z993">
        <v>13.51</v>
      </c>
      <c r="AA993" t="s">
        <v>91</v>
      </c>
      <c r="AB993" t="s">
        <v>92</v>
      </c>
      <c r="AC993" t="s">
        <v>60</v>
      </c>
      <c r="AD993" t="s">
        <v>61</v>
      </c>
      <c r="AE993" t="s">
        <v>62</v>
      </c>
      <c r="AF993" s="5">
        <f>DATE(YEAR(C993),MONTH(C993),1)</f>
        <v>45839</v>
      </c>
      <c r="AG993">
        <f>E993-D993</f>
        <v>12</v>
      </c>
      <c r="AH993" s="6">
        <f t="shared" si="15"/>
        <v>58.712221510728149</v>
      </c>
    </row>
    <row r="994" spans="1:34">
      <c r="A994" t="s">
        <v>2101</v>
      </c>
      <c r="B994" t="s">
        <v>2102</v>
      </c>
      <c r="C994" s="1">
        <v>45761</v>
      </c>
      <c r="D994" s="1">
        <v>45762</v>
      </c>
      <c r="E994" s="1">
        <v>45789</v>
      </c>
      <c r="F994" t="s">
        <v>180</v>
      </c>
      <c r="G994" t="s">
        <v>181</v>
      </c>
      <c r="H994" t="s">
        <v>38</v>
      </c>
      <c r="I994" t="s">
        <v>86</v>
      </c>
      <c r="J994" t="s">
        <v>87</v>
      </c>
      <c r="K994" t="s">
        <v>88</v>
      </c>
      <c r="L994" t="s">
        <v>59</v>
      </c>
      <c r="M994" t="s">
        <v>43</v>
      </c>
      <c r="N994">
        <v>1</v>
      </c>
      <c r="O994" t="s">
        <v>89</v>
      </c>
      <c r="P994" s="48">
        <v>6696.65</v>
      </c>
      <c r="Q994" s="48">
        <v>1556.01</v>
      </c>
      <c r="R994" s="48">
        <v>499.91</v>
      </c>
      <c r="S994" s="48">
        <v>200.53</v>
      </c>
      <c r="T994" s="48">
        <v>66.97</v>
      </c>
      <c r="U994" s="48">
        <v>421.56</v>
      </c>
      <c r="V994" s="48">
        <v>364.8</v>
      </c>
      <c r="W994" s="48">
        <v>3586.87</v>
      </c>
      <c r="X994">
        <v>0</v>
      </c>
      <c r="Y994" t="s">
        <v>45</v>
      </c>
      <c r="Z994">
        <v>12.97</v>
      </c>
      <c r="AA994" t="s">
        <v>46</v>
      </c>
      <c r="AB994" t="s">
        <v>47</v>
      </c>
      <c r="AC994" t="s">
        <v>70</v>
      </c>
      <c r="AD994" t="s">
        <v>61</v>
      </c>
      <c r="AE994" t="s">
        <v>102</v>
      </c>
      <c r="AF994" s="5">
        <f>DATE(YEAR(C994),MONTH(C994),1)</f>
        <v>45748</v>
      </c>
      <c r="AG994">
        <f>E994-D994</f>
        <v>27</v>
      </c>
      <c r="AH994" s="6">
        <f t="shared" si="15"/>
        <v>53.562154211434077</v>
      </c>
    </row>
    <row r="995" spans="1:34">
      <c r="A995" t="s">
        <v>2103</v>
      </c>
      <c r="B995" t="s">
        <v>2104</v>
      </c>
      <c r="C995" s="1">
        <v>45920</v>
      </c>
      <c r="D995" s="1">
        <v>45923</v>
      </c>
      <c r="E995" s="1">
        <v>45949</v>
      </c>
      <c r="F995" t="s">
        <v>153</v>
      </c>
      <c r="G995" t="s">
        <v>75</v>
      </c>
      <c r="H995" t="s">
        <v>154</v>
      </c>
      <c r="I995" t="s">
        <v>57</v>
      </c>
      <c r="J995" t="s">
        <v>122</v>
      </c>
      <c r="K995" t="s">
        <v>41</v>
      </c>
      <c r="L995" t="s">
        <v>155</v>
      </c>
      <c r="M995" t="s">
        <v>79</v>
      </c>
      <c r="N995">
        <v>1</v>
      </c>
      <c r="O995" t="s">
        <v>89</v>
      </c>
      <c r="P995" s="48">
        <v>6547.87</v>
      </c>
      <c r="Q995" s="48">
        <v>1453.45</v>
      </c>
      <c r="R995" s="48">
        <v>500.31</v>
      </c>
      <c r="S995" s="48">
        <v>90.41</v>
      </c>
      <c r="T995" s="48">
        <v>65.48</v>
      </c>
      <c r="U995" s="48">
        <v>196.05</v>
      </c>
      <c r="V995" s="48">
        <v>628.15</v>
      </c>
      <c r="W995" s="48">
        <v>3614.02</v>
      </c>
      <c r="X995">
        <v>0</v>
      </c>
      <c r="Y995" t="s">
        <v>45</v>
      </c>
      <c r="Z995">
        <v>12.11</v>
      </c>
      <c r="AA995" t="s">
        <v>46</v>
      </c>
      <c r="AB995" t="s">
        <v>47</v>
      </c>
      <c r="AC995" t="s">
        <v>48</v>
      </c>
      <c r="AD995" t="s">
        <v>144</v>
      </c>
      <c r="AE995" t="s">
        <v>50</v>
      </c>
      <c r="AF995" s="5">
        <f>DATE(YEAR(C995),MONTH(C995),1)</f>
        <v>45901</v>
      </c>
      <c r="AG995">
        <f>E995-D995</f>
        <v>26</v>
      </c>
      <c r="AH995" s="6">
        <f t="shared" si="15"/>
        <v>55.193826389344935</v>
      </c>
    </row>
    <row r="996" spans="1:34">
      <c r="A996" t="s">
        <v>2105</v>
      </c>
      <c r="B996" t="s">
        <v>2106</v>
      </c>
      <c r="C996" s="1">
        <v>45727</v>
      </c>
      <c r="D996" s="1">
        <v>45730</v>
      </c>
      <c r="E996" s="1">
        <v>45741</v>
      </c>
      <c r="F996" t="s">
        <v>65</v>
      </c>
      <c r="G996" t="s">
        <v>66</v>
      </c>
      <c r="H996" t="s">
        <v>67</v>
      </c>
      <c r="I996" t="s">
        <v>56</v>
      </c>
      <c r="J996" t="s">
        <v>57</v>
      </c>
      <c r="K996" t="s">
        <v>58</v>
      </c>
      <c r="L996" t="s">
        <v>127</v>
      </c>
      <c r="M996" t="s">
        <v>108</v>
      </c>
      <c r="N996">
        <v>1</v>
      </c>
      <c r="O996" t="s">
        <v>44</v>
      </c>
      <c r="P996" s="48">
        <v>6999.04</v>
      </c>
      <c r="Q996" s="48">
        <v>1447.59</v>
      </c>
      <c r="R996" s="48">
        <v>530.4</v>
      </c>
      <c r="S996" s="48">
        <v>70</v>
      </c>
      <c r="T996" s="48">
        <v>69.989999999999995</v>
      </c>
      <c r="U996" s="48">
        <v>249.71</v>
      </c>
      <c r="V996" s="48">
        <v>1684.85</v>
      </c>
      <c r="W996" s="48">
        <v>2946.5</v>
      </c>
      <c r="X996">
        <v>8</v>
      </c>
      <c r="Y996" t="s">
        <v>135</v>
      </c>
      <c r="Z996">
        <v>12.06</v>
      </c>
      <c r="AA996" t="s">
        <v>91</v>
      </c>
      <c r="AB996" t="s">
        <v>92</v>
      </c>
      <c r="AC996" t="s">
        <v>48</v>
      </c>
      <c r="AD996" t="s">
        <v>61</v>
      </c>
      <c r="AE996" t="s">
        <v>71</v>
      </c>
      <c r="AF996" s="5">
        <f>DATE(YEAR(C996),MONTH(C996),1)</f>
        <v>45717</v>
      </c>
      <c r="AG996">
        <f>E996-D996</f>
        <v>11</v>
      </c>
      <c r="AH996" s="6">
        <f t="shared" si="15"/>
        <v>42.098630669348942</v>
      </c>
    </row>
    <row r="997" spans="1:34">
      <c r="A997" t="s">
        <v>2107</v>
      </c>
      <c r="B997" t="s">
        <v>2108</v>
      </c>
      <c r="C997" s="1">
        <v>45887</v>
      </c>
      <c r="D997" s="1">
        <v>45888</v>
      </c>
      <c r="E997" s="1">
        <v>45904</v>
      </c>
      <c r="F997" t="s">
        <v>53</v>
      </c>
      <c r="G997" t="s">
        <v>54</v>
      </c>
      <c r="H997" t="s">
        <v>55</v>
      </c>
      <c r="I997" t="s">
        <v>40</v>
      </c>
      <c r="J997" t="s">
        <v>122</v>
      </c>
      <c r="K997" t="s">
        <v>123</v>
      </c>
      <c r="L997" t="s">
        <v>124</v>
      </c>
      <c r="M997" t="s">
        <v>68</v>
      </c>
      <c r="N997">
        <v>1</v>
      </c>
      <c r="O997" t="s">
        <v>44</v>
      </c>
      <c r="P997" s="48">
        <v>6083.45</v>
      </c>
      <c r="Q997" s="48">
        <v>1433.79</v>
      </c>
      <c r="R997" s="48">
        <v>474.42</v>
      </c>
      <c r="S997" s="48">
        <v>80.459999999999994</v>
      </c>
      <c r="T997" s="48">
        <v>60.83</v>
      </c>
      <c r="U997" s="48">
        <v>462.42</v>
      </c>
      <c r="V997" s="48">
        <v>779.57</v>
      </c>
      <c r="W997" s="48">
        <v>2791.96</v>
      </c>
      <c r="X997">
        <v>0</v>
      </c>
      <c r="Y997" t="s">
        <v>45</v>
      </c>
      <c r="Z997">
        <v>11.95</v>
      </c>
      <c r="AA997" t="s">
        <v>46</v>
      </c>
      <c r="AB997" t="s">
        <v>92</v>
      </c>
      <c r="AC997" t="s">
        <v>70</v>
      </c>
      <c r="AD997" t="s">
        <v>144</v>
      </c>
      <c r="AE997" t="s">
        <v>71</v>
      </c>
      <c r="AF997" s="5">
        <f>DATE(YEAR(C997),MONTH(C997),1)</f>
        <v>45870</v>
      </c>
      <c r="AG997">
        <f>E997-D997</f>
        <v>16</v>
      </c>
      <c r="AH997" s="6">
        <f t="shared" si="15"/>
        <v>45.894352711043901</v>
      </c>
    </row>
    <row r="998" spans="1:34">
      <c r="A998" t="s">
        <v>2109</v>
      </c>
      <c r="B998" t="s">
        <v>2110</v>
      </c>
      <c r="C998" s="1">
        <v>45843</v>
      </c>
      <c r="D998" s="1">
        <v>45844</v>
      </c>
      <c r="E998" s="1">
        <v>45865</v>
      </c>
      <c r="F998" t="s">
        <v>83</v>
      </c>
      <c r="G998" t="s">
        <v>84</v>
      </c>
      <c r="H998" t="s">
        <v>85</v>
      </c>
      <c r="I998" t="s">
        <v>57</v>
      </c>
      <c r="J998" t="s">
        <v>98</v>
      </c>
      <c r="K998" t="s">
        <v>99</v>
      </c>
      <c r="L998" t="s">
        <v>42</v>
      </c>
      <c r="M998" t="s">
        <v>79</v>
      </c>
      <c r="N998">
        <v>1</v>
      </c>
      <c r="O998" t="s">
        <v>80</v>
      </c>
      <c r="P998" s="48">
        <v>7773.65</v>
      </c>
      <c r="Q998" s="48">
        <v>1419.42</v>
      </c>
      <c r="R998" s="48">
        <v>406.02</v>
      </c>
      <c r="S998" s="48">
        <v>192.76</v>
      </c>
      <c r="T998" s="48">
        <v>77.739999999999995</v>
      </c>
      <c r="U998" s="48">
        <v>563.09</v>
      </c>
      <c r="V998" s="48">
        <v>1396.19</v>
      </c>
      <c r="W998" s="48">
        <v>3718.43</v>
      </c>
      <c r="X998">
        <v>8</v>
      </c>
      <c r="Y998" t="s">
        <v>90</v>
      </c>
      <c r="Z998">
        <v>11.83</v>
      </c>
      <c r="AA998" t="s">
        <v>91</v>
      </c>
      <c r="AB998" t="s">
        <v>47</v>
      </c>
      <c r="AC998" t="s">
        <v>48</v>
      </c>
      <c r="AD998" t="s">
        <v>93</v>
      </c>
      <c r="AE998" t="s">
        <v>71</v>
      </c>
      <c r="AF998" s="5">
        <f>DATE(YEAR(C998),MONTH(C998),1)</f>
        <v>45839</v>
      </c>
      <c r="AG998">
        <f>E998-D998</f>
        <v>21</v>
      </c>
      <c r="AH998" s="6">
        <f t="shared" si="15"/>
        <v>47.833771780309121</v>
      </c>
    </row>
    <row r="999" spans="1:34">
      <c r="A999" t="s">
        <v>2111</v>
      </c>
      <c r="B999" t="s">
        <v>2112</v>
      </c>
      <c r="C999" s="1">
        <v>45849</v>
      </c>
      <c r="D999" s="1">
        <v>45851</v>
      </c>
      <c r="E999" s="1">
        <v>45865</v>
      </c>
      <c r="F999" t="s">
        <v>74</v>
      </c>
      <c r="G999" t="s">
        <v>75</v>
      </c>
      <c r="H999" t="s">
        <v>76</v>
      </c>
      <c r="I999" t="s">
        <v>57</v>
      </c>
      <c r="J999" t="s">
        <v>98</v>
      </c>
      <c r="K999" t="s">
        <v>99</v>
      </c>
      <c r="L999" t="s">
        <v>59</v>
      </c>
      <c r="M999" t="s">
        <v>79</v>
      </c>
      <c r="N999">
        <v>1</v>
      </c>
      <c r="O999" t="s">
        <v>89</v>
      </c>
      <c r="P999" s="48">
        <v>6256.61</v>
      </c>
      <c r="Q999" s="48">
        <v>1409.5</v>
      </c>
      <c r="R999" s="48">
        <v>317.45</v>
      </c>
      <c r="S999" s="48">
        <v>111.46</v>
      </c>
      <c r="T999" s="48">
        <v>62.57</v>
      </c>
      <c r="U999" s="48">
        <v>782.05</v>
      </c>
      <c r="V999" s="48">
        <v>2119.91</v>
      </c>
      <c r="W999" s="48">
        <v>1453.67</v>
      </c>
      <c r="X999">
        <v>0</v>
      </c>
      <c r="Y999" t="s">
        <v>45</v>
      </c>
      <c r="Z999">
        <v>11.75</v>
      </c>
      <c r="AA999" t="s">
        <v>46</v>
      </c>
      <c r="AB999" t="s">
        <v>92</v>
      </c>
      <c r="AC999" t="s">
        <v>48</v>
      </c>
      <c r="AD999" t="s">
        <v>93</v>
      </c>
      <c r="AE999" t="s">
        <v>62</v>
      </c>
      <c r="AF999" s="5">
        <f>DATE(YEAR(C999),MONTH(C999),1)</f>
        <v>45839</v>
      </c>
      <c r="AG999">
        <f>E999-D999</f>
        <v>14</v>
      </c>
      <c r="AH999" s="6">
        <f t="shared" si="15"/>
        <v>23.234147565534695</v>
      </c>
    </row>
    <row r="1000" spans="1:34">
      <c r="A1000" t="s">
        <v>2113</v>
      </c>
      <c r="B1000" t="s">
        <v>2114</v>
      </c>
      <c r="C1000" s="1">
        <v>45752</v>
      </c>
      <c r="D1000" s="1">
        <v>45756</v>
      </c>
      <c r="E1000" s="1">
        <v>45775</v>
      </c>
      <c r="F1000" t="s">
        <v>138</v>
      </c>
      <c r="G1000" t="s">
        <v>139</v>
      </c>
      <c r="H1000" t="s">
        <v>76</v>
      </c>
      <c r="I1000" t="s">
        <v>56</v>
      </c>
      <c r="J1000" t="s">
        <v>57</v>
      </c>
      <c r="K1000" t="s">
        <v>58</v>
      </c>
      <c r="L1000" t="s">
        <v>78</v>
      </c>
      <c r="M1000" t="s">
        <v>108</v>
      </c>
      <c r="N1000">
        <v>1</v>
      </c>
      <c r="O1000" t="s">
        <v>54</v>
      </c>
      <c r="P1000" s="48">
        <v>8014.74</v>
      </c>
      <c r="Q1000" s="48">
        <v>1346.41</v>
      </c>
      <c r="R1000" s="48">
        <v>573.88</v>
      </c>
      <c r="S1000" s="48">
        <v>109.69</v>
      </c>
      <c r="T1000" s="48">
        <v>80.150000000000006</v>
      </c>
      <c r="U1000" s="48">
        <v>458.07</v>
      </c>
      <c r="V1000" s="48">
        <v>1526.76</v>
      </c>
      <c r="W1000" s="48">
        <v>3919.78</v>
      </c>
      <c r="X1000">
        <v>8</v>
      </c>
      <c r="Y1000" t="s">
        <v>112</v>
      </c>
      <c r="Z1000">
        <v>11.22</v>
      </c>
      <c r="AA1000" t="s">
        <v>91</v>
      </c>
      <c r="AB1000" t="s">
        <v>92</v>
      </c>
      <c r="AC1000" t="s">
        <v>70</v>
      </c>
      <c r="AD1000" t="s">
        <v>61</v>
      </c>
      <c r="AE1000" t="s">
        <v>102</v>
      </c>
      <c r="AF1000" s="5">
        <f>DATE(YEAR(C1000),MONTH(C1000),1)</f>
        <v>45748</v>
      </c>
      <c r="AG1000">
        <f>E1000-D1000</f>
        <v>19</v>
      </c>
      <c r="AH1000" s="6">
        <f t="shared" si="15"/>
        <v>48.907138597134782</v>
      </c>
    </row>
    <row r="1001" spans="1:34">
      <c r="A1001" t="s">
        <v>2115</v>
      </c>
      <c r="B1001" t="s">
        <v>2116</v>
      </c>
      <c r="C1001" s="1">
        <v>45847</v>
      </c>
      <c r="D1001" s="1">
        <v>45850</v>
      </c>
      <c r="E1001" s="1">
        <v>45873</v>
      </c>
      <c r="F1001" t="s">
        <v>96</v>
      </c>
      <c r="G1001" t="s">
        <v>97</v>
      </c>
      <c r="H1001" t="s">
        <v>76</v>
      </c>
      <c r="I1001" t="s">
        <v>57</v>
      </c>
      <c r="J1001" t="s">
        <v>98</v>
      </c>
      <c r="K1001" t="s">
        <v>99</v>
      </c>
      <c r="L1001" t="s">
        <v>124</v>
      </c>
      <c r="M1001" t="s">
        <v>79</v>
      </c>
      <c r="N1001">
        <v>1</v>
      </c>
      <c r="O1001" t="s">
        <v>89</v>
      </c>
      <c r="P1001" s="48">
        <v>7263.55</v>
      </c>
      <c r="Q1001" s="48">
        <v>1282.6099999999999</v>
      </c>
      <c r="R1001" s="48">
        <v>422.08</v>
      </c>
      <c r="S1001" s="48">
        <v>203.03</v>
      </c>
      <c r="T1001" s="48">
        <v>72.64</v>
      </c>
      <c r="U1001" s="48">
        <v>522.67999999999995</v>
      </c>
      <c r="V1001" s="48">
        <v>2151.63</v>
      </c>
      <c r="W1001" s="48">
        <v>2608.88</v>
      </c>
      <c r="X1001">
        <v>24</v>
      </c>
      <c r="Y1001" t="s">
        <v>135</v>
      </c>
      <c r="Z1001">
        <v>10.69</v>
      </c>
      <c r="AA1001" t="s">
        <v>91</v>
      </c>
      <c r="AB1001" t="s">
        <v>47</v>
      </c>
      <c r="AC1001" t="s">
        <v>48</v>
      </c>
      <c r="AD1001" t="s">
        <v>130</v>
      </c>
      <c r="AE1001" t="s">
        <v>50</v>
      </c>
      <c r="AF1001" s="5">
        <f>DATE(YEAR(C1001),MONTH(C1001),1)</f>
        <v>45839</v>
      </c>
      <c r="AG1001">
        <f>E1001-D1001</f>
        <v>23</v>
      </c>
      <c r="AH1001" s="6">
        <f t="shared" si="15"/>
        <v>35.917423298524824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1522-5DA9-43C5-A8CC-DEA1DFAE6BBE}">
  <dimension ref="A1:D44"/>
  <sheetViews>
    <sheetView workbookViewId="0">
      <selection activeCell="E43" sqref="E43"/>
    </sheetView>
  </sheetViews>
  <sheetFormatPr defaultRowHeight="15"/>
  <cols>
    <col min="3" max="3" width="16.28515625" bestFit="1" customWidth="1"/>
  </cols>
  <sheetData>
    <row r="1" spans="1:3">
      <c r="A1" s="13" t="s">
        <v>2117</v>
      </c>
    </row>
    <row r="2" spans="1:3">
      <c r="B2" t="s">
        <v>180</v>
      </c>
      <c r="C2" s="48">
        <v>5693533.6499999976</v>
      </c>
    </row>
    <row r="3" spans="1:3">
      <c r="B3" t="s">
        <v>96</v>
      </c>
      <c r="C3" s="48">
        <v>5603216.7800000003</v>
      </c>
    </row>
    <row r="4" spans="1:3">
      <c r="B4" t="s">
        <v>53</v>
      </c>
      <c r="C4" s="48">
        <v>5235234.42</v>
      </c>
    </row>
    <row r="5" spans="1:3">
      <c r="B5" t="s">
        <v>65</v>
      </c>
      <c r="C5" s="48">
        <v>5138647.79</v>
      </c>
    </row>
    <row r="6" spans="1:3">
      <c r="B6" t="s">
        <v>153</v>
      </c>
      <c r="C6" s="48">
        <v>5130489.28</v>
      </c>
    </row>
    <row r="8" spans="1:3">
      <c r="A8" s="2" t="s">
        <v>2118</v>
      </c>
    </row>
    <row r="9" spans="1:3">
      <c r="B9" t="s">
        <v>180</v>
      </c>
      <c r="C9" s="48">
        <v>3696308.4100000011</v>
      </c>
    </row>
    <row r="10" spans="1:3">
      <c r="B10" t="s">
        <v>96</v>
      </c>
      <c r="C10" s="48">
        <v>3608318.1700000009</v>
      </c>
    </row>
    <row r="11" spans="1:3">
      <c r="B11" t="s">
        <v>53</v>
      </c>
      <c r="C11" s="48">
        <v>3394077.5399999991</v>
      </c>
    </row>
    <row r="12" spans="1:3">
      <c r="B12" t="s">
        <v>65</v>
      </c>
      <c r="C12" s="48">
        <v>3346471.3099999996</v>
      </c>
    </row>
    <row r="13" spans="1:3">
      <c r="B13" t="s">
        <v>153</v>
      </c>
      <c r="C13" s="48">
        <v>3337545.3900000006</v>
      </c>
    </row>
    <row r="15" spans="1:3">
      <c r="A15" s="2" t="s">
        <v>2119</v>
      </c>
    </row>
    <row r="16" spans="1:3">
      <c r="B16" t="s">
        <v>116</v>
      </c>
      <c r="C16" s="48">
        <v>5680818.9700000016</v>
      </c>
    </row>
    <row r="17" spans="1:4">
      <c r="B17" t="s">
        <v>127</v>
      </c>
      <c r="C17" s="48">
        <v>5308284.1500000004</v>
      </c>
    </row>
    <row r="18" spans="1:4">
      <c r="B18" t="s">
        <v>78</v>
      </c>
      <c r="C18" s="48">
        <v>4752440.5500000017</v>
      </c>
    </row>
    <row r="19" spans="1:4">
      <c r="B19" t="s">
        <v>59</v>
      </c>
      <c r="C19" s="48">
        <v>4738915.6500000004</v>
      </c>
    </row>
    <row r="20" spans="1:4">
      <c r="B20" t="s">
        <v>42</v>
      </c>
      <c r="C20" s="48">
        <v>4688635.6800000016</v>
      </c>
    </row>
    <row r="22" spans="1:4">
      <c r="A22" s="2" t="s">
        <v>2120</v>
      </c>
    </row>
    <row r="23" spans="1:4">
      <c r="B23" t="s">
        <v>41</v>
      </c>
      <c r="C23" s="48">
        <v>10779754.200000003</v>
      </c>
    </row>
    <row r="24" spans="1:4">
      <c r="B24" t="s">
        <v>99</v>
      </c>
      <c r="C24" s="48">
        <v>10575408.689999998</v>
      </c>
    </row>
    <row r="25" spans="1:4">
      <c r="B25" t="s">
        <v>58</v>
      </c>
      <c r="C25" s="48">
        <v>5791237.8299999991</v>
      </c>
    </row>
    <row r="27" spans="1:4">
      <c r="A27" s="2" t="s">
        <v>2121</v>
      </c>
    </row>
    <row r="28" spans="1:4">
      <c r="B28">
        <f>COUNTIF(MGS_Operations_FY2025!AA2:AA1001,MGS_Operations_FY2025!AA963)</f>
        <v>589</v>
      </c>
      <c r="D28" s="10" t="s">
        <v>2122</v>
      </c>
    </row>
    <row r="29" spans="1:4">
      <c r="B29">
        <v>128</v>
      </c>
      <c r="D29" t="s">
        <v>2123</v>
      </c>
    </row>
    <row r="31" spans="1:4">
      <c r="A31" s="14" t="s">
        <v>2124</v>
      </c>
    </row>
    <row r="32" spans="1:4">
      <c r="B32" s="11">
        <v>0.41099999999999998</v>
      </c>
    </row>
    <row r="34" spans="1:3">
      <c r="A34" s="2" t="s">
        <v>2125</v>
      </c>
    </row>
    <row r="35" spans="1:3">
      <c r="B35" t="s">
        <v>65</v>
      </c>
      <c r="C35" s="4" t="s">
        <v>2126</v>
      </c>
    </row>
    <row r="37" spans="1:3">
      <c r="A37" s="2" t="s">
        <v>2127</v>
      </c>
    </row>
    <row r="38" spans="1:3">
      <c r="B38" t="s">
        <v>88</v>
      </c>
      <c r="C38" s="12">
        <v>20.044117647058822</v>
      </c>
    </row>
    <row r="40" spans="1:3">
      <c r="A40" s="2" t="s">
        <v>2128</v>
      </c>
    </row>
    <row r="41" spans="1:3">
      <c r="B41" t="s">
        <v>1071</v>
      </c>
      <c r="C41" s="11">
        <v>0.74950000000000006</v>
      </c>
    </row>
    <row r="43" spans="1:3">
      <c r="A43" s="2" t="s">
        <v>2129</v>
      </c>
    </row>
    <row r="44" spans="1:3">
      <c r="B44" t="s">
        <v>34</v>
      </c>
      <c r="C44" s="48">
        <v>52552.46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7CED-4172-4953-BC42-DBD7644F1F15}">
  <dimension ref="A3:C16"/>
  <sheetViews>
    <sheetView topLeftCell="A3" workbookViewId="0">
      <selection activeCell="D11" sqref="D11"/>
    </sheetView>
  </sheetViews>
  <sheetFormatPr defaultRowHeight="15"/>
  <cols>
    <col min="1" max="1" width="11.7109375" bestFit="1" customWidth="1"/>
    <col min="2" max="2" width="20.7109375" bestFit="1" customWidth="1"/>
    <col min="3" max="3" width="18" bestFit="1" customWidth="1"/>
  </cols>
  <sheetData>
    <row r="3" spans="1:3">
      <c r="A3" s="3" t="s">
        <v>31</v>
      </c>
      <c r="B3" t="s">
        <v>2130</v>
      </c>
      <c r="C3" t="s">
        <v>2131</v>
      </c>
    </row>
    <row r="4" spans="1:3">
      <c r="A4" s="5">
        <v>45658</v>
      </c>
      <c r="B4" s="48">
        <v>4215489.3600000003</v>
      </c>
      <c r="C4" s="48">
        <v>2748884.72</v>
      </c>
    </row>
    <row r="5" spans="1:3">
      <c r="A5" s="5">
        <v>45689</v>
      </c>
      <c r="B5" s="48">
        <v>4457132.9699999988</v>
      </c>
      <c r="C5" s="48">
        <v>2863150.43</v>
      </c>
    </row>
    <row r="6" spans="1:3">
      <c r="A6" s="5">
        <v>45717</v>
      </c>
      <c r="B6" s="48">
        <v>4724645.6000000015</v>
      </c>
      <c r="C6" s="48">
        <v>3019581.5900000012</v>
      </c>
    </row>
    <row r="7" spans="1:3">
      <c r="A7" s="5">
        <v>45748</v>
      </c>
      <c r="B7" s="48">
        <v>5004448.0799999973</v>
      </c>
      <c r="C7" s="48">
        <v>3259100.8099999996</v>
      </c>
    </row>
    <row r="8" spans="1:3">
      <c r="A8" s="5">
        <v>45778</v>
      </c>
      <c r="B8" s="48">
        <v>5380322.8899999978</v>
      </c>
      <c r="C8" s="48">
        <v>3488365.6800000006</v>
      </c>
    </row>
    <row r="9" spans="1:3">
      <c r="A9" s="5">
        <v>45809</v>
      </c>
      <c r="B9" s="48">
        <v>5491117.1900000004</v>
      </c>
      <c r="C9" s="48">
        <v>3565598.27</v>
      </c>
    </row>
    <row r="10" spans="1:3">
      <c r="A10" s="5">
        <v>45839</v>
      </c>
      <c r="B10" s="48">
        <v>4205639.0999999987</v>
      </c>
      <c r="C10" s="48">
        <v>2749395.1600000006</v>
      </c>
    </row>
    <row r="11" spans="1:3">
      <c r="A11" s="5">
        <v>45870</v>
      </c>
      <c r="B11" s="48">
        <v>5057018.07</v>
      </c>
      <c r="C11" s="48">
        <v>3322069.8300000005</v>
      </c>
    </row>
    <row r="12" spans="1:3">
      <c r="A12" s="5">
        <v>45901</v>
      </c>
      <c r="B12" s="48">
        <v>7145378.2399999974</v>
      </c>
      <c r="C12" s="48">
        <v>4595356.7200000016</v>
      </c>
    </row>
    <row r="13" spans="1:3">
      <c r="A13" s="5">
        <v>45931</v>
      </c>
      <c r="B13" s="48">
        <v>5329127.9599999981</v>
      </c>
      <c r="C13" s="48">
        <v>3456422.8499999996</v>
      </c>
    </row>
    <row r="14" spans="1:3">
      <c r="A14" s="5">
        <v>45962</v>
      </c>
      <c r="B14" s="48">
        <v>4051083.34</v>
      </c>
      <c r="C14" s="48">
        <v>2609644.0199999996</v>
      </c>
    </row>
    <row r="15" spans="1:3">
      <c r="A15" s="5">
        <v>45992</v>
      </c>
      <c r="B15" s="48">
        <v>3261065.9400000018</v>
      </c>
      <c r="C15" s="48">
        <v>2062748.5199999996</v>
      </c>
    </row>
    <row r="16" spans="1:3">
      <c r="A16" s="5" t="s">
        <v>2132</v>
      </c>
      <c r="B16" s="48">
        <v>58322468.739999987</v>
      </c>
      <c r="C16" s="48">
        <v>37740318.599999994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CEB3-5F26-4745-A555-CA1D83C2E53B}">
  <dimension ref="A3:B9"/>
  <sheetViews>
    <sheetView workbookViewId="0">
      <selection activeCell="G5" sqref="G5"/>
    </sheetView>
  </sheetViews>
  <sheetFormatPr defaultRowHeight="15"/>
  <cols>
    <col min="1" max="1" width="16.42578125" bestFit="1" customWidth="1"/>
    <col min="2" max="2" width="21.140625" bestFit="1" customWidth="1"/>
  </cols>
  <sheetData>
    <row r="3" spans="1:2">
      <c r="A3" s="3" t="s">
        <v>10</v>
      </c>
      <c r="B3" t="s">
        <v>2133</v>
      </c>
    </row>
    <row r="4" spans="1:2">
      <c r="A4" t="s">
        <v>41</v>
      </c>
      <c r="B4" s="4">
        <v>304</v>
      </c>
    </row>
    <row r="5" spans="1:2">
      <c r="A5" t="s">
        <v>99</v>
      </c>
      <c r="B5" s="4">
        <v>279</v>
      </c>
    </row>
    <row r="6" spans="1:2">
      <c r="A6" t="s">
        <v>58</v>
      </c>
      <c r="B6" s="4">
        <v>143</v>
      </c>
    </row>
    <row r="7" spans="1:2">
      <c r="A7" t="s">
        <v>123</v>
      </c>
      <c r="B7" s="4">
        <v>138</v>
      </c>
    </row>
    <row r="8" spans="1:2">
      <c r="A8" t="s">
        <v>88</v>
      </c>
      <c r="B8" s="4">
        <v>136</v>
      </c>
    </row>
    <row r="9" spans="1:2">
      <c r="A9" t="s">
        <v>2132</v>
      </c>
      <c r="B9" s="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6F8F-CE70-4911-B111-6F0B492DB557}">
  <dimension ref="A3:B9"/>
  <sheetViews>
    <sheetView workbookViewId="0">
      <selection activeCell="B4" sqref="B4:B9"/>
    </sheetView>
  </sheetViews>
  <sheetFormatPr defaultRowHeight="15"/>
  <cols>
    <col min="1" max="1" width="16.42578125" bestFit="1" customWidth="1"/>
    <col min="2" max="2" width="20.7109375" bestFit="1" customWidth="1"/>
  </cols>
  <sheetData>
    <row r="3" spans="1:2">
      <c r="A3" s="3" t="s">
        <v>10</v>
      </c>
      <c r="B3" t="s">
        <v>2130</v>
      </c>
    </row>
    <row r="4" spans="1:2">
      <c r="A4" t="s">
        <v>41</v>
      </c>
      <c r="B4" s="48">
        <v>16706588.470000006</v>
      </c>
    </row>
    <row r="5" spans="1:2">
      <c r="A5" t="s">
        <v>99</v>
      </c>
      <c r="B5" s="48">
        <v>16324373.710000003</v>
      </c>
    </row>
    <row r="6" spans="1:2">
      <c r="A6" t="s">
        <v>58</v>
      </c>
      <c r="B6" s="48">
        <v>8915393.7600000016</v>
      </c>
    </row>
    <row r="7" spans="1:2">
      <c r="A7" t="s">
        <v>123</v>
      </c>
      <c r="B7" s="48">
        <v>8215702.5699999966</v>
      </c>
    </row>
    <row r="8" spans="1:2">
      <c r="A8" t="s">
        <v>88</v>
      </c>
      <c r="B8" s="48">
        <v>8160410.2299999967</v>
      </c>
    </row>
    <row r="9" spans="1:2">
      <c r="A9" t="s">
        <v>2132</v>
      </c>
      <c r="B9" s="48">
        <v>58322468.740000002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E60-1894-4136-AE70-43A0F17EE216}">
  <dimension ref="A3:B9"/>
  <sheetViews>
    <sheetView workbookViewId="0">
      <selection activeCell="B4" sqref="B4:B9"/>
    </sheetView>
  </sheetViews>
  <sheetFormatPr defaultRowHeight="15"/>
  <cols>
    <col min="1" max="1" width="16.42578125" bestFit="1" customWidth="1"/>
    <col min="2" max="2" width="18" bestFit="1" customWidth="1"/>
  </cols>
  <sheetData>
    <row r="3" spans="1:2">
      <c r="A3" s="3" t="s">
        <v>10</v>
      </c>
      <c r="B3" t="s">
        <v>2131</v>
      </c>
    </row>
    <row r="4" spans="1:2">
      <c r="A4" t="s">
        <v>41</v>
      </c>
      <c r="B4" s="48">
        <v>10779754.199999997</v>
      </c>
    </row>
    <row r="5" spans="1:2">
      <c r="A5" t="s">
        <v>99</v>
      </c>
      <c r="B5" s="48">
        <v>10575408.689999996</v>
      </c>
    </row>
    <row r="6" spans="1:2">
      <c r="A6" t="s">
        <v>58</v>
      </c>
      <c r="B6" s="48">
        <v>5791237.8300000029</v>
      </c>
    </row>
    <row r="7" spans="1:2">
      <c r="A7" t="s">
        <v>123</v>
      </c>
      <c r="B7" s="48">
        <v>5340229.1100000003</v>
      </c>
    </row>
    <row r="8" spans="1:2">
      <c r="A8" t="s">
        <v>88</v>
      </c>
      <c r="B8" s="48">
        <v>5253688.7700000014</v>
      </c>
    </row>
    <row r="9" spans="1:2">
      <c r="A9" t="s">
        <v>2132</v>
      </c>
      <c r="B9" s="48">
        <v>37740318.599999994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6DA8-E449-4995-8169-9E59374535D3}">
  <dimension ref="A3:D10"/>
  <sheetViews>
    <sheetView workbookViewId="0">
      <selection activeCell="C6" sqref="C6"/>
    </sheetView>
  </sheetViews>
  <sheetFormatPr defaultRowHeight="15"/>
  <cols>
    <col min="1" max="1" width="21.140625" bestFit="1" customWidth="1"/>
    <col min="2" max="2" width="19.5703125" bestFit="1" customWidth="1"/>
    <col min="3" max="3" width="8.42578125" bestFit="1" customWidth="1"/>
    <col min="4" max="4" width="11.7109375" bestFit="1" customWidth="1"/>
  </cols>
  <sheetData>
    <row r="3" spans="1:4">
      <c r="A3" s="3" t="s">
        <v>2133</v>
      </c>
      <c r="B3" s="3" t="s">
        <v>26</v>
      </c>
    </row>
    <row r="4" spans="1:4">
      <c r="A4" s="3" t="s">
        <v>10</v>
      </c>
      <c r="B4" t="s">
        <v>46</v>
      </c>
      <c r="C4" t="s">
        <v>91</v>
      </c>
      <c r="D4" t="s">
        <v>2132</v>
      </c>
    </row>
    <row r="5" spans="1:4">
      <c r="A5" t="s">
        <v>99</v>
      </c>
      <c r="B5" s="4">
        <v>121</v>
      </c>
      <c r="C5" s="4">
        <v>158</v>
      </c>
      <c r="D5" s="4">
        <v>279</v>
      </c>
    </row>
    <row r="6" spans="1:4">
      <c r="A6" t="s">
        <v>41</v>
      </c>
      <c r="B6" s="4">
        <v>134</v>
      </c>
      <c r="C6" s="4">
        <v>170</v>
      </c>
      <c r="D6" s="4">
        <v>304</v>
      </c>
    </row>
    <row r="7" spans="1:4">
      <c r="A7" t="s">
        <v>123</v>
      </c>
      <c r="B7" s="4">
        <v>50</v>
      </c>
      <c r="C7" s="4">
        <v>88</v>
      </c>
      <c r="D7" s="4">
        <v>138</v>
      </c>
    </row>
    <row r="8" spans="1:4">
      <c r="A8" t="s">
        <v>58</v>
      </c>
      <c r="B8" s="4">
        <v>54</v>
      </c>
      <c r="C8" s="4">
        <v>89</v>
      </c>
      <c r="D8" s="4">
        <v>143</v>
      </c>
    </row>
    <row r="9" spans="1:4">
      <c r="A9" t="s">
        <v>88</v>
      </c>
      <c r="B9" s="4">
        <v>52</v>
      </c>
      <c r="C9" s="4">
        <v>84</v>
      </c>
      <c r="D9" s="4">
        <v>136</v>
      </c>
    </row>
    <row r="10" spans="1:4">
      <c r="A10" t="s">
        <v>2132</v>
      </c>
      <c r="B10" s="4">
        <v>411</v>
      </c>
      <c r="C10" s="4">
        <v>589</v>
      </c>
      <c r="D10" s="4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B533-5001-4C0E-B8AE-761C3A40D7D5}">
  <dimension ref="A3:B9"/>
  <sheetViews>
    <sheetView workbookViewId="0">
      <selection activeCell="B4" sqref="B4:B9"/>
    </sheetView>
  </sheetViews>
  <sheetFormatPr defaultRowHeight="15"/>
  <cols>
    <col min="1" max="1" width="16.42578125" bestFit="1" customWidth="1"/>
    <col min="2" max="2" width="21.85546875" bestFit="1" customWidth="1"/>
  </cols>
  <sheetData>
    <row r="3" spans="1:2">
      <c r="A3" s="3" t="s">
        <v>10</v>
      </c>
      <c r="B3" t="s">
        <v>2134</v>
      </c>
    </row>
    <row r="4" spans="1:2">
      <c r="A4" t="s">
        <v>41</v>
      </c>
      <c r="B4" s="48">
        <v>3851988.5299999993</v>
      </c>
    </row>
    <row r="5" spans="1:2">
      <c r="A5" t="s">
        <v>99</v>
      </c>
      <c r="B5" s="48">
        <v>3735675.350000002</v>
      </c>
    </row>
    <row r="6" spans="1:2">
      <c r="A6" t="s">
        <v>58</v>
      </c>
      <c r="B6" s="48">
        <v>2061213.5</v>
      </c>
    </row>
    <row r="7" spans="1:2">
      <c r="A7" t="s">
        <v>88</v>
      </c>
      <c r="B7" s="48">
        <v>1887010.4300000004</v>
      </c>
    </row>
    <row r="8" spans="1:2">
      <c r="A8" t="s">
        <v>123</v>
      </c>
      <c r="B8" s="48">
        <v>1847015.4500000007</v>
      </c>
    </row>
    <row r="9" spans="1:2">
      <c r="A9" t="s">
        <v>2132</v>
      </c>
      <c r="B9" s="48">
        <v>13382903.260000002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C3B3-C0CC-4D4C-B764-8D267C40610B}">
  <dimension ref="A3:B9"/>
  <sheetViews>
    <sheetView workbookViewId="0">
      <selection activeCell="B17" sqref="B17"/>
    </sheetView>
  </sheetViews>
  <sheetFormatPr defaultRowHeight="15"/>
  <cols>
    <col min="1" max="1" width="16.42578125" bestFit="1" customWidth="1"/>
    <col min="2" max="2" width="23" bestFit="1" customWidth="1"/>
  </cols>
  <sheetData>
    <row r="3" spans="1:2">
      <c r="A3" s="3" t="s">
        <v>10</v>
      </c>
      <c r="B3" t="s">
        <v>2135</v>
      </c>
    </row>
    <row r="4" spans="1:2">
      <c r="A4" t="s">
        <v>99</v>
      </c>
      <c r="B4" s="7">
        <v>13.218637992831541</v>
      </c>
    </row>
    <row r="5" spans="1:2">
      <c r="A5" t="s">
        <v>123</v>
      </c>
      <c r="B5" s="7">
        <v>13.188405797101449</v>
      </c>
    </row>
    <row r="6" spans="1:2">
      <c r="A6" t="s">
        <v>58</v>
      </c>
      <c r="B6" s="7">
        <v>12.867132867132867</v>
      </c>
    </row>
    <row r="7" spans="1:2">
      <c r="A7" t="s">
        <v>88</v>
      </c>
      <c r="B7" s="7">
        <v>12.470588235294118</v>
      </c>
    </row>
    <row r="8" spans="1:2">
      <c r="A8" t="s">
        <v>41</v>
      </c>
      <c r="B8" s="7">
        <v>12.447368421052632</v>
      </c>
    </row>
    <row r="9" spans="1:2">
      <c r="A9" t="s">
        <v>2132</v>
      </c>
      <c r="B9" s="4">
        <v>12.827999999999999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7813-FC00-4A0F-B79A-0BE32C60B4CA}">
  <dimension ref="A3:B9"/>
  <sheetViews>
    <sheetView topLeftCell="A7" workbookViewId="0">
      <selection activeCell="B13" sqref="B13"/>
    </sheetView>
  </sheetViews>
  <sheetFormatPr defaultRowHeight="15"/>
  <cols>
    <col min="1" max="1" width="16.42578125" bestFit="1" customWidth="1"/>
    <col min="2" max="2" width="28.5703125" bestFit="1" customWidth="1"/>
  </cols>
  <sheetData>
    <row r="3" spans="1:2">
      <c r="A3" s="3" t="s">
        <v>10</v>
      </c>
      <c r="B3" t="s">
        <v>2136</v>
      </c>
    </row>
    <row r="4" spans="1:2">
      <c r="A4" t="s">
        <v>41</v>
      </c>
      <c r="B4" s="4">
        <v>32099.819999999971</v>
      </c>
    </row>
    <row r="5" spans="1:2">
      <c r="A5" t="s">
        <v>99</v>
      </c>
      <c r="B5" s="4">
        <v>31130.680000000008</v>
      </c>
    </row>
    <row r="6" spans="1:2">
      <c r="A6" t="s">
        <v>58</v>
      </c>
      <c r="B6" s="4">
        <v>17176.810000000001</v>
      </c>
    </row>
    <row r="7" spans="1:2">
      <c r="A7" t="s">
        <v>88</v>
      </c>
      <c r="B7" s="4">
        <v>15725.020000000002</v>
      </c>
    </row>
    <row r="8" spans="1:2">
      <c r="A8" t="s">
        <v>123</v>
      </c>
      <c r="B8" s="4">
        <v>15391.769999999993</v>
      </c>
    </row>
    <row r="9" spans="1:2">
      <c r="A9" t="s">
        <v>2132</v>
      </c>
      <c r="B9" s="4">
        <v>111524.09999999998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4BCD-2780-46E1-A485-EB363372D74A}">
  <dimension ref="A1:R89"/>
  <sheetViews>
    <sheetView showGridLines="0" topLeftCell="A112" workbookViewId="0">
      <selection activeCell="M35" sqref="M35"/>
    </sheetView>
  </sheetViews>
  <sheetFormatPr defaultRowHeight="15"/>
  <cols>
    <col min="13" max="13" width="9.28515625" bestFit="1" customWidth="1"/>
  </cols>
  <sheetData>
    <row r="1" spans="1:18" ht="59.25" customHeight="1">
      <c r="A1" s="44" t="s">
        <v>2137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8" ht="25.5" customHeight="1">
      <c r="A2" s="49" t="s">
        <v>2138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8" ht="15" customHeight="1">
      <c r="A4" s="22" t="s">
        <v>2139</v>
      </c>
      <c r="B4" s="23"/>
      <c r="C4" s="23"/>
      <c r="D4" s="24"/>
      <c r="E4" s="34" t="s">
        <v>2140</v>
      </c>
      <c r="F4" s="35"/>
      <c r="G4" s="35"/>
      <c r="H4" s="35"/>
      <c r="I4" s="37" t="s">
        <v>2141</v>
      </c>
      <c r="J4" s="35"/>
      <c r="K4" s="35"/>
      <c r="L4" s="35"/>
      <c r="M4" s="40" t="s">
        <v>2142</v>
      </c>
      <c r="N4" s="41"/>
      <c r="O4" s="41"/>
      <c r="P4" s="45"/>
    </row>
    <row r="5" spans="1:18" ht="15" customHeight="1">
      <c r="A5" s="25"/>
      <c r="B5" s="26"/>
      <c r="C5" s="26"/>
      <c r="D5" s="27"/>
      <c r="E5" s="36"/>
      <c r="F5" s="36"/>
      <c r="G5" s="36"/>
      <c r="H5" s="36"/>
      <c r="I5" s="38"/>
      <c r="J5" s="36"/>
      <c r="K5" s="36"/>
      <c r="L5" s="36"/>
      <c r="M5" s="42"/>
      <c r="N5" s="43"/>
      <c r="O5" s="43"/>
      <c r="P5" s="46"/>
    </row>
    <row r="6" spans="1:18" ht="15" customHeight="1">
      <c r="A6" s="28">
        <v>58322468.740000002</v>
      </c>
      <c r="B6" s="29"/>
      <c r="C6" s="29"/>
      <c r="D6" s="30"/>
      <c r="E6" s="29">
        <v>37740318.600000001</v>
      </c>
      <c r="F6" s="29"/>
      <c r="G6" s="29"/>
      <c r="H6" s="29"/>
      <c r="I6" s="39">
        <v>0.64710000000000001</v>
      </c>
      <c r="J6" s="17"/>
      <c r="K6" s="17"/>
      <c r="L6" s="17"/>
      <c r="M6" s="16">
        <v>1000</v>
      </c>
      <c r="N6" s="17"/>
      <c r="O6" s="17"/>
      <c r="P6" s="18"/>
    </row>
    <row r="7" spans="1:18" ht="15" customHeight="1">
      <c r="A7" s="31"/>
      <c r="B7" s="32"/>
      <c r="C7" s="32"/>
      <c r="D7" s="33"/>
      <c r="E7" s="32"/>
      <c r="F7" s="32"/>
      <c r="G7" s="32"/>
      <c r="H7" s="32"/>
      <c r="I7" s="19"/>
      <c r="J7" s="20"/>
      <c r="K7" s="20"/>
      <c r="L7" s="20"/>
      <c r="M7" s="19"/>
      <c r="N7" s="20"/>
      <c r="O7" s="20"/>
      <c r="P7" s="21"/>
    </row>
    <row r="8" spans="1:1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8">
      <c r="A9" s="40" t="s">
        <v>2143</v>
      </c>
      <c r="B9" s="41"/>
      <c r="C9" s="41"/>
      <c r="D9" s="41"/>
      <c r="E9" s="40" t="s">
        <v>2144</v>
      </c>
      <c r="F9" s="41"/>
      <c r="G9" s="41"/>
      <c r="H9" s="41"/>
      <c r="I9" s="40" t="s">
        <v>2145</v>
      </c>
      <c r="J9" s="41"/>
      <c r="K9" s="41"/>
      <c r="L9" s="41"/>
      <c r="M9" s="40" t="s">
        <v>2146</v>
      </c>
      <c r="N9" s="41"/>
      <c r="O9" s="41"/>
      <c r="P9" s="45"/>
    </row>
    <row r="10" spans="1:18">
      <c r="A10" s="42"/>
      <c r="B10" s="43"/>
      <c r="C10" s="43"/>
      <c r="D10" s="43"/>
      <c r="E10" s="42"/>
      <c r="F10" s="43"/>
      <c r="G10" s="43"/>
      <c r="H10" s="43"/>
      <c r="I10" s="42"/>
      <c r="J10" s="43"/>
      <c r="K10" s="43"/>
      <c r="L10" s="43"/>
      <c r="M10" s="42"/>
      <c r="N10" s="43"/>
      <c r="O10" s="43"/>
      <c r="P10" s="46"/>
      <c r="R10" s="9"/>
    </row>
    <row r="11" spans="1:18" ht="26.25" customHeight="1">
      <c r="A11" s="39">
        <v>0.41099999999999998</v>
      </c>
      <c r="B11" s="17"/>
      <c r="C11" s="17"/>
      <c r="D11" s="17"/>
      <c r="E11" s="16" t="s">
        <v>2147</v>
      </c>
      <c r="F11" s="17"/>
      <c r="G11" s="17"/>
      <c r="H11" s="17"/>
      <c r="I11" s="28">
        <v>13382903.26</v>
      </c>
      <c r="J11" s="29"/>
      <c r="K11" s="29"/>
      <c r="L11" s="29"/>
      <c r="M11" s="16" t="s">
        <v>2148</v>
      </c>
      <c r="N11" s="17"/>
      <c r="O11" s="17"/>
      <c r="P11" s="18"/>
    </row>
    <row r="12" spans="1:18" ht="26.25" customHeight="1">
      <c r="A12" s="19"/>
      <c r="B12" s="20"/>
      <c r="C12" s="20"/>
      <c r="D12" s="20"/>
      <c r="E12" s="19"/>
      <c r="F12" s="20"/>
      <c r="G12" s="20"/>
      <c r="H12" s="20"/>
      <c r="I12" s="31"/>
      <c r="J12" s="32"/>
      <c r="K12" s="32"/>
      <c r="L12" s="32"/>
      <c r="M12" s="19"/>
      <c r="N12" s="20"/>
      <c r="O12" s="20"/>
      <c r="P12" s="21"/>
    </row>
    <row r="13" spans="1:1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>
      <c r="A89" s="15" t="s">
        <v>2149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</sheetData>
  <mergeCells count="19">
    <mergeCell ref="A1:P1"/>
    <mergeCell ref="A2:P2"/>
    <mergeCell ref="M4:P5"/>
    <mergeCell ref="M6:P7"/>
    <mergeCell ref="A9:D10"/>
    <mergeCell ref="M9:P10"/>
    <mergeCell ref="A89:P89"/>
    <mergeCell ref="M11:P12"/>
    <mergeCell ref="A4:D5"/>
    <mergeCell ref="A6:D7"/>
    <mergeCell ref="E4:H5"/>
    <mergeCell ref="E6:H7"/>
    <mergeCell ref="I4:L5"/>
    <mergeCell ref="I6:L7"/>
    <mergeCell ref="A11:D12"/>
    <mergeCell ref="E9:H10"/>
    <mergeCell ref="E11:H12"/>
    <mergeCell ref="I9:L10"/>
    <mergeCell ref="I11:L1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465D-6206-489D-84BC-4A8607CD36E0}">
  <dimension ref="A3:B86"/>
  <sheetViews>
    <sheetView tabSelected="1" workbookViewId="0">
      <selection activeCell="N5" sqref="N5"/>
    </sheetView>
  </sheetViews>
  <sheetFormatPr defaultRowHeight="15"/>
  <cols>
    <col min="1" max="1" width="15.85546875" bestFit="1" customWidth="1"/>
    <col min="2" max="2" width="18" bestFit="1" customWidth="1"/>
    <col min="3" max="6" width="4.42578125" bestFit="1" customWidth="1"/>
    <col min="7" max="7" width="4.42578125" customWidth="1"/>
    <col min="8" max="11" width="4.42578125" bestFit="1" customWidth="1"/>
    <col min="12" max="12" width="5.42578125" bestFit="1" customWidth="1"/>
    <col min="13" max="13" width="4.42578125" bestFit="1" customWidth="1"/>
    <col min="14" max="14" width="5.42578125" bestFit="1" customWidth="1"/>
    <col min="15" max="15" width="4.42578125" bestFit="1" customWidth="1"/>
    <col min="16" max="21" width="5.42578125" bestFit="1" customWidth="1"/>
    <col min="22" max="23" width="4.42578125" bestFit="1" customWidth="1"/>
    <col min="24" max="24" width="11.7109375" bestFit="1" customWidth="1"/>
  </cols>
  <sheetData>
    <row r="3" spans="1:2">
      <c r="A3" s="3" t="s">
        <v>5</v>
      </c>
      <c r="B3" t="s">
        <v>2130</v>
      </c>
    </row>
    <row r="4" spans="1:2">
      <c r="A4" t="s">
        <v>180</v>
      </c>
      <c r="B4" s="4">
        <v>5693533.6499999976</v>
      </c>
    </row>
    <row r="5" spans="1:2">
      <c r="A5" t="s">
        <v>96</v>
      </c>
      <c r="B5" s="4">
        <v>5603216.7800000003</v>
      </c>
    </row>
    <row r="6" spans="1:2">
      <c r="A6" t="s">
        <v>53</v>
      </c>
      <c r="B6" s="4">
        <v>5235234.42</v>
      </c>
    </row>
    <row r="7" spans="1:2">
      <c r="A7" t="s">
        <v>65</v>
      </c>
      <c r="B7" s="4">
        <v>5138647.79</v>
      </c>
    </row>
    <row r="8" spans="1:2">
      <c r="A8" t="s">
        <v>153</v>
      </c>
      <c r="B8" s="4">
        <v>5130489.28</v>
      </c>
    </row>
    <row r="9" spans="1:2">
      <c r="A9" t="s">
        <v>74</v>
      </c>
      <c r="B9" s="4">
        <v>5006777.8499999996</v>
      </c>
    </row>
    <row r="10" spans="1:2">
      <c r="A10" t="s">
        <v>83</v>
      </c>
      <c r="B10" s="4">
        <v>4785531.4499999974</v>
      </c>
    </row>
    <row r="11" spans="1:2">
      <c r="A11" t="s">
        <v>36</v>
      </c>
      <c r="B11" s="4">
        <v>4761755.5700000012</v>
      </c>
    </row>
    <row r="12" spans="1:2">
      <c r="A12" t="s">
        <v>234</v>
      </c>
      <c r="B12" s="4">
        <v>4456633.7700000005</v>
      </c>
    </row>
    <row r="13" spans="1:2">
      <c r="A13" t="s">
        <v>149</v>
      </c>
      <c r="B13" s="4">
        <v>4353630.9000000013</v>
      </c>
    </row>
    <row r="14" spans="1:2">
      <c r="A14" t="s">
        <v>120</v>
      </c>
      <c r="B14" s="4">
        <v>4134488.4900000007</v>
      </c>
    </row>
    <row r="15" spans="1:2">
      <c r="A15" t="s">
        <v>138</v>
      </c>
      <c r="B15" s="4">
        <v>4022528.79</v>
      </c>
    </row>
    <row r="16" spans="1:2">
      <c r="A16" t="s">
        <v>2132</v>
      </c>
      <c r="B16" s="4">
        <v>58322468.740000002</v>
      </c>
    </row>
    <row r="18" spans="1:2">
      <c r="A18" s="3" t="s">
        <v>5</v>
      </c>
      <c r="B18" t="s">
        <v>2131</v>
      </c>
    </row>
    <row r="19" spans="1:2">
      <c r="A19" t="s">
        <v>180</v>
      </c>
      <c r="B19" s="4">
        <v>3696308.4100000011</v>
      </c>
    </row>
    <row r="20" spans="1:2">
      <c r="A20" t="s">
        <v>96</v>
      </c>
      <c r="B20" s="4">
        <v>3608318.1700000009</v>
      </c>
    </row>
    <row r="21" spans="1:2">
      <c r="A21" t="s">
        <v>53</v>
      </c>
      <c r="B21" s="4">
        <v>3394077.5399999991</v>
      </c>
    </row>
    <row r="22" spans="1:2">
      <c r="A22" t="s">
        <v>65</v>
      </c>
      <c r="B22" s="4">
        <v>3346471.3099999996</v>
      </c>
    </row>
    <row r="23" spans="1:2">
      <c r="A23" t="s">
        <v>153</v>
      </c>
      <c r="B23" s="4">
        <v>3337545.3900000006</v>
      </c>
    </row>
    <row r="24" spans="1:2">
      <c r="A24" t="s">
        <v>74</v>
      </c>
      <c r="B24" s="4">
        <v>3240589.7800000003</v>
      </c>
    </row>
    <row r="25" spans="1:2">
      <c r="A25" t="s">
        <v>83</v>
      </c>
      <c r="B25" s="4">
        <v>3107714.8499999992</v>
      </c>
    </row>
    <row r="26" spans="1:2">
      <c r="A26" t="s">
        <v>36</v>
      </c>
      <c r="B26" s="4">
        <v>3081101.5600000015</v>
      </c>
    </row>
    <row r="27" spans="1:2">
      <c r="A27" t="s">
        <v>234</v>
      </c>
      <c r="B27" s="4">
        <v>2902392.26</v>
      </c>
    </row>
    <row r="28" spans="1:2">
      <c r="A28" t="s">
        <v>149</v>
      </c>
      <c r="B28" s="4">
        <v>2807856.0799999996</v>
      </c>
    </row>
    <row r="29" spans="1:2">
      <c r="A29" t="s">
        <v>120</v>
      </c>
      <c r="B29" s="4">
        <v>2617520.87</v>
      </c>
    </row>
    <row r="30" spans="1:2">
      <c r="A30" t="s">
        <v>138</v>
      </c>
      <c r="B30" s="4">
        <v>2600422.379999999</v>
      </c>
    </row>
    <row r="31" spans="1:2">
      <c r="A31" t="s">
        <v>2132</v>
      </c>
      <c r="B31" s="4">
        <v>37740318.600000009</v>
      </c>
    </row>
    <row r="34" spans="1:2">
      <c r="A34" s="3" t="s">
        <v>11</v>
      </c>
      <c r="B34" t="s">
        <v>2131</v>
      </c>
    </row>
    <row r="35" spans="1:2">
      <c r="A35" t="s">
        <v>116</v>
      </c>
      <c r="B35" s="4">
        <v>5680818.9700000016</v>
      </c>
    </row>
    <row r="36" spans="1:2">
      <c r="A36" t="s">
        <v>127</v>
      </c>
      <c r="B36" s="4">
        <v>5308284.1500000004</v>
      </c>
    </row>
    <row r="37" spans="1:2">
      <c r="A37" t="s">
        <v>78</v>
      </c>
      <c r="B37" s="4">
        <v>4752440.5500000017</v>
      </c>
    </row>
    <row r="38" spans="1:2">
      <c r="A38" t="s">
        <v>59</v>
      </c>
      <c r="B38" s="4">
        <v>4738915.6500000004</v>
      </c>
    </row>
    <row r="39" spans="1:2">
      <c r="A39" t="s">
        <v>42</v>
      </c>
      <c r="B39" s="4">
        <v>4688635.6800000016</v>
      </c>
    </row>
    <row r="40" spans="1:2">
      <c r="A40" t="s">
        <v>124</v>
      </c>
      <c r="B40" s="4">
        <v>4371640.21</v>
      </c>
    </row>
    <row r="41" spans="1:2">
      <c r="A41" t="s">
        <v>155</v>
      </c>
      <c r="B41" s="4">
        <v>4176416.6900000013</v>
      </c>
    </row>
    <row r="42" spans="1:2">
      <c r="A42" t="s">
        <v>100</v>
      </c>
      <c r="B42" s="4">
        <v>4023166.6999999993</v>
      </c>
    </row>
    <row r="43" spans="1:2">
      <c r="A43" t="s">
        <v>2132</v>
      </c>
      <c r="B43" s="4">
        <v>37740318.600000001</v>
      </c>
    </row>
    <row r="45" spans="1:2">
      <c r="A45" s="3" t="s">
        <v>10</v>
      </c>
      <c r="B45" t="s">
        <v>2131</v>
      </c>
    </row>
    <row r="46" spans="1:2">
      <c r="A46" t="s">
        <v>41</v>
      </c>
      <c r="B46" s="4">
        <v>10779754.200000003</v>
      </c>
    </row>
    <row r="47" spans="1:2">
      <c r="A47" t="s">
        <v>99</v>
      </c>
      <c r="B47" s="4">
        <v>10575408.689999998</v>
      </c>
    </row>
    <row r="48" spans="1:2">
      <c r="A48" t="s">
        <v>58</v>
      </c>
      <c r="B48" s="4">
        <v>5791237.8299999991</v>
      </c>
    </row>
    <row r="49" spans="1:2">
      <c r="A49" t="s">
        <v>123</v>
      </c>
      <c r="B49" s="4">
        <v>5340229.1099999994</v>
      </c>
    </row>
    <row r="50" spans="1:2">
      <c r="A50" t="s">
        <v>88</v>
      </c>
      <c r="B50" s="4">
        <v>5253688.7700000005</v>
      </c>
    </row>
    <row r="51" spans="1:2">
      <c r="A51" t="s">
        <v>2150</v>
      </c>
      <c r="B51" s="4"/>
    </row>
    <row r="52" spans="1:2">
      <c r="A52" t="s">
        <v>2132</v>
      </c>
      <c r="B52" s="4">
        <v>37740318.600000001</v>
      </c>
    </row>
    <row r="55" spans="1:2">
      <c r="A55" s="3" t="s">
        <v>24</v>
      </c>
      <c r="B55" t="s">
        <v>2151</v>
      </c>
    </row>
    <row r="56" spans="1:2">
      <c r="A56" t="s">
        <v>45</v>
      </c>
      <c r="B56" s="4">
        <v>411</v>
      </c>
    </row>
    <row r="57" spans="1:2">
      <c r="A57" t="s">
        <v>90</v>
      </c>
      <c r="B57" s="4">
        <v>128</v>
      </c>
    </row>
    <row r="58" spans="1:2">
      <c r="A58" t="s">
        <v>135</v>
      </c>
      <c r="B58" s="4">
        <v>125</v>
      </c>
    </row>
    <row r="59" spans="1:2">
      <c r="A59" t="s">
        <v>117</v>
      </c>
      <c r="B59" s="4">
        <v>118</v>
      </c>
    </row>
    <row r="60" spans="1:2">
      <c r="A60" t="s">
        <v>112</v>
      </c>
      <c r="B60" s="4">
        <v>110</v>
      </c>
    </row>
    <row r="61" spans="1:2">
      <c r="A61" t="s">
        <v>101</v>
      </c>
      <c r="B61" s="4">
        <v>108</v>
      </c>
    </row>
    <row r="62" spans="1:2">
      <c r="A62" t="s">
        <v>2132</v>
      </c>
      <c r="B62" s="4">
        <v>1000</v>
      </c>
    </row>
    <row r="64" spans="1:2">
      <c r="A64" s="3" t="s">
        <v>5</v>
      </c>
      <c r="B64" t="s">
        <v>2152</v>
      </c>
    </row>
    <row r="65" spans="1:2">
      <c r="A65" t="s">
        <v>65</v>
      </c>
      <c r="B65" s="4">
        <v>1380</v>
      </c>
    </row>
    <row r="66" spans="1:2">
      <c r="A66" t="s">
        <v>180</v>
      </c>
      <c r="B66" s="4">
        <v>1172</v>
      </c>
    </row>
    <row r="67" spans="1:2">
      <c r="A67" t="s">
        <v>120</v>
      </c>
      <c r="B67" s="4">
        <v>1152</v>
      </c>
    </row>
    <row r="68" spans="1:2">
      <c r="A68" t="s">
        <v>234</v>
      </c>
      <c r="B68" s="4">
        <v>1116</v>
      </c>
    </row>
    <row r="69" spans="1:2">
      <c r="A69" t="s">
        <v>83</v>
      </c>
      <c r="B69" s="4">
        <v>1108</v>
      </c>
    </row>
    <row r="70" spans="1:2">
      <c r="A70" t="s">
        <v>153</v>
      </c>
      <c r="B70" s="4">
        <v>1072</v>
      </c>
    </row>
    <row r="71" spans="1:2">
      <c r="A71" t="s">
        <v>36</v>
      </c>
      <c r="B71" s="4">
        <v>1020</v>
      </c>
    </row>
    <row r="72" spans="1:2">
      <c r="A72" t="s">
        <v>138</v>
      </c>
      <c r="B72" s="4">
        <v>1016</v>
      </c>
    </row>
    <row r="73" spans="1:2">
      <c r="A73" t="s">
        <v>74</v>
      </c>
      <c r="B73" s="4">
        <v>1004</v>
      </c>
    </row>
    <row r="74" spans="1:2">
      <c r="A74" t="s">
        <v>53</v>
      </c>
      <c r="B74" s="4">
        <v>956</v>
      </c>
    </row>
    <row r="75" spans="1:2">
      <c r="A75" t="s">
        <v>96</v>
      </c>
      <c r="B75" s="4">
        <v>916</v>
      </c>
    </row>
    <row r="76" spans="1:2">
      <c r="A76" t="s">
        <v>149</v>
      </c>
      <c r="B76" s="4">
        <v>916</v>
      </c>
    </row>
    <row r="77" spans="1:2">
      <c r="A77" t="s">
        <v>2132</v>
      </c>
      <c r="B77" s="4">
        <v>12828</v>
      </c>
    </row>
    <row r="80" spans="1:2">
      <c r="A80" s="3" t="s">
        <v>10</v>
      </c>
      <c r="B80" t="s">
        <v>2153</v>
      </c>
    </row>
    <row r="81" spans="1:2">
      <c r="A81" t="s">
        <v>88</v>
      </c>
      <c r="B81" s="12">
        <v>20.044117647058822</v>
      </c>
    </row>
    <row r="82" spans="1:2">
      <c r="A82" t="s">
        <v>99</v>
      </c>
      <c r="B82" s="4">
        <v>19.913978494623656</v>
      </c>
    </row>
    <row r="83" spans="1:2">
      <c r="A83" t="s">
        <v>41</v>
      </c>
      <c r="B83" s="4">
        <v>19.680921052631579</v>
      </c>
    </row>
    <row r="84" spans="1:2">
      <c r="A84" t="s">
        <v>58</v>
      </c>
      <c r="B84" s="4">
        <v>19.41958041958042</v>
      </c>
    </row>
    <row r="85" spans="1:2">
      <c r="A85" t="s">
        <v>123</v>
      </c>
      <c r="B85" s="4">
        <v>18.775362318840578</v>
      </c>
    </row>
    <row r="86" spans="1:2">
      <c r="A86" t="s">
        <v>2132</v>
      </c>
      <c r="B86" s="4">
        <v>19.632999999999999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2026-06-26T10:45:08Z</dcterms:created>
  <dcterms:modified xsi:type="dcterms:W3CDTF">2026-10-05T07:29:15Z</dcterms:modified>
  <cp:category/>
  <cp:contentStatus/>
</cp:coreProperties>
</file>